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2025.10" sheetId="2" r:id="rId5"/>
    <sheet state="visible" name="2025.11" sheetId="3" r:id="rId6"/>
  </sheets>
  <definedNames>
    <definedName hidden="1" localSheetId="1" name="_xlnm._FilterDatabase">'2025.10'!$C$6:$L$2030</definedName>
    <definedName hidden="1" localSheetId="2" name="_xlnm._FilterDatabase">'2025.11'!$C$6:$L$2137</definedName>
  </definedNames>
  <calcPr/>
  <extLst>
    <ext uri="GoogleSheetsCustomDataVersion2">
      <go:sheetsCustomData xmlns:go="http://customooxmlschemas.google.com/" r:id="rId7" roundtripDataChecksum="SsRwPyfPQzrNtwRutvFDsaKG2wnhfz/Flj82UWCfxRs="/>
    </ext>
  </extLst>
</workbook>
</file>

<file path=xl/sharedStrings.xml><?xml version="1.0" encoding="utf-8"?>
<sst xmlns="http://schemas.openxmlformats.org/spreadsheetml/2006/main" count="24289" uniqueCount="10262">
  <si>
    <t>Month</t>
  </si>
  <si>
    <t>Week</t>
  </si>
  <si>
    <t>Year</t>
  </si>
  <si>
    <t>Outreachs</t>
  </si>
  <si>
    <t>Scheduled 1:1</t>
  </si>
  <si>
    <t>Scheduling rate</t>
  </si>
  <si>
    <t xml:space="preserve">No show </t>
  </si>
  <si>
    <t>1:1 rate</t>
  </si>
  <si>
    <t>Deals</t>
  </si>
  <si>
    <t>Deal rate</t>
  </si>
  <si>
    <t>October</t>
  </si>
  <si>
    <t>November</t>
  </si>
  <si>
    <t>BNI Chapter</t>
  </si>
  <si>
    <t>Address</t>
  </si>
  <si>
    <t>Member Name</t>
  </si>
  <si>
    <t>Company</t>
  </si>
  <si>
    <t>Profession</t>
  </si>
  <si>
    <t>Phone</t>
  </si>
  <si>
    <t>Contact</t>
  </si>
  <si>
    <t>Sales Executive</t>
  </si>
  <si>
    <t>SDR</t>
  </si>
  <si>
    <t>Status</t>
  </si>
  <si>
    <t>BNI Vision</t>
  </si>
  <si>
    <t>Kendall, FL, 33173</t>
  </si>
  <si>
    <t>Alejandro Jordan</t>
  </si>
  <si>
    <t>ESQ.title | Real Estate Law</t>
  </si>
  <si>
    <t>Real Estate Law</t>
  </si>
  <si>
    <t>305-606-3855</t>
  </si>
  <si>
    <t>Gabriel Khalil</t>
  </si>
  <si>
    <t>Kendall, FL, 33174</t>
  </si>
  <si>
    <t>Angel F. Fernandez</t>
  </si>
  <si>
    <t>Fernandez-Bergnes &amp; Assoc PA</t>
  </si>
  <si>
    <t>Tax Advisor</t>
  </si>
  <si>
    <t>305-648-7100</t>
  </si>
  <si>
    <t>Kendall, FL, 33175</t>
  </si>
  <si>
    <t>Christina Geeza</t>
  </si>
  <si>
    <t>Corporate Attorney</t>
  </si>
  <si>
    <t>Company Formation</t>
  </si>
  <si>
    <t>3055679000</t>
  </si>
  <si>
    <t>Kendall, FL, 33176</t>
  </si>
  <si>
    <t>Christopher Gabriel</t>
  </si>
  <si>
    <t>Smart Business Solutions Consultation Corp</t>
  </si>
  <si>
    <t>IT Consultants</t>
  </si>
  <si>
    <t>3055030873</t>
  </si>
  <si>
    <t>Kendall, FL, 33177</t>
  </si>
  <si>
    <t>Dmitriy Smirnov</t>
  </si>
  <si>
    <t>Top Lead marketing</t>
  </si>
  <si>
    <t>Web Design</t>
  </si>
  <si>
    <t>941-350-2656</t>
  </si>
  <si>
    <t>Kendall, FL, 33178</t>
  </si>
  <si>
    <t>Elisabeth Leyva Fernandez</t>
  </si>
  <si>
    <t>Leyva Law Office P.A.</t>
  </si>
  <si>
    <t>Family Law</t>
  </si>
  <si>
    <t>3059652452</t>
  </si>
  <si>
    <t>Kendall, FL, 33179</t>
  </si>
  <si>
    <t>Gabriela Dominguez</t>
  </si>
  <si>
    <t>Avante Insurance Agency Inc.</t>
  </si>
  <si>
    <t>Property &amp; Casualty Insurance</t>
  </si>
  <si>
    <t>305-812-7605</t>
  </si>
  <si>
    <t>Kendall, FL, 33180</t>
  </si>
  <si>
    <t>Gina Chevallier</t>
  </si>
  <si>
    <t>LAW OFFICE OF GINA R. CHEVALLIER</t>
  </si>
  <si>
    <t>Estate Planning Law</t>
  </si>
  <si>
    <t>(305) 974-1490</t>
  </si>
  <si>
    <t>Kendall, FL, 33181</t>
  </si>
  <si>
    <t>Leodan Leonel Leon Naranjo</t>
  </si>
  <si>
    <t>BERKSHIRE HATHAWAY</t>
  </si>
  <si>
    <t>Residential Real Estate Agent</t>
  </si>
  <si>
    <t>7869052481</t>
  </si>
  <si>
    <t>Kendall, FL, 33182</t>
  </si>
  <si>
    <t>Mario Louis</t>
  </si>
  <si>
    <t>Law Offices of M.J. Louis P.A.</t>
  </si>
  <si>
    <t>Personal Injury Law</t>
  </si>
  <si>
    <t>305-377-9646</t>
  </si>
  <si>
    <t>Kendall, FL, 33183</t>
  </si>
  <si>
    <t>Raul Isern</t>
  </si>
  <si>
    <t>Atlantic Family Wealth</t>
  </si>
  <si>
    <t>Financial Advisor</t>
  </si>
  <si>
    <t>305-222-0977</t>
  </si>
  <si>
    <t>Kendall, FL, 33184</t>
  </si>
  <si>
    <t>Simone Da Silva</t>
  </si>
  <si>
    <t>Bright Lighthouse Insurance</t>
  </si>
  <si>
    <t>Health Insurance</t>
  </si>
  <si>
    <t>7862771870</t>
  </si>
  <si>
    <t>BNI Connectify</t>
  </si>
  <si>
    <t>West Kendall, FL, 33185</t>
  </si>
  <si>
    <t>Abraham Valera</t>
  </si>
  <si>
    <t>Reliable Choice Insurance</t>
  </si>
  <si>
    <t>305 299 4155</t>
  </si>
  <si>
    <t>Out of pipe</t>
  </si>
  <si>
    <t>West Kendall, FL, 33186</t>
  </si>
  <si>
    <t>Ashley Brosky</t>
  </si>
  <si>
    <t>Luxe Properties</t>
  </si>
  <si>
    <t>305-788-3720</t>
  </si>
  <si>
    <t>West Kendall, FL, 33187</t>
  </si>
  <si>
    <t>Barbara Rancano</t>
  </si>
  <si>
    <t>AirCool Florida</t>
  </si>
  <si>
    <t>HVAC - Heating &amp; Air</t>
  </si>
  <si>
    <t>305-254-8330</t>
  </si>
  <si>
    <t>No show</t>
  </si>
  <si>
    <t>West Kendall, FL, 33188</t>
  </si>
  <si>
    <t>Darren Price</t>
  </si>
  <si>
    <t>Affix Handyman Solutions LLC</t>
  </si>
  <si>
    <t>Handyman</t>
  </si>
  <si>
    <t>7862233003</t>
  </si>
  <si>
    <t>West Kendall, FL, 33189</t>
  </si>
  <si>
    <t>Hope Khan</t>
  </si>
  <si>
    <t>The Closing Table of Florida</t>
  </si>
  <si>
    <t>Title Services</t>
  </si>
  <si>
    <t>7865426287</t>
  </si>
  <si>
    <t>West Kendall, FL, 33190</t>
  </si>
  <si>
    <t>Joseph Morana</t>
  </si>
  <si>
    <t>Paw-Fect Home Inspections</t>
  </si>
  <si>
    <t>Home Inspection</t>
  </si>
  <si>
    <t>786-702-9160</t>
  </si>
  <si>
    <t>West Kendall, FL, 33191</t>
  </si>
  <si>
    <t>Juan Ignacio Caffini</t>
  </si>
  <si>
    <t>HandyPro - South Miami</t>
  </si>
  <si>
    <t>Builder/General Contractor</t>
  </si>
  <si>
    <t>786 205 8961</t>
  </si>
  <si>
    <t>West Kendall, FL, 33192</t>
  </si>
  <si>
    <t>Michael Moreira</t>
  </si>
  <si>
    <t>Warrior Law Group</t>
  </si>
  <si>
    <t>West Kendall, FL, 33193</t>
  </si>
  <si>
    <t>Nicholas Iglesias</t>
  </si>
  <si>
    <t>Dade Mortgage Solutions LLC</t>
  </si>
  <si>
    <t>Residential Mortgages</t>
  </si>
  <si>
    <t>3053904382</t>
  </si>
  <si>
    <t>West Kendall, FL, 33194</t>
  </si>
  <si>
    <t>Shaun Judy</t>
  </si>
  <si>
    <t>Dade Pest Solutions</t>
  </si>
  <si>
    <t>Pest Control</t>
  </si>
  <si>
    <t>3053305565</t>
  </si>
  <si>
    <t>West Kendall, FL, 33195</t>
  </si>
  <si>
    <t>Stephanie Acevedo</t>
  </si>
  <si>
    <t>Stellar Public Adjusting Services</t>
  </si>
  <si>
    <t>Insurance Adjuster</t>
  </si>
  <si>
    <t>On hold</t>
  </si>
  <si>
    <t>BNI Virtual Success</t>
  </si>
  <si>
    <t>Pinecrest, FL, 33156</t>
  </si>
  <si>
    <t>Alejandro Velez</t>
  </si>
  <si>
    <t>VIA Lawyers</t>
  </si>
  <si>
    <t>Business Law</t>
  </si>
  <si>
    <t>3054251565</t>
  </si>
  <si>
    <t>Pinecrest, FL, 33157</t>
  </si>
  <si>
    <t>Jason Wright</t>
  </si>
  <si>
    <t>PS Lending</t>
  </si>
  <si>
    <t>7862106388</t>
  </si>
  <si>
    <t>Call Done</t>
  </si>
  <si>
    <t>Pinecrest, FL, 33158</t>
  </si>
  <si>
    <t>Joey Joseph</t>
  </si>
  <si>
    <t>Dohan CPA</t>
  </si>
  <si>
    <t>Certified Public Accountant (CPA)</t>
  </si>
  <si>
    <t>3059267315</t>
  </si>
  <si>
    <t>Pinecrest, FL, 33159</t>
  </si>
  <si>
    <t>Justine Ochoa</t>
  </si>
  <si>
    <t>IHT Wealth Management</t>
  </si>
  <si>
    <t>3123341336</t>
  </si>
  <si>
    <t>Pinecrest, FL, 33160</t>
  </si>
  <si>
    <t>Karla Jaimes</t>
  </si>
  <si>
    <t>EXP Realty</t>
  </si>
  <si>
    <t>9413506909</t>
  </si>
  <si>
    <t>Pinecrest, FL, 33161</t>
  </si>
  <si>
    <t>Katie FitzGerald</t>
  </si>
  <si>
    <t>KFitz Consulting</t>
  </si>
  <si>
    <t>Marketing Consultant</t>
  </si>
  <si>
    <t>(786) 338-8058</t>
  </si>
  <si>
    <t>Pinecrest, FL, 33162</t>
  </si>
  <si>
    <t>Michael Garcia</t>
  </si>
  <si>
    <t>RESF</t>
  </si>
  <si>
    <t>Commercial Real Estate</t>
  </si>
  <si>
    <t>3052508297</t>
  </si>
  <si>
    <t>Pinecrest, FL, 33163</t>
  </si>
  <si>
    <t>Ricardo Alonso</t>
  </si>
  <si>
    <t>Atesa Risk Advisors</t>
  </si>
  <si>
    <t>3055014845</t>
  </si>
  <si>
    <t>Pinecrest, FL, 33164</t>
  </si>
  <si>
    <t>Roberto Fernandez</t>
  </si>
  <si>
    <t>Dania S. Fernandez and Associates P.A.</t>
  </si>
  <si>
    <t>7868977461</t>
  </si>
  <si>
    <t>Pinecrest, FL, 33165</t>
  </si>
  <si>
    <t>Tatiana Cardoso</t>
  </si>
  <si>
    <t>N/A</t>
  </si>
  <si>
    <t>7864129511</t>
  </si>
  <si>
    <t>Pinecrest, FL, 33166</t>
  </si>
  <si>
    <t>Victor Castillo</t>
  </si>
  <si>
    <t>Castle Inspections</t>
  </si>
  <si>
    <t>786-340-1500</t>
  </si>
  <si>
    <t>Pinecrest, FL, 33167</t>
  </si>
  <si>
    <t>Will Bradwell</t>
  </si>
  <si>
    <t>Dade Local</t>
  </si>
  <si>
    <t>Print Advertising</t>
  </si>
  <si>
    <t>7864578993</t>
  </si>
  <si>
    <t>BNI Business Hub</t>
  </si>
  <si>
    <t>Agatha Landaetta</t>
  </si>
  <si>
    <t>The Key To Insurance, LLC</t>
  </si>
  <si>
    <t>7864614880</t>
  </si>
  <si>
    <t>Alejandro Benavides</t>
  </si>
  <si>
    <t>HomeTeam</t>
  </si>
  <si>
    <t>3057982085</t>
  </si>
  <si>
    <t>Alex Martinez</t>
  </si>
  <si>
    <t>Alex A Martínez PA</t>
  </si>
  <si>
    <t>3053799600</t>
  </si>
  <si>
    <t>Arseni Kusakin</t>
  </si>
  <si>
    <t>Aigen Injury Law</t>
  </si>
  <si>
    <t>Claudia Sanchez</t>
  </si>
  <si>
    <t>South Florida Home Lending</t>
  </si>
  <si>
    <t>7868974668</t>
  </si>
  <si>
    <t>Elaine Perez</t>
  </si>
  <si>
    <t>The Elaine Group, Inc.</t>
  </si>
  <si>
    <t>786.287.4344</t>
  </si>
  <si>
    <t>Evandro Gois</t>
  </si>
  <si>
    <t>EXPERTNESS TRANSLATIONS</t>
  </si>
  <si>
    <t>Translator/Language Services</t>
  </si>
  <si>
    <t>7864401430</t>
  </si>
  <si>
    <t>Jadon Apruzzese</t>
  </si>
  <si>
    <t>USHealth Advisors</t>
  </si>
  <si>
    <t>Health &amp; Wellness (Other)</t>
  </si>
  <si>
    <t>5179773619</t>
  </si>
  <si>
    <t>Janet Stubbs</t>
  </si>
  <si>
    <t>Alex A Martinez, P.A</t>
  </si>
  <si>
    <t>7863067692</t>
  </si>
  <si>
    <t>Jeannie Inchausti</t>
  </si>
  <si>
    <t>Ocean Bank</t>
  </si>
  <si>
    <t>Banking Services</t>
  </si>
  <si>
    <t>Pedro Silva</t>
  </si>
  <si>
    <t>Verdeja and Alvarez, LLP</t>
  </si>
  <si>
    <t>3059799199</t>
  </si>
  <si>
    <t>Pedro Salim</t>
  </si>
  <si>
    <t>Pedro L. Salim Law Firm</t>
  </si>
  <si>
    <t>Immigration Law</t>
  </si>
  <si>
    <t>305-306-6000</t>
  </si>
  <si>
    <t>Pinecrest, FL, 33168</t>
  </si>
  <si>
    <t>Stephany Antuche</t>
  </si>
  <si>
    <t>Portalatin Business Law Firm LLC</t>
  </si>
  <si>
    <t>(754) 314-9965</t>
  </si>
  <si>
    <t>BNI Keys Elite</t>
  </si>
  <si>
    <t>101925 Overseas Highway, Key Largo, FL, 33037</t>
  </si>
  <si>
    <t>Alan Benavides</t>
  </si>
  <si>
    <t>HomeTeam Inspection Service</t>
  </si>
  <si>
    <t>7867673582</t>
  </si>
  <si>
    <t>101926 Overseas Highway, Key Largo, FL, 33037</t>
  </si>
  <si>
    <t>Christine Del Valle</t>
  </si>
  <si>
    <t>National Trust Title Services</t>
  </si>
  <si>
    <t>101927 Overseas Highway, Key Largo, FL, 33037</t>
  </si>
  <si>
    <t>Ernesto Dominguez</t>
  </si>
  <si>
    <t>Avante-NEA Insurance Group</t>
  </si>
  <si>
    <t>Commercial Insurance</t>
  </si>
  <si>
    <t>305-648-7082</t>
  </si>
  <si>
    <t>101928 Overseas Highway, Key Largo, FL, 33037</t>
  </si>
  <si>
    <t>Jaclyn Kelley</t>
  </si>
  <si>
    <t>Better Homes and Gardens Real Estate</t>
  </si>
  <si>
    <t>101929 Overseas Highway, Key Largo, FL, 33037</t>
  </si>
  <si>
    <t>Lissette Romero</t>
  </si>
  <si>
    <t>The Florida Mortgage Lab, LLC</t>
  </si>
  <si>
    <t>305-517-6323</t>
  </si>
  <si>
    <t>101930 Overseas Highway, Key Largo, FL, 33037</t>
  </si>
  <si>
    <t>Robert Glassmer</t>
  </si>
  <si>
    <t>Miami’s Best Blinds</t>
  </si>
  <si>
    <t>Curtains/Blinds</t>
  </si>
  <si>
    <t>(786) 832-6355</t>
  </si>
  <si>
    <t>101931 Overseas Highway, Key Largo, FL, 33037</t>
  </si>
  <si>
    <t>Sylvia Rossi-Montero</t>
  </si>
  <si>
    <t>Medphysion</t>
  </si>
  <si>
    <t>Group Benefits</t>
  </si>
  <si>
    <t>305 495 6901</t>
  </si>
  <si>
    <t>101932 Overseas Highway, Key Largo, FL, 33037</t>
  </si>
  <si>
    <t>Teo Masters</t>
  </si>
  <si>
    <t>PFS Investments</t>
  </si>
  <si>
    <t>Finance &amp; Insurance (Other)</t>
  </si>
  <si>
    <t>3058904907</t>
  </si>
  <si>
    <t>BNI Powerhouse</t>
  </si>
  <si>
    <t>9555 SW 175th Terrace, Palmetto Bay, FL, 33157</t>
  </si>
  <si>
    <t>Caleb Horvat</t>
  </si>
  <si>
    <t>Ameriprise Financial</t>
  </si>
  <si>
    <t>7864184918</t>
  </si>
  <si>
    <t>9556 SW 175th Terrace, Palmetto Bay, FL, 33157</t>
  </si>
  <si>
    <t>Christian Hernandez</t>
  </si>
  <si>
    <t>JCM Telecom LLC</t>
  </si>
  <si>
    <t>Telecommunications Products/Services</t>
  </si>
  <si>
    <t>7867391200</t>
  </si>
  <si>
    <t>9557 SW 175th Terrace, Palmetto Bay, FL, 33157</t>
  </si>
  <si>
    <t>Donevan Mallard</t>
  </si>
  <si>
    <t>Mallard &amp; Sharp</t>
  </si>
  <si>
    <t>7864233936</t>
  </si>
  <si>
    <t>9558 SW 175th Terrace, Palmetto Bay, FL, 33157</t>
  </si>
  <si>
    <t>Eugene (Gene) La Neve</t>
  </si>
  <si>
    <t>La Neve Law, P.A.</t>
  </si>
  <si>
    <t>Elder Law</t>
  </si>
  <si>
    <t>3055649499</t>
  </si>
  <si>
    <t>9559 SW 175th Terrace, Palmetto Bay, FL, 33157</t>
  </si>
  <si>
    <t>Ignacio Chinchilla</t>
  </si>
  <si>
    <t>Chinchilla Claim Services</t>
  </si>
  <si>
    <t>7863061659</t>
  </si>
  <si>
    <t>9560 SW 175th Terrace, Palmetto Bay, FL, 33157</t>
  </si>
  <si>
    <t>Mario W Pino</t>
  </si>
  <si>
    <t>Max Value Insurance Group</t>
  </si>
  <si>
    <t>3056691879</t>
  </si>
  <si>
    <t>9561 SW 175th Terrace, Palmetto Bay, FL, 33157</t>
  </si>
  <si>
    <t>Mary Portela</t>
  </si>
  <si>
    <t>My Buddy Bench Project</t>
  </si>
  <si>
    <t>Non-Profits/Fundraising Organizations</t>
  </si>
  <si>
    <t>782468626</t>
  </si>
  <si>
    <t>9562 SW 175th Terrace, Palmetto Bay, FL, 33157</t>
  </si>
  <si>
    <t>Pedro Bobea</t>
  </si>
  <si>
    <t>Lux Home Construction</t>
  </si>
  <si>
    <t>305-922-8313</t>
  </si>
  <si>
    <t>9563 SW 175th Terrace, Palmetto Bay, FL, 33157</t>
  </si>
  <si>
    <t>Roger Snyder</t>
  </si>
  <si>
    <t>Coldwell Banker</t>
  </si>
  <si>
    <t>3059872859</t>
  </si>
  <si>
    <t>9564 SW 175th Terrace, Palmetto Bay, FL, 33157</t>
  </si>
  <si>
    <t>Stuart Lones</t>
  </si>
  <si>
    <t>Ferdie and Lones, Chartered</t>
  </si>
  <si>
    <t>3054453557</t>
  </si>
  <si>
    <t>9565 SW 175th Terrace, Palmetto Bay, FL, 33157</t>
  </si>
  <si>
    <t>YUSEF NASSALL</t>
  </si>
  <si>
    <t>The Mortgage Experts LLC</t>
  </si>
  <si>
    <t>7864881904</t>
  </si>
  <si>
    <t>BNI Avatar Professionals</t>
  </si>
  <si>
    <t>9300 South Dadeland Blvd, Suite 200, Miami, FL, 33156</t>
  </si>
  <si>
    <t>Alexander Alfonso</t>
  </si>
  <si>
    <t>Valiant Wealth Strategies of Miami</t>
  </si>
  <si>
    <t>Wealth Management</t>
  </si>
  <si>
    <t>305-926-7804</t>
  </si>
  <si>
    <t>Luiz Ghiraldelli</t>
  </si>
  <si>
    <t>9301 South Dadeland Blvd, Suite 200, Miami, FL, 33156</t>
  </si>
  <si>
    <t>Alexios Tsokos</t>
  </si>
  <si>
    <t>Paramount Residential Mortgage Group</t>
  </si>
  <si>
    <t>9546478878</t>
  </si>
  <si>
    <t>9302 South Dadeland Blvd, Suite 200, Miami, FL, 33156</t>
  </si>
  <si>
    <t>Benjamin Pepin</t>
  </si>
  <si>
    <t>Coral Reef Chiropractic Center</t>
  </si>
  <si>
    <t>Doctor/Physician</t>
  </si>
  <si>
    <t>3055828461</t>
  </si>
  <si>
    <t>9303 South Dadeland Blvd, Suite 200, Miami, FL, 33156</t>
  </si>
  <si>
    <t>Carlos Martorell</t>
  </si>
  <si>
    <t>Leading Public Adjusters</t>
  </si>
  <si>
    <t>3054905590</t>
  </si>
  <si>
    <t>9304 South Dadeland Blvd, Suite 200, Miami, FL, 33156</t>
  </si>
  <si>
    <t>David Zeledon</t>
  </si>
  <si>
    <t>Zeledon Law P.A.</t>
  </si>
  <si>
    <t>+1(305) 522-5975</t>
  </si>
  <si>
    <t>9305 South Dadeland Blvd, Suite 200, Miami, FL, 33156</t>
  </si>
  <si>
    <t>Diego Apaestegui</t>
  </si>
  <si>
    <t>Mutual Of Omaha Advisors</t>
  </si>
  <si>
    <t>Life and Disability Insurance</t>
  </si>
  <si>
    <t>3057803475</t>
  </si>
  <si>
    <t>9306 South Dadeland Blvd, Suite 200, Miami, FL, 33156</t>
  </si>
  <si>
    <t>John Llovet</t>
  </si>
  <si>
    <t>1847 Financial</t>
  </si>
  <si>
    <t>3057610071</t>
  </si>
  <si>
    <t>9307 South Dadeland Blvd, Suite 200, Miami, FL, 33156</t>
  </si>
  <si>
    <t>John Lopez</t>
  </si>
  <si>
    <t>FirstBank</t>
  </si>
  <si>
    <t>Commercial Loans</t>
  </si>
  <si>
    <t>(786) 269-9564</t>
  </si>
  <si>
    <t>9308 South Dadeland Blvd, Suite 200, Miami, FL, 33156</t>
  </si>
  <si>
    <t>Michelle Molina</t>
  </si>
  <si>
    <t>M3 Roofing &amp; Construction</t>
  </si>
  <si>
    <t>Roofing &amp; Gutters</t>
  </si>
  <si>
    <t>305-265-5000</t>
  </si>
  <si>
    <t>9309 South Dadeland Blvd, Suite 200, Miami, FL, 33156</t>
  </si>
  <si>
    <t>Monica Hanna</t>
  </si>
  <si>
    <t>Jhoslen Angels Inc</t>
  </si>
  <si>
    <t>7864263693</t>
  </si>
  <si>
    <t>9310 South Dadeland Blvd, Suite 200, Miami, FL, 33156</t>
  </si>
  <si>
    <t>Rie Nakai</t>
  </si>
  <si>
    <t>Compass Florida LLC</t>
  </si>
  <si>
    <t>3057463651</t>
  </si>
  <si>
    <t>9311 South Dadeland Blvd, Suite 200, Miami, FL, 33156</t>
  </si>
  <si>
    <t>Vanessa Torres</t>
  </si>
  <si>
    <t>Law Office of Vanessa D. Torres P.A.</t>
  </si>
  <si>
    <t>786-801-0271</t>
  </si>
  <si>
    <t>9312 South Dadeland Blvd, Suite 200, Miami, FL, 33156</t>
  </si>
  <si>
    <t>Xavier Schanz</t>
  </si>
  <si>
    <t>Five Star Painting</t>
  </si>
  <si>
    <t>Painter &amp; Decorator</t>
  </si>
  <si>
    <t>7862088234</t>
  </si>
  <si>
    <t>9313 South Dadeland Blvd, Suite 200, Miami, FL, 33156</t>
  </si>
  <si>
    <t>Yoandry Delgado</t>
  </si>
  <si>
    <t>KSDT</t>
  </si>
  <si>
    <t>3056703370</t>
  </si>
  <si>
    <t>BNI United</t>
  </si>
  <si>
    <t>6200 San Amaro Dr., Coral Gables, FL, 33146</t>
  </si>
  <si>
    <t>Alejandra Iglesia</t>
  </si>
  <si>
    <t>M2 Law Group PLLC</t>
  </si>
  <si>
    <t>Litigation</t>
  </si>
  <si>
    <t>7865144885</t>
  </si>
  <si>
    <t>6201 San Amaro Dr., Coral Gables, FL, 33146</t>
  </si>
  <si>
    <t>Carie Negron</t>
  </si>
  <si>
    <t>ApexOne Realty</t>
  </si>
  <si>
    <t>+1 (786) 808-9058</t>
  </si>
  <si>
    <t>6202 San Amaro Dr., Coral Gables, FL, 33146</t>
  </si>
  <si>
    <t>Craig Dorne</t>
  </si>
  <si>
    <t>Craig M Dorne PA</t>
  </si>
  <si>
    <t>305-531-7890</t>
  </si>
  <si>
    <t>6203 San Amaro Dr., Coral Gables, FL, 33146</t>
  </si>
  <si>
    <t>Douglas Hiller</t>
  </si>
  <si>
    <t>Douglas C. Hiller Attorney at Law</t>
  </si>
  <si>
    <t>305-456-4607</t>
  </si>
  <si>
    <t>6204 San Amaro Dr., Coral Gables, FL, 33146</t>
  </si>
  <si>
    <t>Erick Schaefer</t>
  </si>
  <si>
    <t>HealthPro Consultants</t>
  </si>
  <si>
    <t>+1(305) 924-1729</t>
  </si>
  <si>
    <t>6205 San Amaro Dr., Coral Gables, FL, 33146</t>
  </si>
  <si>
    <t>Ivan Lopez</t>
  </si>
  <si>
    <t>Lightning Legal Courier Inc.</t>
  </si>
  <si>
    <t>Legal &amp; Accounting (Other)</t>
  </si>
  <si>
    <t>+1 (786) 286-4167</t>
  </si>
  <si>
    <t>6206 San Amaro Dr., Coral Gables, FL, 33146</t>
  </si>
  <si>
    <t>Larry Castillo</t>
  </si>
  <si>
    <t>Commercial Bank Services</t>
  </si>
  <si>
    <t>+1 (305) 926-5904</t>
  </si>
  <si>
    <t>6207 San Amaro Dr., Coral Gables, FL, 33146</t>
  </si>
  <si>
    <t>Leonardo Martinez</t>
  </si>
  <si>
    <t>LGM Immigration Law Firm PLLC</t>
  </si>
  <si>
    <t>+17864038958</t>
  </si>
  <si>
    <t>6208 San Amaro Dr., Coral Gables, FL, 33146</t>
  </si>
  <si>
    <t>Manny Mendez</t>
  </si>
  <si>
    <t>Professional Tech Solutions</t>
  </si>
  <si>
    <t>IT &amp; Networks</t>
  </si>
  <si>
    <t>305-677-3771</t>
  </si>
  <si>
    <t>6209 San Amaro Dr., Coral Gables, FL, 33146</t>
  </si>
  <si>
    <t>Manny Segarra</t>
  </si>
  <si>
    <t>Segarra &amp; Associates PA</t>
  </si>
  <si>
    <t>3,057,425,042</t>
  </si>
  <si>
    <t>6210 San Amaro Dr., Coral Gables, FL, 33146</t>
  </si>
  <si>
    <t>Pedro Chacin</t>
  </si>
  <si>
    <t>Pedro Chacin MBA INC DBA Coaches Financieros</t>
  </si>
  <si>
    <t>305-332-0002</t>
  </si>
  <si>
    <t>6211 San Amaro Dr., Coral Gables, FL, 33146</t>
  </si>
  <si>
    <t>Peter Myrtetus</t>
  </si>
  <si>
    <t>Capital Group Funding</t>
  </si>
  <si>
    <t>3057256795</t>
  </si>
  <si>
    <t>6212 San Amaro Dr., Coral Gables, FL, 33146</t>
  </si>
  <si>
    <t>Prya Murad</t>
  </si>
  <si>
    <t>Prya Murad Law</t>
  </si>
  <si>
    <t>Criminal Defense Law</t>
  </si>
  <si>
    <t>8595767034</t>
  </si>
  <si>
    <t>6213 San Amaro Dr., Coral Gables, FL, 33146</t>
  </si>
  <si>
    <t>Sergio Fernandez</t>
  </si>
  <si>
    <t>Synovus Securities</t>
  </si>
  <si>
    <t>3054795190</t>
  </si>
  <si>
    <t>6214 San Amaro Dr., Coral Gables, FL, 33146</t>
  </si>
  <si>
    <t>Shannon Del Prado</t>
  </si>
  <si>
    <t>Pita Weber Del Prado</t>
  </si>
  <si>
    <t>305-670-8060</t>
  </si>
  <si>
    <t>6215 San Amaro Dr., Coral Gables, FL, 33146</t>
  </si>
  <si>
    <t>Steven Dohan</t>
  </si>
  <si>
    <t>Dohan Certified Public Accountants</t>
  </si>
  <si>
    <t>305-274-1367</t>
  </si>
  <si>
    <t>6216 San Amaro Dr., Coral Gables, FL, 33146</t>
  </si>
  <si>
    <t>Yailem Hernandez</t>
  </si>
  <si>
    <t>Del Toro Insurance</t>
  </si>
  <si>
    <t>3059514833</t>
  </si>
  <si>
    <t>BNI Pinnacle</t>
  </si>
  <si>
    <t>2457 E Sunrise Blvd, Fort Lauderdale, FL, 33304</t>
  </si>
  <si>
    <t>Adam Friedman</t>
  </si>
  <si>
    <t>Levin Litigation</t>
  </si>
  <si>
    <t>Legal &amp; Accounting &gt; Legal &amp; Accounting (Other)</t>
  </si>
  <si>
    <t>9546957148</t>
  </si>
  <si>
    <t>BNI Energy</t>
  </si>
  <si>
    <t>7230 SW 59th Avenue, South Miami, FL, 33156</t>
  </si>
  <si>
    <t>Ana Augusto</t>
  </si>
  <si>
    <t>Law Office of Ana C. Augusto P.A.</t>
  </si>
  <si>
    <t>305-507-7655</t>
  </si>
  <si>
    <t>7231 SW 59th Avenue, South Miami, FL, 33156</t>
  </si>
  <si>
    <t>Armando Paz Jr</t>
  </si>
  <si>
    <t>Diversified Employer Benefits</t>
  </si>
  <si>
    <t>786-306-4587</t>
  </si>
  <si>
    <t>7232 SW 59th Avenue, South Miami, FL, 33156</t>
  </si>
  <si>
    <t>Errol Eisinger</t>
  </si>
  <si>
    <t>Association Lending Services</t>
  </si>
  <si>
    <t>786-205-9842</t>
  </si>
  <si>
    <t>7233 SW 59th Avenue, South Miami, FL, 33156</t>
  </si>
  <si>
    <t>Jordan Francis Perez</t>
  </si>
  <si>
    <t>Strang Tryson PLLC</t>
  </si>
  <si>
    <t>3053978800</t>
  </si>
  <si>
    <t>7234 SW 59th Avenue, South Miami, FL, 33156</t>
  </si>
  <si>
    <t>Kiki Buckham</t>
  </si>
  <si>
    <t>COMPASS - Residential &amp; Commercial Broker Associate</t>
  </si>
  <si>
    <t>+17864863633</t>
  </si>
  <si>
    <t>7235 SW 59th Avenue, South Miami, FL, 33156</t>
  </si>
  <si>
    <t>Lawrence Lambert</t>
  </si>
  <si>
    <t>Law Office of Lawrence B. Lambert</t>
  </si>
  <si>
    <t>3054593033</t>
  </si>
  <si>
    <t>7236 SW 59th Avenue, South Miami, FL, 33156</t>
  </si>
  <si>
    <t>Lester Langer</t>
  </si>
  <si>
    <t>Salmon &amp; Dulberg</t>
  </si>
  <si>
    <t>Mediator</t>
  </si>
  <si>
    <t>3053715490</t>
  </si>
  <si>
    <t>7237 SW 59th Avenue, South Miami, FL, 33156</t>
  </si>
  <si>
    <t>Mark Glidden</t>
  </si>
  <si>
    <t>Breeze Air Conditioning Inc.</t>
  </si>
  <si>
    <t>305-233-5030</t>
  </si>
  <si>
    <t>7238 SW 59th Avenue, South Miami, FL, 33156</t>
  </si>
  <si>
    <t>Mary Haughie</t>
  </si>
  <si>
    <t>Triton Insurance Group</t>
  </si>
  <si>
    <t>305-842-3601</t>
  </si>
  <si>
    <t>7239 SW 59th Avenue, South Miami, FL, 33156</t>
  </si>
  <si>
    <t>Michael Rehr</t>
  </si>
  <si>
    <t>Law Office of Michael E Rehr PA.</t>
  </si>
  <si>
    <t>3056708993</t>
  </si>
  <si>
    <t>7240 SW 59th Avenue, South Miami, FL, 33156</t>
  </si>
  <si>
    <t>Philip Logue</t>
  </si>
  <si>
    <t>First Choice Mortgage</t>
  </si>
  <si>
    <t>3053223751</t>
  </si>
  <si>
    <t>7241 SW 59th Avenue, South Miami, FL, 33156</t>
  </si>
  <si>
    <t>Phillip Sheehe</t>
  </si>
  <si>
    <t>Sheehe &amp; Associates P.A.</t>
  </si>
  <si>
    <t>305-379-3515</t>
  </si>
  <si>
    <t>7242 SW 59th Avenue, South Miami, FL, 33156</t>
  </si>
  <si>
    <t>Robert Sepulveda</t>
  </si>
  <si>
    <t>Explr LLC</t>
  </si>
  <si>
    <t>Leadership Coach</t>
  </si>
  <si>
    <t>3052057108</t>
  </si>
  <si>
    <t>7243 SW 59th Avenue, South Miami, FL, 33156</t>
  </si>
  <si>
    <t>Rosa Rivera</t>
  </si>
  <si>
    <t>Nunez Estate Law &amp; Title</t>
  </si>
  <si>
    <t>3059625929</t>
  </si>
  <si>
    <t>7244 SW 59th Avenue, South Miami, FL, 33156</t>
  </si>
  <si>
    <t>Sandra Acosta-Calderon</t>
  </si>
  <si>
    <t>The Siba Group Inc.</t>
  </si>
  <si>
    <t>Accounting Services</t>
  </si>
  <si>
    <t>305-984-4690</t>
  </si>
  <si>
    <t>7245 SW 59th Avenue, South Miami, FL, 33156</t>
  </si>
  <si>
    <t>Sean Walker</t>
  </si>
  <si>
    <t>3,057,421,929</t>
  </si>
  <si>
    <t>7246 SW 59th Avenue, South Miami, FL, 33156</t>
  </si>
  <si>
    <t>Skip Pita</t>
  </si>
  <si>
    <t>305-670-2889</t>
  </si>
  <si>
    <t>BNI University</t>
  </si>
  <si>
    <t>9100 N. Kendall Drive, Miami, FL, 33176</t>
  </si>
  <si>
    <t>Anna Fernandez</t>
  </si>
  <si>
    <t>Legal Lotus P.A.</t>
  </si>
  <si>
    <t>(786) 584-2452</t>
  </si>
  <si>
    <t>9101 N. Kendall Drive, Miami, FL, 33176</t>
  </si>
  <si>
    <t>Barbara Amaro</t>
  </si>
  <si>
    <t>M Barbara Amaro Attorney at Law</t>
  </si>
  <si>
    <t>Wills/Trusts</t>
  </si>
  <si>
    <t>3053847213</t>
  </si>
  <si>
    <t>9102 N. Kendall Drive, Miami, FL, 33176</t>
  </si>
  <si>
    <t>Christian Barrientos</t>
  </si>
  <si>
    <t>Property Owner Advocates LLC</t>
  </si>
  <si>
    <t>+19544067870</t>
  </si>
  <si>
    <t>9103 N. Kendall Drive, Miami, FL, 33176</t>
  </si>
  <si>
    <t>Daniel Perez</t>
  </si>
  <si>
    <t>Amerant Bank</t>
  </si>
  <si>
    <t>3059092601</t>
  </si>
  <si>
    <t>9104 N. Kendall Drive, Miami, FL, 33176</t>
  </si>
  <si>
    <t>Eduardo Lara</t>
  </si>
  <si>
    <t>Elite Impact Glass</t>
  </si>
  <si>
    <t>Windows &amp; Doors</t>
  </si>
  <si>
    <t>3054314389</t>
  </si>
  <si>
    <t>9105 N. Kendall Drive, Miami, FL, 33176</t>
  </si>
  <si>
    <t>Eric Lopez</t>
  </si>
  <si>
    <t>NEW YORK LIFE</t>
  </si>
  <si>
    <t>3055865625</t>
  </si>
  <si>
    <t>9106 N. Kendall Drive, Miami, FL, 33176</t>
  </si>
  <si>
    <t>Evan Abel</t>
  </si>
  <si>
    <t>Rubenstein Law</t>
  </si>
  <si>
    <t>7865237213</t>
  </si>
  <si>
    <t>9107 N. Kendall Drive, Miami, FL, 33176</t>
  </si>
  <si>
    <t>Juan Carlos Toca</t>
  </si>
  <si>
    <t>TOCA Construction Inc</t>
  </si>
  <si>
    <t>9108 N. Kendall Drive, Miami, FL, 33176</t>
  </si>
  <si>
    <t>Kendra Campbell Borja</t>
  </si>
  <si>
    <t>eXp Realty</t>
  </si>
  <si>
    <t>305-900-5530</t>
  </si>
  <si>
    <t>9109 N. Kendall Drive, Miami, FL, 33176</t>
  </si>
  <si>
    <t>Leandro Perez de Gracia</t>
  </si>
  <si>
    <t>TP Group CPA LLC</t>
  </si>
  <si>
    <t>786-567-2714</t>
  </si>
  <si>
    <t>9110 N. Kendall Drive, Miami, FL, 33176</t>
  </si>
  <si>
    <t>Lillian Cedeno</t>
  </si>
  <si>
    <t>Lillian Cedeno Luxury Travel</t>
  </si>
  <si>
    <t>Travel Agent</t>
  </si>
  <si>
    <t>7864891630</t>
  </si>
  <si>
    <t>9111 N. Kendall Drive, Miami, FL, 33176</t>
  </si>
  <si>
    <t>Luz Martinez</t>
  </si>
  <si>
    <t>Luz Martinez Counseling</t>
  </si>
  <si>
    <t>Counselor/Psychotherapist</t>
  </si>
  <si>
    <t>786-383-1443</t>
  </si>
  <si>
    <t>9112 N. Kendall Drive, Miami, FL, 33176</t>
  </si>
  <si>
    <t>Maria Escoto-Castiello</t>
  </si>
  <si>
    <t>Maria I Escoto-Castiello PA</t>
  </si>
  <si>
    <t>305860-0991</t>
  </si>
  <si>
    <t>9113 N. Kendall Drive, Miami, FL, 33176</t>
  </si>
  <si>
    <t>Matthew Barkett</t>
  </si>
  <si>
    <t>Reel Mortgage Solutions LLC</t>
  </si>
  <si>
    <t>3053221087</t>
  </si>
  <si>
    <t>9114 N. Kendall Drive, Miami, FL, 33176</t>
  </si>
  <si>
    <t>Richard Sixto Jr</t>
  </si>
  <si>
    <t>BLUE Missions</t>
  </si>
  <si>
    <t>3056326553</t>
  </si>
  <si>
    <t>9115 N. Kendall Drive, Miami, FL, 33176</t>
  </si>
  <si>
    <t>Roxana Clemente</t>
  </si>
  <si>
    <t>Cava Law</t>
  </si>
  <si>
    <t>Bankruptcy Law</t>
  </si>
  <si>
    <t>7866756830</t>
  </si>
  <si>
    <t>9116 N. Kendall Drive, Miami, FL, 33176</t>
  </si>
  <si>
    <t>Tom Paz</t>
  </si>
  <si>
    <t>Janney Montgomery Scott</t>
  </si>
  <si>
    <t>786-646-6031</t>
  </si>
  <si>
    <t>9117 N. Kendall Drive, Miami, FL, 33176</t>
  </si>
  <si>
    <t>Zonia Varela</t>
  </si>
  <si>
    <t>WE Insure</t>
  </si>
  <si>
    <t>305207-4247</t>
  </si>
  <si>
    <t>BNI Dadeland</t>
  </si>
  <si>
    <t>9300 S. Dadeland Blvd., Suite 200, Miami, FL, 33156</t>
  </si>
  <si>
    <t>Adriana Asencio</t>
  </si>
  <si>
    <t>Bank United</t>
  </si>
  <si>
    <t>305-752-1275</t>
  </si>
  <si>
    <t>9301 S. Dadeland Blvd., Suite 200, Miami, FL, 33156</t>
  </si>
  <si>
    <t>Akia Brown</t>
  </si>
  <si>
    <t>Purified Wellness Aesthetics</t>
  </si>
  <si>
    <t>Medical Services</t>
  </si>
  <si>
    <t>7,869,251,040</t>
  </si>
  <si>
    <t>9302 S. Dadeland Blvd., Suite 200, Miami, FL, 33156</t>
  </si>
  <si>
    <t>Alejandro Diaz</t>
  </si>
  <si>
    <t>Hernandez Plumbing Co</t>
  </si>
  <si>
    <t>Plumbing</t>
  </si>
  <si>
    <t>+17863010482</t>
  </si>
  <si>
    <t>9303 S. Dadeland Blvd., Suite 200, Miami, FL, 33156</t>
  </si>
  <si>
    <t>Alex Rodriguez</t>
  </si>
  <si>
    <t>Redland Realty and Auction</t>
  </si>
  <si>
    <t>Real Estate Services (Other)</t>
  </si>
  <si>
    <t>305-387-7777</t>
  </si>
  <si>
    <t>9304 S. Dadeland Blvd., Suite 200, Miami, FL, 33156</t>
  </si>
  <si>
    <t>Alexander Martinez</t>
  </si>
  <si>
    <t>South Flow Air Conditioning Inc.</t>
  </si>
  <si>
    <t>7,864,399,494</t>
  </si>
  <si>
    <t>9305 S. Dadeland Blvd., Suite 200, Miami, FL, 33156</t>
  </si>
  <si>
    <t>Alina Zerpa</t>
  </si>
  <si>
    <t>A to Z Social</t>
  </si>
  <si>
    <t>Digital Marketing</t>
  </si>
  <si>
    <t>3,055,090,800</t>
  </si>
  <si>
    <t>9306 S. Dadeland Blvd., Suite 200, Miami, FL, 33156</t>
  </si>
  <si>
    <t>Andres Busco</t>
  </si>
  <si>
    <t>Miami's Quality Auto Repair</t>
  </si>
  <si>
    <t>Auto/Car Repair</t>
  </si>
  <si>
    <t>3,056,614,693</t>
  </si>
  <si>
    <t>9307 S. Dadeland Blvd., Suite 200, Miami, FL, 33156</t>
  </si>
  <si>
    <t>Armando Camejo</t>
  </si>
  <si>
    <t>Integrated Technology Services</t>
  </si>
  <si>
    <t>3,054,742,999</t>
  </si>
  <si>
    <t>9308 S. Dadeland Blvd., Suite 200, Miami, FL, 33156</t>
  </si>
  <si>
    <t>Barry Simons</t>
  </si>
  <si>
    <t>Law Offices of Barry L. Simons</t>
  </si>
  <si>
    <t>305-670-7020</t>
  </si>
  <si>
    <t>9309 S. Dadeland Blvd., Suite 200, Miami, FL, 33156</t>
  </si>
  <si>
    <t>Carlos Garcia</t>
  </si>
  <si>
    <t>Please Hold Advertising</t>
  </si>
  <si>
    <t>Telecommunications (Other)</t>
  </si>
  <si>
    <t>305-388-3088</t>
  </si>
  <si>
    <t>9310 S. Dadeland Blvd., Suite 200, Miami, FL, 33156</t>
  </si>
  <si>
    <t>Chris Daley</t>
  </si>
  <si>
    <t>Solvo Global</t>
  </si>
  <si>
    <t>Human Resources</t>
  </si>
  <si>
    <t>305-318-8541</t>
  </si>
  <si>
    <t>9311 S. Dadeland Blvd., Suite 200, Miami, FL, 33156</t>
  </si>
  <si>
    <t>Dale Walker</t>
  </si>
  <si>
    <t>Dale's Handyman Service</t>
  </si>
  <si>
    <t>9,548,682,933</t>
  </si>
  <si>
    <t>9312 S. Dadeland Blvd., Suite 200, Miami, FL, 33156</t>
  </si>
  <si>
    <t>Damian Alberti</t>
  </si>
  <si>
    <t>Countywide Auto Glass</t>
  </si>
  <si>
    <t>305-305-0843</t>
  </si>
  <si>
    <t>9313 S. Dadeland Blvd., Suite 200, Miami, FL, 33156</t>
  </si>
  <si>
    <t>Daniel Izquierdo</t>
  </si>
  <si>
    <t>Izquierdo Law Firm</t>
  </si>
  <si>
    <t>305-707-7345</t>
  </si>
  <si>
    <t>9314 S. Dadeland Blvd., Suite 200, Miami, FL, 33156</t>
  </si>
  <si>
    <t>David Goldweitz</t>
  </si>
  <si>
    <t>KSDT CPA</t>
  </si>
  <si>
    <t>305-670-3370</t>
  </si>
  <si>
    <t>9315 S. Dadeland Blvd., Suite 200, Miami, FL, 33156</t>
  </si>
  <si>
    <t>Eddy Alvarez</t>
  </si>
  <si>
    <t>Card Connect</t>
  </si>
  <si>
    <t>Credit Card/Merchant Services</t>
  </si>
  <si>
    <t>754-701-0045</t>
  </si>
  <si>
    <t>9316 S. Dadeland Blvd., Suite 200, Miami, FL, 33156</t>
  </si>
  <si>
    <t>Fady Maghak</t>
  </si>
  <si>
    <t>Janney Montgomery Scott LLC</t>
  </si>
  <si>
    <t>786-646-6027</t>
  </si>
  <si>
    <t>9317 S. Dadeland Blvd., Suite 200, Miami, FL, 33156</t>
  </si>
  <si>
    <t>George W Wickhorst III</t>
  </si>
  <si>
    <t>Law Offices of George W. Wickhorst</t>
  </si>
  <si>
    <t>305-9070607</t>
  </si>
  <si>
    <t>9318 S. Dadeland Blvd., Suite 200, Miami, FL, 33156</t>
  </si>
  <si>
    <t>Irama Valdes</t>
  </si>
  <si>
    <t>(305) 477-1111</t>
  </si>
  <si>
    <t>9319 S. Dadeland Blvd., Suite 200, Miami, FL, 33156</t>
  </si>
  <si>
    <t>Jane Kaufman</t>
  </si>
  <si>
    <t>Acupuncture Physician</t>
  </si>
  <si>
    <t>Acupuncture</t>
  </si>
  <si>
    <t>786-242-3885</t>
  </si>
  <si>
    <t>9320 S. Dadeland Blvd., Suite 200, Miami, FL, 33156</t>
  </si>
  <si>
    <t>John Caycedo</t>
  </si>
  <si>
    <t>Information Technology Services</t>
  </si>
  <si>
    <t>786-234-0888</t>
  </si>
  <si>
    <t>9321 S. Dadeland Blvd., Suite 200, Miami, FL, 33156</t>
  </si>
  <si>
    <t>Jorge Restrepo</t>
  </si>
  <si>
    <t>Florida Home Improvement Associates</t>
  </si>
  <si>
    <t>6,822,277,961</t>
  </si>
  <si>
    <t>9322 S. Dadeland Blvd., Suite 200, Miami, FL, 33156</t>
  </si>
  <si>
    <t>Kai Jacobs</t>
  </si>
  <si>
    <t>South Florida Business Law Group</t>
  </si>
  <si>
    <t>3,057,689,846</t>
  </si>
  <si>
    <t>9323 S. Dadeland Blvd., Suite 200, Miami, FL, 33156</t>
  </si>
  <si>
    <t>Kameron Senemar</t>
  </si>
  <si>
    <t>The Mortgage Group</t>
  </si>
  <si>
    <t>305-906-0444</t>
  </si>
  <si>
    <t>9324 S. Dadeland Blvd., Suite 200, Miami, FL, 33156</t>
  </si>
  <si>
    <t>Karen Maley</t>
  </si>
  <si>
    <t>Chiropractic and Movement Studio</t>
  </si>
  <si>
    <t>Chiropractor</t>
  </si>
  <si>
    <t>7,864,534,226</t>
  </si>
  <si>
    <t>9325 S. Dadeland Blvd., Suite 200, Miami, FL, 33156</t>
  </si>
  <si>
    <t>Marilan Martinez</t>
  </si>
  <si>
    <t>LANMAR DESIGN GROUP LLC</t>
  </si>
  <si>
    <t>Architect</t>
  </si>
  <si>
    <t>305-733-5833</t>
  </si>
  <si>
    <t>9326 S. Dadeland Blvd., Suite 200, Miami, FL, 33156</t>
  </si>
  <si>
    <t>Mario Martinez</t>
  </si>
  <si>
    <t>Coastal Prestige Services</t>
  </si>
  <si>
    <t>Cleaning Service</t>
  </si>
  <si>
    <t>7,864,606,463</t>
  </si>
  <si>
    <t>9327 S. Dadeland Blvd., Suite 200, Miami, FL, 33156</t>
  </si>
  <si>
    <t>Mark Streeter</t>
  </si>
  <si>
    <t>All Points Claim Advisors</t>
  </si>
  <si>
    <t>5,616,331,306</t>
  </si>
  <si>
    <t>9328 S. Dadeland Blvd., Suite 200, Miami, FL, 33156</t>
  </si>
  <si>
    <t>Marlene Hasner</t>
  </si>
  <si>
    <t>Marlene L Hasner</t>
  </si>
  <si>
    <t>3,052,815,065</t>
  </si>
  <si>
    <t>9329 S. Dadeland Blvd., Suite 200, Miami, FL, 33156</t>
  </si>
  <si>
    <t>Matthew Alvarez</t>
  </si>
  <si>
    <t>Overall Inspections LLC</t>
  </si>
  <si>
    <t>7,863,557,467</t>
  </si>
  <si>
    <t>9330 S. Dadeland Blvd., Suite 200, Miami, FL, 33156</t>
  </si>
  <si>
    <t>Michael Brown</t>
  </si>
  <si>
    <t>Paradise Pest Solutions</t>
  </si>
  <si>
    <t>305-901-7378</t>
  </si>
  <si>
    <t>9331 S. Dadeland Blvd., Suite 200, Miami, FL, 33156</t>
  </si>
  <si>
    <t>Michael Ruiz</t>
  </si>
  <si>
    <t>Barrier roofing and construction</t>
  </si>
  <si>
    <t>+1 (786)5026136</t>
  </si>
  <si>
    <t>9332 S. Dadeland Blvd., Suite 200, Miami, FL, 33156</t>
  </si>
  <si>
    <t>Mitchell Panter</t>
  </si>
  <si>
    <t>Panter &amp; Sampedro</t>
  </si>
  <si>
    <t>305662-6178</t>
  </si>
  <si>
    <t>9333 S. Dadeland Blvd., Suite 200, Miami, FL, 33156</t>
  </si>
  <si>
    <t>Nordis Forcade-Martin</t>
  </si>
  <si>
    <t>The Forcade Group at Keller Williams Realty</t>
  </si>
  <si>
    <t>786-372-3996</t>
  </si>
  <si>
    <t>9334 S. Dadeland Blvd., Suite 200, Miami, FL, 33156</t>
  </si>
  <si>
    <t>Pablo Taquechel</t>
  </si>
  <si>
    <t>We Insure</t>
  </si>
  <si>
    <t>305-259-1910</t>
  </si>
  <si>
    <t>9335 S. Dadeland Blvd., Suite 200, Miami, FL, 33156</t>
  </si>
  <si>
    <t>PauL Echevarria</t>
  </si>
  <si>
    <t>Titan Wolfpak</t>
  </si>
  <si>
    <t>3,054,693,838</t>
  </si>
  <si>
    <t>9336 S. Dadeland Blvd., Suite 200, Miami, FL, 33156</t>
  </si>
  <si>
    <t>Ricardo Teperino</t>
  </si>
  <si>
    <t>ADP</t>
  </si>
  <si>
    <t>Payroll Service</t>
  </si>
  <si>
    <t>(786) 797-6269</t>
  </si>
  <si>
    <t>9337 S. Dadeland Blvd., Suite 200, Miami, FL, 33156</t>
  </si>
  <si>
    <t>Richard (Rick) De Aguiar</t>
  </si>
  <si>
    <t>RDA Mediation LLC</t>
  </si>
  <si>
    <t>3,055,209,705</t>
  </si>
  <si>
    <t>9338 S. Dadeland Blvd., Suite 200, Miami, FL, 33156</t>
  </si>
  <si>
    <t>Ricky Pierson</t>
  </si>
  <si>
    <t>Pierson Media</t>
  </si>
  <si>
    <t>3,058,785,430</t>
  </si>
  <si>
    <t>9339 S. Dadeland Blvd., Suite 200, Miami, FL, 33156</t>
  </si>
  <si>
    <t>Ron Abrams</t>
  </si>
  <si>
    <t>RFAbrams</t>
  </si>
  <si>
    <t>Electrician</t>
  </si>
  <si>
    <t>786-651-4807</t>
  </si>
  <si>
    <t>9340 S. Dadeland Blvd., Suite 200, Miami, FL, 33156</t>
  </si>
  <si>
    <t>Ron von Paulus</t>
  </si>
  <si>
    <t>Big Ron's Tree Service LLC</t>
  </si>
  <si>
    <t>Construction (Other)</t>
  </si>
  <si>
    <t>305-588-3091</t>
  </si>
  <si>
    <t>9341 S. Dadeland Blvd., Suite 200, Miami, FL, 33156</t>
  </si>
  <si>
    <t>Rosa Dacosta</t>
  </si>
  <si>
    <t>Paint Pros USA</t>
  </si>
  <si>
    <t>7,867,767,078</t>
  </si>
  <si>
    <t>9342 S. Dadeland Blvd., Suite 200, Miami, FL, 33156</t>
  </si>
  <si>
    <t>Sandra Navarro-Garcia</t>
  </si>
  <si>
    <t>305-264-7500</t>
  </si>
  <si>
    <t>9343 S. Dadeland Blvd., Suite 200, Miami, FL, 33156</t>
  </si>
  <si>
    <t>Tammy Garcia</t>
  </si>
  <si>
    <t>Keller Williams Commercial</t>
  </si>
  <si>
    <t>(305) 458-9737</t>
  </si>
  <si>
    <t>9344 S. Dadeland Blvd., Suite 200, Miami, FL, 33156</t>
  </si>
  <si>
    <t>Victor Fernandez</t>
  </si>
  <si>
    <t>Scott LLC</t>
  </si>
  <si>
    <t>786-646-6028</t>
  </si>
  <si>
    <t>9345 S. Dadeland Blvd., Suite 200, Miami, FL, 33156</t>
  </si>
  <si>
    <t>Wilber Valdes</t>
  </si>
  <si>
    <t>Caruva Design Build</t>
  </si>
  <si>
    <t>786-556-2436</t>
  </si>
  <si>
    <t>BNI Merrick Park</t>
  </si>
  <si>
    <t>4111 Salzedo Street, Coral Gables, FL, 33146</t>
  </si>
  <si>
    <t>Amy Burgess</t>
  </si>
  <si>
    <t>Ameriprise</t>
  </si>
  <si>
    <t>7,862,644,956</t>
  </si>
  <si>
    <t>4112 Salzedo Street, Coral Gables, FL, 33146</t>
  </si>
  <si>
    <t>Awilda Cintron</t>
  </si>
  <si>
    <t>Cintron &amp; Co. CPA</t>
  </si>
  <si>
    <t>3,053,946,799</t>
  </si>
  <si>
    <t>4113 Salzedo Street, Coral Gables, FL, 33146</t>
  </si>
  <si>
    <t>Bryan Lobos</t>
  </si>
  <si>
    <t>City National Bank</t>
  </si>
  <si>
    <t>3,053,367,841</t>
  </si>
  <si>
    <t>4114 Salzedo Street, Coral Gables, FL, 33146</t>
  </si>
  <si>
    <t>Carlo Castilla</t>
  </si>
  <si>
    <t>Berkshire Hathaway HomeServices EWM Realty</t>
  </si>
  <si>
    <t>9,178,377,264</t>
  </si>
  <si>
    <t>4115 Salzedo Street, Coral Gables, FL, 33146</t>
  </si>
  <si>
    <t>Carolina Collado</t>
  </si>
  <si>
    <t>Jimenez Mazzitelli Mordes</t>
  </si>
  <si>
    <t>305-548-8750</t>
  </si>
  <si>
    <t>4116 Salzedo Street, Coral Gables, FL, 33146</t>
  </si>
  <si>
    <t>Gabriel Segrera</t>
  </si>
  <si>
    <t>US Health Advisors</t>
  </si>
  <si>
    <t>786-972-4844</t>
  </si>
  <si>
    <t>4117 Salzedo Street, Coral Gables, FL, 33146</t>
  </si>
  <si>
    <t>Gabriela Enriquez</t>
  </si>
  <si>
    <t>HRbp Inc.</t>
  </si>
  <si>
    <t>786-873-6311</t>
  </si>
  <si>
    <t>4118 Salzedo Street, Coral Gables, FL, 33146</t>
  </si>
  <si>
    <t>Garrett Brossard</t>
  </si>
  <si>
    <t>EIG Risk</t>
  </si>
  <si>
    <t>8,057,911,727</t>
  </si>
  <si>
    <t>4119 Salzedo Street, Coral Gables, FL, 33146</t>
  </si>
  <si>
    <t>Giselle Breto</t>
  </si>
  <si>
    <t>Best Practices Title. LLC</t>
  </si>
  <si>
    <t>13,056,621,600</t>
  </si>
  <si>
    <t>4120 Salzedo Street, Coral Gables, FL, 33146</t>
  </si>
  <si>
    <t>Laudy Florentino</t>
  </si>
  <si>
    <t>Managenest LLC</t>
  </si>
  <si>
    <t>Property Management</t>
  </si>
  <si>
    <t>3053-999-386</t>
  </si>
  <si>
    <t>4121 Salzedo Street, Coral Gables, FL, 33146</t>
  </si>
  <si>
    <t>Manuel Pozas</t>
  </si>
  <si>
    <t>7,865,549,592</t>
  </si>
  <si>
    <t>4122 Salzedo Street, Coral Gables, FL, 33146</t>
  </si>
  <si>
    <t>Michael Marquez</t>
  </si>
  <si>
    <t>Therrel Baisden</t>
  </si>
  <si>
    <t>3,053,715,758</t>
  </si>
  <si>
    <t>4123 Salzedo Street, Coral Gables, FL, 33146</t>
  </si>
  <si>
    <t>Nicholas Scher</t>
  </si>
  <si>
    <t>Kaufman Rossin</t>
  </si>
  <si>
    <t>Tax Law</t>
  </si>
  <si>
    <t>3,058,126,032</t>
  </si>
  <si>
    <t>4124 Salzedo Street, Coral Gables, FL, 33146</t>
  </si>
  <si>
    <t>Nicolas Treptow</t>
  </si>
  <si>
    <t>Wolfson &amp; Leon</t>
  </si>
  <si>
    <t>3,052,851,115</t>
  </si>
  <si>
    <t>4125 Salzedo Street, Coral Gables, FL, 33146</t>
  </si>
  <si>
    <t>Santiago Fernandez</t>
  </si>
  <si>
    <t>Washing Guru</t>
  </si>
  <si>
    <t>Power Washing</t>
  </si>
  <si>
    <t>7,869,818,200</t>
  </si>
  <si>
    <t>4126 Salzedo Street, Coral Gables, FL, 33146</t>
  </si>
  <si>
    <t>Victoria Aprano</t>
  </si>
  <si>
    <t>New York Life</t>
  </si>
  <si>
    <t>786-281-6348</t>
  </si>
  <si>
    <t>BNI Miami Partners</t>
  </si>
  <si>
    <t>997 North Greenway Drive, Coral Gables, FL, 33134</t>
  </si>
  <si>
    <t>Chris Manimbo</t>
  </si>
  <si>
    <t>Edward Jones</t>
  </si>
  <si>
    <t>203-324-4308</t>
  </si>
  <si>
    <t>998 North Greenway Drive, Coral Gables, FL, 33134</t>
  </si>
  <si>
    <t>Claudia Reves Gonzalez</t>
  </si>
  <si>
    <t>Reves &amp; Betancourt</t>
  </si>
  <si>
    <t>305-209-1335</t>
  </si>
  <si>
    <t>999 North Greenway Drive, Coral Gables, FL, 33134</t>
  </si>
  <si>
    <t>Gloria Cordoves</t>
  </si>
  <si>
    <t>Precise Home Inspection Services</t>
  </si>
  <si>
    <t>Real Estate Inspector</t>
  </si>
  <si>
    <t>1000 North Greenway Drive, Coral Gables, FL, 33134</t>
  </si>
  <si>
    <t>Jennifer Gross</t>
  </si>
  <si>
    <t>305-720-6889</t>
  </si>
  <si>
    <t>1001 North Greenway Drive, Coral Gables, FL, 33134</t>
  </si>
  <si>
    <t>Jocelyn Santana</t>
  </si>
  <si>
    <t>Goldberg &amp; Rosen</t>
  </si>
  <si>
    <t>305-374-4200</t>
  </si>
  <si>
    <t>1002 North Greenway Drive, Coral Gables, FL, 33134</t>
  </si>
  <si>
    <t>Jose Cruz</t>
  </si>
  <si>
    <t>Cruz Tax &amp; Advisory Group LLC dba CTA Group</t>
  </si>
  <si>
    <t>1003 North Greenway Drive, Coral Gables, FL, 33134</t>
  </si>
  <si>
    <t>Luis Gonzalez</t>
  </si>
  <si>
    <t>T&amp;S Roofing Systems Inc.</t>
  </si>
  <si>
    <t>1004 North Greenway Drive, Coral Gables, FL, 33134</t>
  </si>
  <si>
    <t>Manny Fernandez</t>
  </si>
  <si>
    <t>Brown &amp; Brown</t>
  </si>
  <si>
    <t>305-722-7066</t>
  </si>
  <si>
    <t>1005 North Greenway Drive, Coral Gables, FL, 33134</t>
  </si>
  <si>
    <t>MARIA AQUINO-MAGHAK</t>
  </si>
  <si>
    <t>WE INSURE</t>
  </si>
  <si>
    <t>786-297-9350</t>
  </si>
  <si>
    <t>1006 North Greenway Drive, Coral Gables, FL, 33134</t>
  </si>
  <si>
    <t>Nairobi Abrams</t>
  </si>
  <si>
    <t>FIU Foundation</t>
  </si>
  <si>
    <t>305-988-4634</t>
  </si>
  <si>
    <t>1007 North Greenway Drive, Coral Gables, FL, 33134</t>
  </si>
  <si>
    <t>Olivier Lemoine</t>
  </si>
  <si>
    <t>Spartan Restorations</t>
  </si>
  <si>
    <t>Restoration</t>
  </si>
  <si>
    <t>786 288 0143</t>
  </si>
  <si>
    <t>1008 North Greenway Drive, Coral Gables, FL, 33134</t>
  </si>
  <si>
    <t>Stephen Garcia-Vidal</t>
  </si>
  <si>
    <t>Richards &amp; Partners</t>
  </si>
  <si>
    <t>305-858-9900</t>
  </si>
  <si>
    <t>1009 North Greenway Drive, Coral Gables, FL, 33134</t>
  </si>
  <si>
    <t>Vic Hyder</t>
  </si>
  <si>
    <t>Ace Handyman Services Miami Kendall</t>
  </si>
  <si>
    <t>1010 North Greenway Drive, Coral Gables, FL, 33134</t>
  </si>
  <si>
    <t>Victor Gonzalez</t>
  </si>
  <si>
    <t>+1 (786) 602-4923</t>
  </si>
  <si>
    <t>BNI Global Professionals</t>
  </si>
  <si>
    <t>Amarilis Dennis</t>
  </si>
  <si>
    <t>Dennis &amp; Dennis</t>
  </si>
  <si>
    <t>305-888-7102</t>
  </si>
  <si>
    <t>Andrew Renck</t>
  </si>
  <si>
    <t>RootPoint</t>
  </si>
  <si>
    <t>Angely Maria</t>
  </si>
  <si>
    <t>AMB Group</t>
  </si>
  <si>
    <t>(786)881-9311</t>
  </si>
  <si>
    <t>ARIEL PEDROSA</t>
  </si>
  <si>
    <t>Advanced Multisign</t>
  </si>
  <si>
    <t>Sign Company</t>
  </si>
  <si>
    <t>Bashar Baraz</t>
  </si>
  <si>
    <t>BarazFin</t>
  </si>
  <si>
    <t>904-887-5688</t>
  </si>
  <si>
    <t>BRIAN VAZQUEZ</t>
  </si>
  <si>
    <t>US HEALTH ADVISORS</t>
  </si>
  <si>
    <t>Carlos Brito</t>
  </si>
  <si>
    <t>Britos de Oliva Inteirors</t>
  </si>
  <si>
    <t>Window Treatments</t>
  </si>
  <si>
    <t>Daniel Mora</t>
  </si>
  <si>
    <t>Duke Contractors</t>
  </si>
  <si>
    <t>Efrain Martinez</t>
  </si>
  <si>
    <t>Woodlot Inc</t>
  </si>
  <si>
    <t>Carpenter</t>
  </si>
  <si>
    <t>Elie Arama</t>
  </si>
  <si>
    <t>Washington Bancard Merchant Services</t>
  </si>
  <si>
    <t>305-857-9889</t>
  </si>
  <si>
    <t>Ernesto Luciano</t>
  </si>
  <si>
    <t>Cerulean Tech Law</t>
  </si>
  <si>
    <t>George David</t>
  </si>
  <si>
    <t>George A. David</t>
  </si>
  <si>
    <t>305-968-9546</t>
  </si>
  <si>
    <t>George Campos II</t>
  </si>
  <si>
    <t>911 HOME HELPS LLC</t>
  </si>
  <si>
    <t>Gilberto Matute. Esq.</t>
  </si>
  <si>
    <t>Law Offices of Gilberto L. Matute</t>
  </si>
  <si>
    <t>1011 North Greenway Drive, Coral Gables, FL, 33134</t>
  </si>
  <si>
    <t>Ivania Jimenez</t>
  </si>
  <si>
    <t>305-476-0105</t>
  </si>
  <si>
    <t>1012 North Greenway Drive, Coral Gables, FL, 33134</t>
  </si>
  <si>
    <t>Jason Pyle</t>
  </si>
  <si>
    <t>Five Star Claims Adjusting</t>
  </si>
  <si>
    <t>786-210-7495</t>
  </si>
  <si>
    <t>1013 North Greenway Drive, Coral Gables, FL, 33134</t>
  </si>
  <si>
    <t>Javier Ramirez</t>
  </si>
  <si>
    <t>Agile CFOs Inc</t>
  </si>
  <si>
    <t>(954) 552-2917</t>
  </si>
  <si>
    <t>1014 North Greenway Drive, Coral Gables, FL, 33134</t>
  </si>
  <si>
    <t>Jerome Hernandez</t>
  </si>
  <si>
    <t>Kendall Optical Center</t>
  </si>
  <si>
    <t>305-670-6060</t>
  </si>
  <si>
    <t>1015 North Greenway Drive, Coral Gables, FL, 33134</t>
  </si>
  <si>
    <t>John Osborne</t>
  </si>
  <si>
    <t>Miami Life Coaching</t>
  </si>
  <si>
    <t>Life Coach</t>
  </si>
  <si>
    <t>610-306-6745</t>
  </si>
  <si>
    <t>1016 North Greenway Drive, Coral Gables, FL, 33134</t>
  </si>
  <si>
    <t>Jose Pujols</t>
  </si>
  <si>
    <t>Law Offices of Jose R. Pujols</t>
  </si>
  <si>
    <t>305-569-9533</t>
  </si>
  <si>
    <t>1017 North Greenway Drive, Coral Gables, FL, 33134</t>
  </si>
  <si>
    <t>Joshua Moreno</t>
  </si>
  <si>
    <t>RE/MAX Advance Realty</t>
  </si>
  <si>
    <t>(305)878-5846</t>
  </si>
  <si>
    <t>1018 North Greenway Drive, Coral Gables, FL, 33134</t>
  </si>
  <si>
    <t>Jovanny Valdes</t>
  </si>
  <si>
    <t>GreatFlorida Insurance of Pembroke Pines</t>
  </si>
  <si>
    <t>1019 North Greenway Drive, Coral Gables, FL, 33134</t>
  </si>
  <si>
    <t>Karen Pascual</t>
  </si>
  <si>
    <t>First Citizens Bank</t>
  </si>
  <si>
    <t>786-554-2884</t>
  </si>
  <si>
    <t>1020 North Greenway Drive, Coral Gables, FL, 33134</t>
  </si>
  <si>
    <t>Kevin Calienes</t>
  </si>
  <si>
    <t>Khaos Construction Company</t>
  </si>
  <si>
    <t>+17866891698</t>
  </si>
  <si>
    <t>1021 North Greenway Drive, Coral Gables, FL, 33134</t>
  </si>
  <si>
    <t>Lissa Nirenberg</t>
  </si>
  <si>
    <t>Miami Oriental Medicine</t>
  </si>
  <si>
    <t>305-567-1973</t>
  </si>
  <si>
    <t>1022 North Greenway Drive, Coral Gables, FL, 33134</t>
  </si>
  <si>
    <t>Marcelino Hernandez</t>
  </si>
  <si>
    <t>Bekins of South Florida</t>
  </si>
  <si>
    <t>Moving Company</t>
  </si>
  <si>
    <t>305-527-2738</t>
  </si>
  <si>
    <t>1023 North Greenway Drive, Coral Gables, FL, 33134</t>
  </si>
  <si>
    <t>Marcus Callegari</t>
  </si>
  <si>
    <t>HUB</t>
  </si>
  <si>
    <t>1024 North Greenway Drive, Coral Gables, FL, 33134</t>
  </si>
  <si>
    <t>Monique Selman</t>
  </si>
  <si>
    <t>Albany Homes Construction Inc</t>
  </si>
  <si>
    <t>1025 North Greenway Drive, Coral Gables, FL, 33134</t>
  </si>
  <si>
    <t>Nick Adams</t>
  </si>
  <si>
    <t>ONE Sotheby's International Realty</t>
  </si>
  <si>
    <t>305-632-0099</t>
  </si>
  <si>
    <t>1026 North Greenway Drive, Coral Gables, FL, 33134</t>
  </si>
  <si>
    <t>Nick Brando</t>
  </si>
  <si>
    <t>(305) 469-9441</t>
  </si>
  <si>
    <t>1027 North Greenway Drive, Coral Gables, FL, 33134</t>
  </si>
  <si>
    <t>RANDY WEINSTEIN</t>
  </si>
  <si>
    <t>MASS MUTUAL MIAMI</t>
  </si>
  <si>
    <t>305-903-0312</t>
  </si>
  <si>
    <t>1028 North Greenway Drive, Coral Gables, FL, 33134</t>
  </si>
  <si>
    <t>Robert Bueso</t>
  </si>
  <si>
    <t>The Valuation Group</t>
  </si>
  <si>
    <t>305-989-0365</t>
  </si>
  <si>
    <t>1029 North Greenway Drive, Coral Gables, FL, 33134</t>
  </si>
  <si>
    <t>Roel van de Ven</t>
  </si>
  <si>
    <t>Keyrenter Property Management Miami West</t>
  </si>
  <si>
    <t>1030 North Greenway Drive, Coral Gables, FL, 33134</t>
  </si>
  <si>
    <t>Ronny Chong</t>
  </si>
  <si>
    <t>RSC CPA Solutions LLC</t>
  </si>
  <si>
    <t>(305) 330-6141</t>
  </si>
  <si>
    <t>1031 North Greenway Drive, Coral Gables, FL, 33134</t>
  </si>
  <si>
    <t>Sandrine Riboul</t>
  </si>
  <si>
    <t>Gables Perfect Smile</t>
  </si>
  <si>
    <t>General Dentist</t>
  </si>
  <si>
    <t>1032 North Greenway Drive, Coral Gables, FL, 33134</t>
  </si>
  <si>
    <t>Sebastian Pincetti</t>
  </si>
  <si>
    <t>SRP USA.</t>
  </si>
  <si>
    <t>1033 North Greenway Drive, Coral Gables, FL, 33134</t>
  </si>
  <si>
    <t>Thalia Mustelier</t>
  </si>
  <si>
    <t>Granny Nannies</t>
  </si>
  <si>
    <t>In-Home Care</t>
  </si>
  <si>
    <t>1034 North Greenway Drive, Coral Gables, FL, 33134</t>
  </si>
  <si>
    <t>THOMAS MAURNO</t>
  </si>
  <si>
    <t>1035 North Greenway Drive, Coral Gables, FL, 33134</t>
  </si>
  <si>
    <t>Todd Wheeler</t>
  </si>
  <si>
    <t>TD Bank</t>
  </si>
  <si>
    <t>305 608 5019</t>
  </si>
  <si>
    <t>1036 North Greenway Drive, Coral Gables, FL, 33134</t>
  </si>
  <si>
    <t>Veronica Restrepo</t>
  </si>
  <si>
    <t>Lorie Interiors</t>
  </si>
  <si>
    <t>Interior Design</t>
  </si>
  <si>
    <t>1037 North Greenway Drive, Coral Gables, FL, 33134</t>
  </si>
  <si>
    <t>Walter Reynoso</t>
  </si>
  <si>
    <t>Law Offices of Walter Reynoso</t>
  </si>
  <si>
    <t>305-441-8881</t>
  </si>
  <si>
    <t>BNI Referral Professionals</t>
  </si>
  <si>
    <t>Miami, FL, 33134</t>
  </si>
  <si>
    <t>Adam Tavakoly</t>
  </si>
  <si>
    <t>CompuSource</t>
  </si>
  <si>
    <t>305-234-5555</t>
  </si>
  <si>
    <t>Miami, FL, 33135</t>
  </si>
  <si>
    <t>Alina Nunez</t>
  </si>
  <si>
    <t>Nuñez Estate Law and Title</t>
  </si>
  <si>
    <t>305-962-5929</t>
  </si>
  <si>
    <t>Miami, FL, 33136</t>
  </si>
  <si>
    <t>Donna Alfonso</t>
  </si>
  <si>
    <t>Best Pest Control</t>
  </si>
  <si>
    <t>786-293-9437</t>
  </si>
  <si>
    <t>Miami, FL, 33137</t>
  </si>
  <si>
    <t>Eoline Watson</t>
  </si>
  <si>
    <t>Women's Breast &amp; Heart Initiative</t>
  </si>
  <si>
    <t>Miami, FL, 33138</t>
  </si>
  <si>
    <t>Fidel Fernandez</t>
  </si>
  <si>
    <t>First Bank Florida</t>
  </si>
  <si>
    <t>305-552-1515</t>
  </si>
  <si>
    <t>Miami, FL, 33139</t>
  </si>
  <si>
    <t>Francine Rush</t>
  </si>
  <si>
    <t>The Assurance Group</t>
  </si>
  <si>
    <t>561-373-2444</t>
  </si>
  <si>
    <t>Miami, FL, 33140</t>
  </si>
  <si>
    <t>Gary D. Gray</t>
  </si>
  <si>
    <t>Gray Capital Management</t>
  </si>
  <si>
    <t>786-247-7289</t>
  </si>
  <si>
    <t>Miami, FL, 33141</t>
  </si>
  <si>
    <t>Jamie Hinman</t>
  </si>
  <si>
    <t>Lending Spot</t>
  </si>
  <si>
    <t/>
  </si>
  <si>
    <t>Miami, FL, 33142</t>
  </si>
  <si>
    <t>Keith D. Berman</t>
  </si>
  <si>
    <t>Thrivent Financial</t>
  </si>
  <si>
    <t>305-596-6730</t>
  </si>
  <si>
    <t>Miami, FL, 33143</t>
  </si>
  <si>
    <t>Leandro Mondino</t>
  </si>
  <si>
    <t>LRM Finish</t>
  </si>
  <si>
    <t>786-728-2202</t>
  </si>
  <si>
    <t>Miami, FL, 33144</t>
  </si>
  <si>
    <t>Marisol Garcia</t>
  </si>
  <si>
    <t>Employer Benefits Consulting</t>
  </si>
  <si>
    <t>(305) 252-9980</t>
  </si>
  <si>
    <t>Miami, FL, 33145</t>
  </si>
  <si>
    <t>Martin Guerra</t>
  </si>
  <si>
    <t>Cafe Trips and Tours</t>
  </si>
  <si>
    <t>+19042740744</t>
  </si>
  <si>
    <t>Miami, FL, 33146</t>
  </si>
  <si>
    <t>Maycol Delgado</t>
  </si>
  <si>
    <t>Greener Roofing &amp; Solar</t>
  </si>
  <si>
    <t>Miami, FL, 33147</t>
  </si>
  <si>
    <t>Pamela Moseley Mayers</t>
  </si>
  <si>
    <t>BHHS EWM Realty</t>
  </si>
  <si>
    <t>305 216-5864</t>
  </si>
  <si>
    <t>Miami, FL, 33148</t>
  </si>
  <si>
    <t>Petar Pavlovic</t>
  </si>
  <si>
    <t>Real Merchant Services</t>
  </si>
  <si>
    <t>+17867369898</t>
  </si>
  <si>
    <t>Miami, FL, 33149</t>
  </si>
  <si>
    <t>Robert Rossano</t>
  </si>
  <si>
    <t>Rossano Law</t>
  </si>
  <si>
    <t>Miami, FL, 33150</t>
  </si>
  <si>
    <t>Soraya Jiha</t>
  </si>
  <si>
    <t>Soraya W Jiha CPA</t>
  </si>
  <si>
    <t>305-238-2411</t>
  </si>
  <si>
    <t>Miami, FL, 33151</t>
  </si>
  <si>
    <t>Tamara Mourino</t>
  </si>
  <si>
    <t>GreatFlorida Insurance-Palmetto Bay</t>
  </si>
  <si>
    <t>Insurance Broker</t>
  </si>
  <si>
    <t>305-256-0616</t>
  </si>
  <si>
    <t>Miami, FL, 33152</t>
  </si>
  <si>
    <t>Tejas Sanghvi</t>
  </si>
  <si>
    <t>Syndell Inc</t>
  </si>
  <si>
    <t>Web Development</t>
  </si>
  <si>
    <t>+12146002592</t>
  </si>
  <si>
    <t>Miami, FL, 33153</t>
  </si>
  <si>
    <t>Zohany Pulido</t>
  </si>
  <si>
    <t>Quality Property Inspector</t>
  </si>
  <si>
    <t>BNI Miami Masters</t>
  </si>
  <si>
    <t>4299 NW 36th Street, Miami, FL, 33166</t>
  </si>
  <si>
    <t>Ainars Anis</t>
  </si>
  <si>
    <t>EPAA LLC</t>
  </si>
  <si>
    <t>4300 NW 36th Street, Miami, FL, 33166</t>
  </si>
  <si>
    <t>Alain Roman</t>
  </si>
  <si>
    <t>The Law Office of Alain Roman</t>
  </si>
  <si>
    <t>4301 NW 36th Street, Miami, FL, 33166</t>
  </si>
  <si>
    <t>Alex Boulanger</t>
  </si>
  <si>
    <t>Bigfoot Construction|Impact Windows &amp; Doors</t>
  </si>
  <si>
    <t>305-753-5257</t>
  </si>
  <si>
    <t>4302 NW 36th Street, Miami, FL, 33166</t>
  </si>
  <si>
    <t>Camilo Espinosa</t>
  </si>
  <si>
    <t>Loigica</t>
  </si>
  <si>
    <t>4303 NW 36th Street, Miami, FL, 33166</t>
  </si>
  <si>
    <t>Carlos Gueits</t>
  </si>
  <si>
    <t>Springs Roofing Corp</t>
  </si>
  <si>
    <t>4304 NW 36th Street, Miami, FL, 33166</t>
  </si>
  <si>
    <t>DANIEL RAMIREZ</t>
  </si>
  <si>
    <t>Regis RO</t>
  </si>
  <si>
    <t>Virtual Assistant</t>
  </si>
  <si>
    <t>4305 NW 36th Street, Miami, FL, 33166</t>
  </si>
  <si>
    <t>David Djebelli</t>
  </si>
  <si>
    <t>Djebelli Torres PLLC d/b/a The Closing Law Firm</t>
  </si>
  <si>
    <t>305-661-3908</t>
  </si>
  <si>
    <t>4306 NW 36th Street, Miami, FL, 33166</t>
  </si>
  <si>
    <t>David Thomas</t>
  </si>
  <si>
    <t>Elevate Commerial Cleaning</t>
  </si>
  <si>
    <t>Commercial Cleaning</t>
  </si>
  <si>
    <t>4307 NW 36th Street, Miami, FL, 33166</t>
  </si>
  <si>
    <t>Eric Piedra</t>
  </si>
  <si>
    <t>CardConnect</t>
  </si>
  <si>
    <t>4308 NW 36th Street, Miami, FL, 33166</t>
  </si>
  <si>
    <t>Francisco Marty</t>
  </si>
  <si>
    <t>Law Office of Francisco A. Marty</t>
  </si>
  <si>
    <t>305-5455282</t>
  </si>
  <si>
    <t>4309 NW 36th Street, Miami, FL, 33166</t>
  </si>
  <si>
    <t>Gerardo Cajuso</t>
  </si>
  <si>
    <t>Cajuso cooling</t>
  </si>
  <si>
    <t>305-200-9157</t>
  </si>
  <si>
    <t>4310 NW 36th Street, Miami, FL, 33166</t>
  </si>
  <si>
    <t>Giacomo Bossa</t>
  </si>
  <si>
    <t>Barakat + Bossa</t>
  </si>
  <si>
    <t>507 242 6772</t>
  </si>
  <si>
    <t>4311 NW 36th Street, Miami, FL, 33166</t>
  </si>
  <si>
    <t>Iliana Carbajal</t>
  </si>
  <si>
    <t>Terrabank N.A.</t>
  </si>
  <si>
    <t>305-227-7788</t>
  </si>
  <si>
    <t>4312 NW 36th Street, Miami, FL, 33166</t>
  </si>
  <si>
    <t>Ines Menendez</t>
  </si>
  <si>
    <t>M.C. Financial Group</t>
  </si>
  <si>
    <t>305-776-0189</t>
  </si>
  <si>
    <t>4313 NW 36th Street, Miami, FL, 33166</t>
  </si>
  <si>
    <t>Irene Ortiz</t>
  </si>
  <si>
    <t>Accounting To Scale</t>
  </si>
  <si>
    <t>Bookkeeping</t>
  </si>
  <si>
    <t>4314 NW 36th Street, Miami, FL, 33166</t>
  </si>
  <si>
    <t>Javier Dugarte</t>
  </si>
  <si>
    <t>Go Cloud Inc</t>
  </si>
  <si>
    <t>4315 NW 36th Street, Miami, FL, 33166</t>
  </si>
  <si>
    <t>Jen Reyes</t>
  </si>
  <si>
    <t>The Jen Reyes Team</t>
  </si>
  <si>
    <t>4316 NW 36th Street, Miami, FL, 33166</t>
  </si>
  <si>
    <t>Jeremy Nichelson</t>
  </si>
  <si>
    <t>Divine Protection Insurance</t>
  </si>
  <si>
    <t>4317 NW 36th Street, Miami, FL, 33166</t>
  </si>
  <si>
    <t>Jose Pena</t>
  </si>
  <si>
    <t>The Keyes Company</t>
  </si>
  <si>
    <t>305 232 2330</t>
  </si>
  <si>
    <t>4318 NW 36th Street, Miami, FL, 33166</t>
  </si>
  <si>
    <t>Jose Reyes</t>
  </si>
  <si>
    <t>P&amp;S Public Adjuster</t>
  </si>
  <si>
    <t>(305) 416-8564</t>
  </si>
  <si>
    <t>4319 NW 36th Street, Miami, FL, 33166</t>
  </si>
  <si>
    <t>Joseph Perea</t>
  </si>
  <si>
    <t>Perea law</t>
  </si>
  <si>
    <t>4320 NW 36th Street, Miami, FL, 33166</t>
  </si>
  <si>
    <t>Julio Ramos</t>
  </si>
  <si>
    <t>Health Connect Florida</t>
  </si>
  <si>
    <t>+1 (305) 720-7420</t>
  </si>
  <si>
    <t>4321 NW 36th Street, Miami, FL, 33166</t>
  </si>
  <si>
    <t>NATALIA DURAN GUZMAN</t>
  </si>
  <si>
    <t>Chubb Combined</t>
  </si>
  <si>
    <t>4322 NW 36th Street, Miami, FL, 33166</t>
  </si>
  <si>
    <t>Neto Almanza</t>
  </si>
  <si>
    <t>Videoworks</t>
  </si>
  <si>
    <t>Videographer/Film Producer</t>
  </si>
  <si>
    <t>4323 NW 36th Street, Miami, FL, 33166</t>
  </si>
  <si>
    <t>Nicolas Eterovic</t>
  </si>
  <si>
    <t>305 460 9594</t>
  </si>
  <si>
    <t>4324 NW 36th Street, Miami, FL, 33166</t>
  </si>
  <si>
    <t>Nischay Rawal</t>
  </si>
  <si>
    <t>NR CPAs &amp; Business Advisors</t>
  </si>
  <si>
    <t>4325 NW 36th Street, Miami, FL, 33166</t>
  </si>
  <si>
    <t>Paul Zelnick</t>
  </si>
  <si>
    <t>Caldera Law</t>
  </si>
  <si>
    <t>(201) 674.6292</t>
  </si>
  <si>
    <t>4326 NW 36th Street, Miami, FL, 33166</t>
  </si>
  <si>
    <t>Philip Sherlock</t>
  </si>
  <si>
    <t>All Aboard International Co.</t>
  </si>
  <si>
    <t>4327 NW 36th Street, Miami, FL, 33166</t>
  </si>
  <si>
    <t>Raquel Lacayo-Valle</t>
  </si>
  <si>
    <t>Law Offices of Ronald H. Kauffman</t>
  </si>
  <si>
    <t>305-374-0937</t>
  </si>
  <si>
    <t>4328 NW 36th Street, Miami, FL, 33166</t>
  </si>
  <si>
    <t>Santiago Ospina</t>
  </si>
  <si>
    <t>Blue Marlin GC</t>
  </si>
  <si>
    <t>+19542614404</t>
  </si>
  <si>
    <t>4329 NW 36th Street, Miami, FL, 33166</t>
  </si>
  <si>
    <t>Steven Solomon</t>
  </si>
  <si>
    <t>CBMC South Florida</t>
  </si>
  <si>
    <t>4330 NW 36th Street, Miami, FL, 33166</t>
  </si>
  <si>
    <t>Tanya Paez</t>
  </si>
  <si>
    <t>EB Hotels</t>
  </si>
  <si>
    <t>Hotel</t>
  </si>
  <si>
    <t>4331 NW 36th Street, Miami, FL, 33166</t>
  </si>
  <si>
    <t>Vincent Tubiana</t>
  </si>
  <si>
    <t>Hutchison &amp; Tubiana</t>
  </si>
  <si>
    <t>(305) 731-9269</t>
  </si>
  <si>
    <t>4332 NW 36th Street, Miami, FL, 33166</t>
  </si>
  <si>
    <t>Yajaira Morell</t>
  </si>
  <si>
    <t>TRMG- The Risk Management Group</t>
  </si>
  <si>
    <t>Business Financing</t>
  </si>
  <si>
    <t>786-581-5550</t>
  </si>
  <si>
    <t>4333 NW 36th Street, Miami, FL, 33166</t>
  </si>
  <si>
    <t>Zack Bethea</t>
  </si>
  <si>
    <t>Total Care Restoration</t>
  </si>
  <si>
    <t>+1 (305) 912-1246</t>
  </si>
  <si>
    <t>BNI  To infinity and beyond</t>
  </si>
  <si>
    <t>Kriszta Voros</t>
  </si>
  <si>
    <t>BNI Virtual Impact</t>
  </si>
  <si>
    <t>Ivan Roque</t>
  </si>
  <si>
    <t>GFS Home Loans</t>
  </si>
  <si>
    <t>Jana Chebat</t>
  </si>
  <si>
    <t>Javier Delgado</t>
  </si>
  <si>
    <t>Hydro Restoration LLC</t>
  </si>
  <si>
    <t>786 471 5284</t>
  </si>
  <si>
    <t>Jose Leon</t>
  </si>
  <si>
    <t>The Florida Probate &amp; Family Law Firm</t>
  </si>
  <si>
    <t>305-677-5119</t>
  </si>
  <si>
    <t>Justin Henning</t>
  </si>
  <si>
    <t>Krinzman Huss Lubetsky Feldman &amp; Hotte</t>
  </si>
  <si>
    <t>3058549700#219</t>
  </si>
  <si>
    <t>Kevin Caballero</t>
  </si>
  <si>
    <t>Global Financial Impact</t>
  </si>
  <si>
    <t>912-809-0459</t>
  </si>
  <si>
    <t>Marisol Vallejo</t>
  </si>
  <si>
    <t>K&amp;A Realty</t>
  </si>
  <si>
    <t>Ruben Ferrer</t>
  </si>
  <si>
    <t>Bernstein</t>
  </si>
  <si>
    <t>Valeria Lewis</t>
  </si>
  <si>
    <t>The Law Offices of Lewis &amp; Guerrero</t>
  </si>
  <si>
    <t>BNI Platinum</t>
  </si>
  <si>
    <t>2801 Ponce de Leon, Coral Gables, FL, 33134</t>
  </si>
  <si>
    <t>Beatriz Borges Leon</t>
  </si>
  <si>
    <t>Isa Law</t>
  </si>
  <si>
    <t>305-938-0676</t>
  </si>
  <si>
    <t>2802 Ponce de Leon, Coral Gables, FL, 33134</t>
  </si>
  <si>
    <t>Christopher Lomax</t>
  </si>
  <si>
    <t>Lomax Legal</t>
  </si>
  <si>
    <t>2803 Ponce de Leon, Coral Gables, FL, 33134</t>
  </si>
  <si>
    <t>Eileen Moore</t>
  </si>
  <si>
    <t>EMoore Notary LLC</t>
  </si>
  <si>
    <t>Notary</t>
  </si>
  <si>
    <t>2804 Ponce de Leon, Coral Gables, FL, 33134</t>
  </si>
  <si>
    <t>Ernesto Angueira</t>
  </si>
  <si>
    <t>Raymond James</t>
  </si>
  <si>
    <t>2805 Ponce de Leon, Coral Gables, FL, 33134</t>
  </si>
  <si>
    <t>Joseph DelloRusso</t>
  </si>
  <si>
    <t>NationsTrust Mortgage</t>
  </si>
  <si>
    <t>718-916-4339</t>
  </si>
  <si>
    <t>2806 Ponce de Leon, Coral Gables, FL, 33134</t>
  </si>
  <si>
    <t>Leslie Scher</t>
  </si>
  <si>
    <t>Coral Gables Eye Care</t>
  </si>
  <si>
    <t>Optician/Eye Care</t>
  </si>
  <si>
    <t>305-444-8331</t>
  </si>
  <si>
    <t>2807 Ponce de Leon, Coral Gables, FL, 33134</t>
  </si>
  <si>
    <t>Luis Urdaneta Camacho</t>
  </si>
  <si>
    <t>Cobalto Capital LLC</t>
  </si>
  <si>
    <t>Business Consultant</t>
  </si>
  <si>
    <t>2808 Ponce de Leon, Coral Gables, FL, 33134</t>
  </si>
  <si>
    <t>Miguel Zulueta</t>
  </si>
  <si>
    <t>NPC Financial</t>
  </si>
  <si>
    <t>786-718-0665</t>
  </si>
  <si>
    <t>2809 Ponce de Leon, Coral Gables, FL, 33134</t>
  </si>
  <si>
    <t>Niuris Bezanilla</t>
  </si>
  <si>
    <t>Lopez Bezanilla LLP</t>
  </si>
  <si>
    <t>2810 Ponce de Leon, Coral Gables, FL, 33134</t>
  </si>
  <si>
    <t>Robert Levy III</t>
  </si>
  <si>
    <t>Elite Benefits Group</t>
  </si>
  <si>
    <t>(713) 575-3722</t>
  </si>
  <si>
    <t>2811 Ponce de Leon, Coral Gables, FL, 33134</t>
  </si>
  <si>
    <t>Tyler Futch</t>
  </si>
  <si>
    <t>2812 Ponce de Leon, Coral Gables, FL, 33134</t>
  </si>
  <si>
    <t>William Gonzalez</t>
  </si>
  <si>
    <t>2813 Ponce de Leon, Coral Gables, FL, 33134</t>
  </si>
  <si>
    <t>Yanet Del Campo</t>
  </si>
  <si>
    <t>Hightech Payments</t>
  </si>
  <si>
    <t>BNI Alliance</t>
  </si>
  <si>
    <t>2801 Ponce de Leon, Coral Gables, Miami, FL, 33134</t>
  </si>
  <si>
    <t>Alex Venot</t>
  </si>
  <si>
    <t>(954) 854-4659</t>
  </si>
  <si>
    <t>2802 Ponce de Leon, Coral Gables, Miami, FL, 33134</t>
  </si>
  <si>
    <t>Ann Zelada</t>
  </si>
  <si>
    <t>SEO Needed</t>
  </si>
  <si>
    <t>Search Engine Optimization</t>
  </si>
  <si>
    <t>305 340 9171</t>
  </si>
  <si>
    <t>2803 Ponce de Leon, Coral Gables, Miami, FL, 33134</t>
  </si>
  <si>
    <t>Carolle El-Naffy</t>
  </si>
  <si>
    <t>El-Naffy Law</t>
  </si>
  <si>
    <t>2804 Ponce de Leon, Coral Gables, Miami, FL, 33134</t>
  </si>
  <si>
    <t>Elena Bustamante</t>
  </si>
  <si>
    <t>John Galt Insurance</t>
  </si>
  <si>
    <t>305-582-1861</t>
  </si>
  <si>
    <t>2805 Ponce de Leon, Coral Gables, Miami, FL, 33134</t>
  </si>
  <si>
    <t>Erica DeSanti</t>
  </si>
  <si>
    <t>The Legal Planning Firm</t>
  </si>
  <si>
    <t>2806 Ponce de Leon, Coral Gables, Miami, FL, 33134</t>
  </si>
  <si>
    <t>Federico Acevedo</t>
  </si>
  <si>
    <t>3D Payments</t>
  </si>
  <si>
    <t>2807 Ponce de Leon, Coral Gables, Miami, FL, 33134</t>
  </si>
  <si>
    <t>Isabelle Martinez</t>
  </si>
  <si>
    <t>305-726-8551</t>
  </si>
  <si>
    <t>2808 Ponce de Leon, Coral Gables, Miami, FL, 33134</t>
  </si>
  <si>
    <t>Jeffrey Giordano</t>
  </si>
  <si>
    <t>Giordano Protection Services llc</t>
  </si>
  <si>
    <t>Investigative Services/Detective</t>
  </si>
  <si>
    <t>305-925-7524</t>
  </si>
  <si>
    <t>2809 Ponce de Leon, Coral Gables, Miami, FL, 33134</t>
  </si>
  <si>
    <t>Jovita Martinez Talaya</t>
  </si>
  <si>
    <t>Clementines Wine Gourmet</t>
  </si>
  <si>
    <t>Retail (Other)</t>
  </si>
  <si>
    <t>2810 Ponce de Leon, Coral Gables, Miami, FL, 33134</t>
  </si>
  <si>
    <t>Karen Rodman</t>
  </si>
  <si>
    <t>Rodman Roofing</t>
  </si>
  <si>
    <t>2811 Ponce de Leon, Coral Gables, Miami, FL, 33134</t>
  </si>
  <si>
    <t>Kevin Kerwin</t>
  </si>
  <si>
    <t>Kerwin Inspections</t>
  </si>
  <si>
    <t>2812 Ponce de Leon, Coral Gables, Miami, FL, 33134</t>
  </si>
  <si>
    <t>Lorena Tomasini</t>
  </si>
  <si>
    <t>MALM Life and Health Insurance Agency</t>
  </si>
  <si>
    <t>2813 Ponce de Leon, Coral Gables, Miami, FL, 33134</t>
  </si>
  <si>
    <t>Marcia Hansen</t>
  </si>
  <si>
    <t>Immigration Legal Center</t>
  </si>
  <si>
    <t>2814 Ponce de Leon, Coral Gables, Miami, FL, 33134</t>
  </si>
  <si>
    <t>Maria Lopez</t>
  </si>
  <si>
    <t>Gallant Accountants &amp; Advisors</t>
  </si>
  <si>
    <t>(305) 697 9730</t>
  </si>
  <si>
    <t>2815 Ponce de Leon, Coral Gables, Miami, FL, 33134</t>
  </si>
  <si>
    <t>Megan Gonzalez</t>
  </si>
  <si>
    <t>Annesser Armenteros</t>
  </si>
  <si>
    <t>786-600-7446</t>
  </si>
  <si>
    <t>2816 Ponce de Leon, Coral Gables, Miami, FL, 33134</t>
  </si>
  <si>
    <t>Miguel Garcia</t>
  </si>
  <si>
    <t>Oasis Solutions of Florida</t>
  </si>
  <si>
    <t>786-266-6904</t>
  </si>
  <si>
    <t>2817 Ponce de Leon, Coral Gables, Miami, FL, 33134</t>
  </si>
  <si>
    <t>Natalie Zagury</t>
  </si>
  <si>
    <t>Zagury Scott</t>
  </si>
  <si>
    <t>305-428-3823</t>
  </si>
  <si>
    <t>2818 Ponce de Leon, Coral Gables, Miami, FL, 33134</t>
  </si>
  <si>
    <t>Nazim Qureshi</t>
  </si>
  <si>
    <t>2819 Ponce de Leon, Coral Gables, Miami, FL, 33134</t>
  </si>
  <si>
    <t>Pedro Leite</t>
  </si>
  <si>
    <t>Belmont Bank &amp; Trust</t>
  </si>
  <si>
    <t>(954)895-8173</t>
  </si>
  <si>
    <t>2820 Ponce de Leon, Coral Gables, Miami, FL, 33134</t>
  </si>
  <si>
    <t>Roberto Espinoza</t>
  </si>
  <si>
    <t>CPC Computer Consultants</t>
  </si>
  <si>
    <t>305-753-4046</t>
  </si>
  <si>
    <t>2821 Ponce de Leon, Coral Gables, Miami, FL, 33134</t>
  </si>
  <si>
    <t>Roy Lopez</t>
  </si>
  <si>
    <t>KEEP YOUR COOL AIR QUALITY &amp; MAINTENANCE</t>
  </si>
  <si>
    <t>2822 Ponce de Leon, Coral Gables, Miami, FL, 33134</t>
  </si>
  <si>
    <t>Sarah Desamours</t>
  </si>
  <si>
    <t>Compass</t>
  </si>
  <si>
    <t>2823 Ponce de Leon, Coral Gables, Miami, FL, 33134</t>
  </si>
  <si>
    <t>Serena Salva</t>
  </si>
  <si>
    <t>Salva Law Firm</t>
  </si>
  <si>
    <t>2824 Ponce de Leon, Coral Gables, Miami, FL, 33134</t>
  </si>
  <si>
    <t>Wilson Alvarez</t>
  </si>
  <si>
    <t>305SocialMedia.com</t>
  </si>
  <si>
    <t>2825 Ponce de Leon, Coral Gables, Miami, FL, 33134</t>
  </si>
  <si>
    <t>Zachary Friedman</t>
  </si>
  <si>
    <t>Friedman &amp; Friedman</t>
  </si>
  <si>
    <t>305-446-6485</t>
  </si>
  <si>
    <t>BNI PP1 Inovar</t>
  </si>
  <si>
    <t>Rod. Heitor Penteado, km 6 - Sousas
Campinas</t>
  </si>
  <si>
    <t>Alex Silva</t>
  </si>
  <si>
    <t>World Trade Import &amp; Export Ltda</t>
  </si>
  <si>
    <t>International business consultant.</t>
  </si>
  <si>
    <t>BNI Results</t>
  </si>
  <si>
    <t>Amanda Gagliano</t>
  </si>
  <si>
    <t>Law Gagliano</t>
  </si>
  <si>
    <t>514-918-1254</t>
  </si>
  <si>
    <t>Arianne Sanchez</t>
  </si>
  <si>
    <t>Quick Reaction Pest Control</t>
  </si>
  <si>
    <t>Bryan Wisotsky</t>
  </si>
  <si>
    <t>Sky SEO Digital</t>
  </si>
  <si>
    <t>Daniel McCauley</t>
  </si>
  <si>
    <t>Equitable Advisors</t>
  </si>
  <si>
    <t>786-759-6206</t>
  </si>
  <si>
    <t>Eduardo Garcia-Ona</t>
  </si>
  <si>
    <t>Equitable</t>
  </si>
  <si>
    <t>Gabriel Fernandez</t>
  </si>
  <si>
    <t>The Law Office of Gabriel Fernandez</t>
  </si>
  <si>
    <t>Henry Amador</t>
  </si>
  <si>
    <t>305-479-0290</t>
  </si>
  <si>
    <t>Jason Hackworth</t>
  </si>
  <si>
    <t>Miami Mortgage Advisors</t>
  </si>
  <si>
    <t>(305) 699-9105</t>
  </si>
  <si>
    <t>Luzyanis Fraga</t>
  </si>
  <si>
    <t>Fraga Builder</t>
  </si>
  <si>
    <t>Marlily Macareno</t>
  </si>
  <si>
    <t>Mary Pino</t>
  </si>
  <si>
    <t>Mason Pertnoy</t>
  </si>
  <si>
    <t>Nadja Prias</t>
  </si>
  <si>
    <t>Casais &amp; Prias PLLC</t>
  </si>
  <si>
    <t>2814 Ponce de Leon, Coral Gables, FL, 33134</t>
  </si>
  <si>
    <t>Ray Dominguez</t>
  </si>
  <si>
    <t>SMAART Company</t>
  </si>
  <si>
    <t>(305) 819-3675</t>
  </si>
  <si>
    <t>2815 Ponce de Leon, Coral Gables, FL, 33134</t>
  </si>
  <si>
    <t>Richard Guzman</t>
  </si>
  <si>
    <t>The Guzman Firm PLLC</t>
  </si>
  <si>
    <t>2816 Ponce de Leon, Coral Gables, FL, 33134</t>
  </si>
  <si>
    <t>Samantha Gold</t>
  </si>
  <si>
    <t>Rojas-Gold Ventures/Realtor Associate</t>
  </si>
  <si>
    <t>786-606-1105</t>
  </si>
  <si>
    <t>2817 Ponce de Leon, Coral Gables, FL, 33134</t>
  </si>
  <si>
    <t>Vanessa Bertran</t>
  </si>
  <si>
    <t>Agentis</t>
  </si>
  <si>
    <t>305-722-2002</t>
  </si>
  <si>
    <t>BNI STL</t>
  </si>
  <si>
    <t>2811 Ponce de Leon Blvd., 7th Floor conference room, Coral Gables, FL, 33134</t>
  </si>
  <si>
    <t>Alain Tapiero</t>
  </si>
  <si>
    <t>One Sotheby's</t>
  </si>
  <si>
    <t>Buying Agent</t>
  </si>
  <si>
    <t>(954) 842-8412</t>
  </si>
  <si>
    <t>2812 Ponce de Leon Blvd., 7th Floor conference room, Coral Gables, FL, 33134</t>
  </si>
  <si>
    <t>Andrea Espinosa</t>
  </si>
  <si>
    <t>MRT Roofing</t>
  </si>
  <si>
    <t>2813 Ponce de Leon Blvd., 7th Floor conference room, Coral Gables, FL, 33134</t>
  </si>
  <si>
    <t>Andrew Kline</t>
  </si>
  <si>
    <t>South Florida Law</t>
  </si>
  <si>
    <t>+19549008885</t>
  </si>
  <si>
    <t>2814 Ponce de Leon Blvd., 7th Floor conference room, Coral Gables, FL, 33134</t>
  </si>
  <si>
    <t>Carlos Saitcevsky</t>
  </si>
  <si>
    <t>Ameriprise Financial Services</t>
  </si>
  <si>
    <t>786-431-0280</t>
  </si>
  <si>
    <t>2815 Ponce de Leon Blvd., 7th Floor conference room, Coral Gables, FL, 33134</t>
  </si>
  <si>
    <t>Cristian Leiros</t>
  </si>
  <si>
    <t>Capital &amp; Trust Consulting Group</t>
  </si>
  <si>
    <t>+1 (305) 766-2002</t>
  </si>
  <si>
    <t>2816 Ponce de Leon Blvd., 7th Floor conference room, Coral Gables, FL, 33134</t>
  </si>
  <si>
    <t>Dennis McGinley</t>
  </si>
  <si>
    <t>WIN Home Inspections</t>
  </si>
  <si>
    <t>2817 Ponce de Leon Blvd., 7th Floor conference room, Coral Gables, FL, 33134</t>
  </si>
  <si>
    <t>Eduardo Moya</t>
  </si>
  <si>
    <t>Heyday Marketing + PR</t>
  </si>
  <si>
    <t>Advertising Agency</t>
  </si>
  <si>
    <t>2818 Ponce de Leon Blvd., 7th Floor conference room, Coral Gables, FL, 33134</t>
  </si>
  <si>
    <t>Jesse Valiente</t>
  </si>
  <si>
    <t>Yablen &amp; Valiente</t>
  </si>
  <si>
    <t>2819 Ponce de Leon Blvd., 7th Floor conference room, Coral Gables, FL, 33134</t>
  </si>
  <si>
    <t>Jose Flores</t>
  </si>
  <si>
    <t>Technology Ally Group</t>
  </si>
  <si>
    <t>2820 Ponce de Leon Blvd., 7th Floor conference room, Coral Gables, FL, 33134</t>
  </si>
  <si>
    <t>Juan Ganem Rojas</t>
  </si>
  <si>
    <t>2821 Ponce de Leon Blvd., 7th Floor conference room, Coral Gables, FL, 33134</t>
  </si>
  <si>
    <t>Julian Valiente</t>
  </si>
  <si>
    <t>Regis Remote Office Solutions</t>
  </si>
  <si>
    <t>2822 Ponce de Leon Blvd., 7th Floor conference room, Coral Gables, FL, 33134</t>
  </si>
  <si>
    <t>Magnus Holm</t>
  </si>
  <si>
    <t>Saba Insurance Group</t>
  </si>
  <si>
    <t>(786) 824-8032</t>
  </si>
  <si>
    <t>2823 Ponce de Leon Blvd., 7th Floor conference room, Coral Gables, FL, 33134</t>
  </si>
  <si>
    <t>Mark Jelincic</t>
  </si>
  <si>
    <t>Alpha Surance</t>
  </si>
  <si>
    <t>2824 Ponce de Leon Blvd., 7th Floor conference room, Coral Gables, FL, 33134</t>
  </si>
  <si>
    <t>Nalanys Roque</t>
  </si>
  <si>
    <t>Planet Health Medical Center</t>
  </si>
  <si>
    <t>2825 Ponce de Leon Blvd., 7th Floor conference room, Coral Gables, FL, 33134</t>
  </si>
  <si>
    <t>Nicole Soto-Ortega</t>
  </si>
  <si>
    <t>ALMA Law PLLC</t>
  </si>
  <si>
    <t>305-302-2733</t>
  </si>
  <si>
    <t>2826 Ponce de Leon Blvd., 7th Floor conference room, Coral Gables, FL, 33134</t>
  </si>
  <si>
    <t>Orlando Garcia</t>
  </si>
  <si>
    <t>Unison Information Technology</t>
  </si>
  <si>
    <t>2827 Ponce de Leon Blvd., 7th Floor conference room, Coral Gables, FL, 33134</t>
  </si>
  <si>
    <t>Oscar Alvarez</t>
  </si>
  <si>
    <t>First citizens bank</t>
  </si>
  <si>
    <t>2828 Ponce de Leon Blvd., 7th Floor conference room, Coral Gables, FL, 33134</t>
  </si>
  <si>
    <t>Wendy Delgado</t>
  </si>
  <si>
    <t>Title Now LLC</t>
  </si>
  <si>
    <t>2829 Ponce de Leon Blvd., 7th Floor conference room, Coral Gables, FL, 33134</t>
  </si>
  <si>
    <t>Yaritza Waxman</t>
  </si>
  <si>
    <t>Infinite Capital Solutions</t>
  </si>
  <si>
    <t>281-692-8165</t>
  </si>
  <si>
    <t>BNI Go To Group</t>
  </si>
  <si>
    <t>Jupiter Country Club, 300 Marsala Court, Jupiter, FL, 33478</t>
  </si>
  <si>
    <t>Alyssa Bowles</t>
  </si>
  <si>
    <t>Recon Roofing</t>
  </si>
  <si>
    <t>+15613249877</t>
  </si>
  <si>
    <t>Jupiter Country Club, 300 Marsala Court, Jupiter, FL, 33479</t>
  </si>
  <si>
    <t>Andrew Sonderegger</t>
  </si>
  <si>
    <t>Clean Cut Brothers Lawn Care</t>
  </si>
  <si>
    <t>Garden and landscape architect</t>
  </si>
  <si>
    <t>+1 (561) 777-2045</t>
  </si>
  <si>
    <t>Jupiter Country Club, 300 Marsala Court, Jupiter, FL, 33480</t>
  </si>
  <si>
    <t>Bill Barbosa</t>
  </si>
  <si>
    <t>Bill Barbosa Photography</t>
  </si>
  <si>
    <t>Photographer - Commercial</t>
  </si>
  <si>
    <t>Jupiter Country Club, 300 Marsala Court, Jupiter, FL, 33481</t>
  </si>
  <si>
    <t>Brandon McNaughton</t>
  </si>
  <si>
    <t>McNaughton &amp; Sons LLC</t>
  </si>
  <si>
    <t>Jupiter Country Club, 300 Marsala Court, Jupiter, FL, 33482</t>
  </si>
  <si>
    <t>Brandon Nevel</t>
  </si>
  <si>
    <t>Sport &amp; Spinal Rehab</t>
  </si>
  <si>
    <t>Jupiter Country Club, 300 Marsala Court, Jupiter, FL, 33483</t>
  </si>
  <si>
    <t>Chase Malcolm</t>
  </si>
  <si>
    <t>CM Air &amp; Refrigeration Inc.</t>
  </si>
  <si>
    <t>561-888-0078</t>
  </si>
  <si>
    <t>Jupiter Country Club, 300 Marsala Court, Jupiter, FL, 33484</t>
  </si>
  <si>
    <t>Cory Bigham</t>
  </si>
  <si>
    <t>Coastal Copper Gutters inc</t>
  </si>
  <si>
    <t>+1 (561) 572-7865</t>
  </si>
  <si>
    <t>Jupiter Country Club, 300 Marsala Court, Jupiter, FL, 33485</t>
  </si>
  <si>
    <t>David Brauntz</t>
  </si>
  <si>
    <t>Hudson Brauntz Digital</t>
  </si>
  <si>
    <t>513-257-6398</t>
  </si>
  <si>
    <t>Jupiter Country Club, 300 Marsala Court, Jupiter, FL, 33486</t>
  </si>
  <si>
    <t>David Schupp</t>
  </si>
  <si>
    <t>Truly Nolen</t>
  </si>
  <si>
    <t>Jupiter Country Club, 300 Marsala Court, Jupiter, FL, 33487</t>
  </si>
  <si>
    <t>Delson Barbosa</t>
  </si>
  <si>
    <t>Delson's Handy Services</t>
  </si>
  <si>
    <t>Jupiter Country Club, 300 Marsala Court, Jupiter, FL, 33488</t>
  </si>
  <si>
    <t>Diana Keller</t>
  </si>
  <si>
    <t>First International Title</t>
  </si>
  <si>
    <t>561-436-7931</t>
  </si>
  <si>
    <t>Jupiter Country Club, 300 Marsala Court, Jupiter, FL, 33489</t>
  </si>
  <si>
    <t>Greg Burnett</t>
  </si>
  <si>
    <t>RG Technology Solutions</t>
  </si>
  <si>
    <t>Consulting (Other)</t>
  </si>
  <si>
    <t>561-707-9530</t>
  </si>
  <si>
    <t>Jupiter Country Club, 300 Marsala Court, Jupiter, FL, 33490</t>
  </si>
  <si>
    <t>Gregory Huber</t>
  </si>
  <si>
    <t>Zele Huber Trial Attorneys</t>
  </si>
  <si>
    <t>561-801-3157</t>
  </si>
  <si>
    <t>Jupiter Country Club, 300 Marsala Court, Jupiter, FL, 33491</t>
  </si>
  <si>
    <t>Ismael Martinez</t>
  </si>
  <si>
    <t>MorningStar Commercial &amp; Residential Services</t>
  </si>
  <si>
    <t>(561) 567-4114</t>
  </si>
  <si>
    <t>Jupiter Country Club, 300 Marsala Court, Jupiter, FL, 33492</t>
  </si>
  <si>
    <t>Jeff Schwartz</t>
  </si>
  <si>
    <t>Landmark Insurance</t>
  </si>
  <si>
    <t>561-408-2456</t>
  </si>
  <si>
    <t>Jupiter Country Club, 300 Marsala Court, Jupiter, FL, 33493</t>
  </si>
  <si>
    <t>Jorge Coello</t>
  </si>
  <si>
    <t>Outdoor Patio Emporium</t>
  </si>
  <si>
    <t>Furniture Retailer</t>
  </si>
  <si>
    <t>561-240-7777</t>
  </si>
  <si>
    <t>Jupiter Country Club, 300 Marsala Court, Jupiter, FL, 33494</t>
  </si>
  <si>
    <t>Kendra Droddy</t>
  </si>
  <si>
    <t>Manifest Mortgage Group</t>
  </si>
  <si>
    <t>661-333-5579</t>
  </si>
  <si>
    <t>Jupiter Country Club, 300 Marsala Court, Jupiter, FL, 33495</t>
  </si>
  <si>
    <t>Kyle Kennedy</t>
  </si>
  <si>
    <t>KFH Insurance Solutions</t>
  </si>
  <si>
    <t>(513) 570-0908</t>
  </si>
  <si>
    <t>Jupiter Country Club, 300 Marsala Court, Jupiter, FL, 33496</t>
  </si>
  <si>
    <t>Laura Atkinson</t>
  </si>
  <si>
    <t>Lantana Beach Bookkeeping</t>
  </si>
  <si>
    <t>561-408-5787</t>
  </si>
  <si>
    <t>Jupiter Country Club, 300 Marsala Court, Jupiter, FL, 33497</t>
  </si>
  <si>
    <t>Laura Moritz</t>
  </si>
  <si>
    <t>Classic Mortgage</t>
  </si>
  <si>
    <t>Reverse Mortgages</t>
  </si>
  <si>
    <t>845-2228270</t>
  </si>
  <si>
    <t>Jupiter Country Club, 300 Marsala Court, Jupiter, FL, 33498</t>
  </si>
  <si>
    <t>Lorenzo Papa</t>
  </si>
  <si>
    <t>ProProperty Solutions</t>
  </si>
  <si>
    <t>Jupiter Country Club, 300 Marsala Court, Jupiter, FL, 33499</t>
  </si>
  <si>
    <t>Robert Kleinfeld</t>
  </si>
  <si>
    <t>Drymedic north Palm Beach Fl</t>
  </si>
  <si>
    <t>561-379-1417</t>
  </si>
  <si>
    <t>Jupiter Country Club, 300 Marsala Court, Jupiter, FL, 33500</t>
  </si>
  <si>
    <t>Salvatore Calafiore</t>
  </si>
  <si>
    <t>Illustrated Properties</t>
  </si>
  <si>
    <t>Jupiter Country Club, 300 Marsala Court, Jupiter, FL, 33501</t>
  </si>
  <si>
    <t>Scott Arnold</t>
  </si>
  <si>
    <t>Team Sports Ministries</t>
  </si>
  <si>
    <t>Jupiter Country Club, 300 Marsala Court, Jupiter, FL, 33502</t>
  </si>
  <si>
    <t>Sheila Shahroodi</t>
  </si>
  <si>
    <t>Aurum Jewels Co.</t>
  </si>
  <si>
    <t>Fine Jewelry</t>
  </si>
  <si>
    <t>(561) 331-2281</t>
  </si>
  <si>
    <t>Jupiter Country Club, 300 Marsala Court, Jupiter, FL, 33503</t>
  </si>
  <si>
    <t>Stuart Grimes</t>
  </si>
  <si>
    <t>Assurance Claim Services</t>
  </si>
  <si>
    <t>561-628-6980</t>
  </si>
  <si>
    <t>Jupiter Country Club, 300 Marsala Court, Jupiter, FL, 33504</t>
  </si>
  <si>
    <t>Tamara Pratt</t>
  </si>
  <si>
    <t>Jupiter Country Club, 300 Marsala Court, Jupiter, FL, 33505</t>
  </si>
  <si>
    <t>Timothy Lyons</t>
  </si>
  <si>
    <t>Lyons Resources</t>
  </si>
  <si>
    <t>Jupiter Country Club, 300 Marsala Court, Jupiter, FL, 33506</t>
  </si>
  <si>
    <t>Zaneta Kuzel</t>
  </si>
  <si>
    <t>Mold Hunt LLC</t>
  </si>
  <si>
    <t>BNI Professionals in Action</t>
  </si>
  <si>
    <t>Berry Fresh Cafe, 3755 Military Trail, Jupiter, FL, 33458</t>
  </si>
  <si>
    <t>Alex Courson</t>
  </si>
  <si>
    <t>Finity creative group</t>
  </si>
  <si>
    <t>Advertising &amp; Marketing (Other)</t>
  </si>
  <si>
    <t>Berry Fresh Cafe, 3755 Military Trail, Jupiter, FL, 33459</t>
  </si>
  <si>
    <t>Brett Carpenter</t>
  </si>
  <si>
    <t>Childrens health And Mentor Program (CHAMP)</t>
  </si>
  <si>
    <t>561-308-3305</t>
  </si>
  <si>
    <t>Berry Fresh Cafe, 3755 Military Trail, Jupiter, FL, 33460</t>
  </si>
  <si>
    <t>Cameron Taylor</t>
  </si>
  <si>
    <t>JT Property Inspections And Environmental Se</t>
  </si>
  <si>
    <t>Berry Fresh Cafe, 3755 Military Trail, Jupiter, FL, 33461</t>
  </si>
  <si>
    <t>Caryn Meinbach</t>
  </si>
  <si>
    <t>M Dental</t>
  </si>
  <si>
    <t>Berry Fresh Cafe, 3755 Military Trail, Jupiter, FL, 33462</t>
  </si>
  <si>
    <t>Case Warshall</t>
  </si>
  <si>
    <t>Wrights Impact Window &amp; Door</t>
  </si>
  <si>
    <t>Berry Fresh Cafe, 3755 Military Trail, Jupiter, FL, 33463</t>
  </si>
  <si>
    <t>Chad Cookler</t>
  </si>
  <si>
    <t>Florida Insurance 911</t>
  </si>
  <si>
    <t>Berry Fresh Cafe, 3755 Military Trail, Jupiter, FL, 33464</t>
  </si>
  <si>
    <t>David Giguere-Hernandez</t>
  </si>
  <si>
    <t>Goosehead Insurance- David Hernandez</t>
  </si>
  <si>
    <t>561-237-5773</t>
  </si>
  <si>
    <t>Berry Fresh Cafe, 3755 Military Trail, Jupiter, FL, 33465</t>
  </si>
  <si>
    <t>Peter Elsenbaumer</t>
  </si>
  <si>
    <t>Home Access Financial</t>
  </si>
  <si>
    <t>813-864-5548</t>
  </si>
  <si>
    <t>Berry Fresh Cafe, 3755 Military Trail, Jupiter, FL, 33466</t>
  </si>
  <si>
    <t>Rich Ewing</t>
  </si>
  <si>
    <t>Oceanview Private Wealth</t>
  </si>
  <si>
    <t>561-383-3625</t>
  </si>
  <si>
    <t>Berry Fresh Cafe, 3755 Military Trail, Jupiter, FL, 33467</t>
  </si>
  <si>
    <t>Scott Warner</t>
  </si>
  <si>
    <t>Lang Realty</t>
  </si>
  <si>
    <t>Berry Fresh Cafe, 3755 Military Trail, Jupiter, FL, 33468</t>
  </si>
  <si>
    <t>Scott J. Leitten</t>
  </si>
  <si>
    <t>Block &amp; Colucci</t>
  </si>
  <si>
    <t>561-747-0110</t>
  </si>
  <si>
    <t>Berry Fresh Cafe, 3755 Military Trail, Jupiter, FL, 33469</t>
  </si>
  <si>
    <t>Steven Trend</t>
  </si>
  <si>
    <t>Prudential</t>
  </si>
  <si>
    <t>914-528-7700</t>
  </si>
  <si>
    <t>Berry Fresh Cafe, 3755 Military Trail, Jupiter, FL, 33470</t>
  </si>
  <si>
    <t>Tiffini Brown</t>
  </si>
  <si>
    <t>Brown Mechanical Services</t>
  </si>
  <si>
    <t>BNI H2O</t>
  </si>
  <si>
    <t>Cooper's Hawk Winery &amp; Restaurant, 3101 PGA Blvd, Ste p201, Palm Beach Gardens, FL, 33410</t>
  </si>
  <si>
    <t>Chad Steskal</t>
  </si>
  <si>
    <t>Lippes Mathias LLP</t>
  </si>
  <si>
    <t>Cooper's Hawk Winery &amp; Restaurant, 3101 PGA Blvd, Ste p201, Palm Beach Gardens, FL, 33411</t>
  </si>
  <si>
    <t>Chris Anderson</t>
  </si>
  <si>
    <t>AIS Computers</t>
  </si>
  <si>
    <t>561-881-8050</t>
  </si>
  <si>
    <t>Cooper's Hawk Winery &amp; Restaurant, 3101 PGA Blvd, Ste p201, Palm Beach Gardens, FL, 33412</t>
  </si>
  <si>
    <t>Clay Damon</t>
  </si>
  <si>
    <t>RE/MAX Properties</t>
  </si>
  <si>
    <t>561-351-7819</t>
  </si>
  <si>
    <t>Cooper's Hawk Winery &amp; Restaurant, 3101 PGA Blvd, Ste p201, Palm Beach Gardens, FL, 33413</t>
  </si>
  <si>
    <t>Daniel Bellino</t>
  </si>
  <si>
    <t>561-273-4537</t>
  </si>
  <si>
    <t>Cooper's Hawk Winery &amp; Restaurant, 3101 PGA Blvd, Ste p201, Palm Beach Gardens, FL, 33414</t>
  </si>
  <si>
    <t>David Loder</t>
  </si>
  <si>
    <t>561-383-3626</t>
  </si>
  <si>
    <t>Cooper's Hawk Winery &amp; Restaurant, 3101 PGA Blvd, Ste p201, Palm Beach Gardens, FL, 33415</t>
  </si>
  <si>
    <t>Jacob Laseter</t>
  </si>
  <si>
    <t>Roof Lab</t>
  </si>
  <si>
    <t>Cooper's Hawk Winery &amp; Restaurant, 3101 PGA Blvd, Ste p201, Palm Beach Gardens, FL, 33416</t>
  </si>
  <si>
    <t>Janine Terracciano</t>
  </si>
  <si>
    <t>Cooper's Hawk Winery &amp; Restaurant, 3101 PGA Blvd, Ste p201, Palm Beach Gardens, FL, 33417</t>
  </si>
  <si>
    <t>Kimberly Simpson</t>
  </si>
  <si>
    <t>Smith</t>
  </si>
  <si>
    <t>Baez &amp; Prather</t>
  </si>
  <si>
    <t>561-675-0816</t>
  </si>
  <si>
    <t>Cooper's Hawk Winery &amp; Restaurant, 3101 PGA Blvd, Ste p201, Palm Beach Gardens, FL, 33418</t>
  </si>
  <si>
    <t>Lori Schleigel</t>
  </si>
  <si>
    <t>LS Interiors Group</t>
  </si>
  <si>
    <t>Cooper's Hawk Winery &amp; Restaurant, 3101 PGA Blvd, Ste p201, Palm Beach Gardens, FL, 33419</t>
  </si>
  <si>
    <t>Mark Dawson</t>
  </si>
  <si>
    <t>Ryan William's Agency</t>
  </si>
  <si>
    <t>561-941-1056</t>
  </si>
  <si>
    <t>Cooper's Hawk Winery &amp; Restaurant, 3101 PGA Blvd, Ste p201, Palm Beach Gardens, FL, 33420</t>
  </si>
  <si>
    <t>Patty Rydzewski</t>
  </si>
  <si>
    <t>Cohen Norris Wolmer Ray Telepman Cohen</t>
  </si>
  <si>
    <t>561-578-3211</t>
  </si>
  <si>
    <t>Cooper's Hawk Winery &amp; Restaurant, 3101 PGA Blvd, Ste p201, Palm Beach Gardens, FL, 33421</t>
  </si>
  <si>
    <t>Rachel Boutin</t>
  </si>
  <si>
    <t>Fern Street Strategic Marketing</t>
  </si>
  <si>
    <t>Cooper's Hawk Winery &amp; Restaurant, 3101 PGA Blvd, Ste p201, Palm Beach Gardens, FL, 33422</t>
  </si>
  <si>
    <t>Sergey Aghajanyan</t>
  </si>
  <si>
    <t>SkySail Insurance Group</t>
  </si>
  <si>
    <t>Cooper's Hawk Winery &amp; Restaurant, 3101 PGA Blvd, Ste p201, Palm Beach Gardens, FL, 33423</t>
  </si>
  <si>
    <t>Sonia Vanderwende</t>
  </si>
  <si>
    <t>Valley Insurance Services LLC</t>
  </si>
  <si>
    <t>561-721-1582</t>
  </si>
  <si>
    <t>Cooper's Hawk Winery &amp; Restaurant, 3101 PGA Blvd, Ste p201, Palm Beach Gardens, FL, 33424</t>
  </si>
  <si>
    <t>Stephanie Coe</t>
  </si>
  <si>
    <t>Mortgage300</t>
  </si>
  <si>
    <t>BNI Network Link</t>
  </si>
  <si>
    <t>PBG Moose Lodge 2010, 3600 RCA Blvd., Palm Beach Gardens, FL, 33410</t>
  </si>
  <si>
    <t>Alan Cole</t>
  </si>
  <si>
    <t>USHEALTH ADVISORS</t>
  </si>
  <si>
    <t>PBG Moose Lodge 2010, 3600 RCA Blvd., Palm Beach Gardens, FL, 33411</t>
  </si>
  <si>
    <t>Alexis Roldan</t>
  </si>
  <si>
    <t>People’s Choice Plumbing</t>
  </si>
  <si>
    <t>+1 (561) 629-4861</t>
  </si>
  <si>
    <t>PBG Moose Lodge 2010, 3600 RCA Blvd., Palm Beach Gardens, FL, 33412</t>
  </si>
  <si>
    <t>Amanda Keeler</t>
  </si>
  <si>
    <t>A.Jane Interiors</t>
  </si>
  <si>
    <t>Interior Design - Commercial</t>
  </si>
  <si>
    <t>+15612281568</t>
  </si>
  <si>
    <t>PBG Moose Lodge 2010, 3600 RCA Blvd., Palm Beach Gardens, FL, 33413</t>
  </si>
  <si>
    <t>Angela Valle</t>
  </si>
  <si>
    <t>Twin Palms Insurance Group</t>
  </si>
  <si>
    <t>561-425-9991</t>
  </si>
  <si>
    <t>PBG Moose Lodge 2010, 3600 RCA Blvd., Palm Beach Gardens, FL, 33414</t>
  </si>
  <si>
    <t>Austin Nowacki</t>
  </si>
  <si>
    <t>The Plus IP Firm</t>
  </si>
  <si>
    <t>Intellectual Property Law</t>
  </si>
  <si>
    <t>PBG Moose Lodge 2010, 3600 RCA Blvd., Palm Beach Gardens, FL, 33415</t>
  </si>
  <si>
    <t>Barry Street</t>
  </si>
  <si>
    <t>Healthful Waters</t>
  </si>
  <si>
    <t>Alternative Wellness</t>
  </si>
  <si>
    <t>PBG Moose Lodge 2010, 3600 RCA Blvd., Palm Beach Gardens, FL, 33416</t>
  </si>
  <si>
    <t>Christian Arias</t>
  </si>
  <si>
    <t>All For One Creations</t>
  </si>
  <si>
    <t>Photographer</t>
  </si>
  <si>
    <t>PBG Moose Lodge 2010, 3600 RCA Blvd., Palm Beach Gardens, FL, 33417</t>
  </si>
  <si>
    <t>Cory Strolla</t>
  </si>
  <si>
    <t>GORDON &amp; PARTNERS</t>
  </si>
  <si>
    <t>PBG Moose Lodge 2010, 3600 RCA Blvd., Palm Beach Gardens, FL, 33418</t>
  </si>
  <si>
    <t>Craig Distel</t>
  </si>
  <si>
    <t>McDonald Hopkins</t>
  </si>
  <si>
    <t>561-847-2353</t>
  </si>
  <si>
    <t>PBG Moose Lodge 2010, 3600 RCA Blvd., Palm Beach Gardens, FL, 33419</t>
  </si>
  <si>
    <t>Dave Nutter</t>
  </si>
  <si>
    <t>Electro Arts Enterprises Inc</t>
  </si>
  <si>
    <t>PBG Moose Lodge 2010, 3600 RCA Blvd., Palm Beach Gardens, FL, 33420</t>
  </si>
  <si>
    <t>David Diaz</t>
  </si>
  <si>
    <t>Zion's Fountain</t>
  </si>
  <si>
    <t>Promotional Products</t>
  </si>
  <si>
    <t>PBG Moose Lodge 2010, 3600 RCA Blvd., Palm Beach Gardens, FL, 33421</t>
  </si>
  <si>
    <t>David Velez</t>
  </si>
  <si>
    <t>Cohen Norriss Woler Ray Telepman Berkowitz &amp;</t>
  </si>
  <si>
    <t>561-758-7694</t>
  </si>
  <si>
    <t>PBG Moose Lodge 2010, 3600 RCA Blvd., Palm Beach Gardens, FL, 33422</t>
  </si>
  <si>
    <t>Diana Vega</t>
  </si>
  <si>
    <t>Maid Brigade</t>
  </si>
  <si>
    <t>PBG Moose Lodge 2010, 3600 RCA Blvd., Palm Beach Gardens, FL, 33423</t>
  </si>
  <si>
    <t>Esther Street</t>
  </si>
  <si>
    <t>MainStreet Business Services</t>
  </si>
  <si>
    <t>561-252-3065</t>
  </si>
  <si>
    <t>PBG Moose Lodge 2010, 3600 RCA Blvd., Palm Beach Gardens, FL, 33424</t>
  </si>
  <si>
    <t>Gary Lopes</t>
  </si>
  <si>
    <t>Window &amp; Door Replacement Company</t>
  </si>
  <si>
    <t>PBG Moose Lodge 2010, 3600 RCA Blvd., Palm Beach Gardens, FL, 33425</t>
  </si>
  <si>
    <t>Geo Dederle</t>
  </si>
  <si>
    <t>Zeal Cleaning Inc.</t>
  </si>
  <si>
    <t>561-385-9552</t>
  </si>
  <si>
    <t>PBG Moose Lodge 2010, 3600 RCA Blvd., Palm Beach Gardens, FL, 33426</t>
  </si>
  <si>
    <t>Greg Hillberg</t>
  </si>
  <si>
    <t>PBG Moose Lodge 2010, 3600 RCA Blvd., Palm Beach Gardens, FL, 33427</t>
  </si>
  <si>
    <t>Hanna Shays</t>
  </si>
  <si>
    <t>Stability In Wellness</t>
  </si>
  <si>
    <t>Physical Therapist</t>
  </si>
  <si>
    <t>PBG Moose Lodge 2010, 3600 RCA Blvd., Palm Beach Gardens, FL, 33428</t>
  </si>
  <si>
    <t>James Adkins</t>
  </si>
  <si>
    <t>CXO Accelerator</t>
  </si>
  <si>
    <t>Business Consultant - Management</t>
  </si>
  <si>
    <t>701-540-7825</t>
  </si>
  <si>
    <t>PBG Moose Lodge 2010, 3600 RCA Blvd., Palm Beach Gardens, FL, 33429</t>
  </si>
  <si>
    <t>Jared Quartell</t>
  </si>
  <si>
    <t>Quartell Law Firm</t>
  </si>
  <si>
    <t>561-627-7707</t>
  </si>
  <si>
    <t>PBG Moose Lodge 2010, 3600 RCA Blvd., Palm Beach Gardens, FL, 33430</t>
  </si>
  <si>
    <t>Jennifer Treasure</t>
  </si>
  <si>
    <t>Treasure Training</t>
  </si>
  <si>
    <t>Personal Trainer - Fitness</t>
  </si>
  <si>
    <t>PBG Moose Lodge 2010, 3600 RCA Blvd., Palm Beach Gardens, FL, 33431</t>
  </si>
  <si>
    <t>Jim Anderson</t>
  </si>
  <si>
    <t>JR Electric</t>
  </si>
  <si>
    <t>561-662-5010</t>
  </si>
  <si>
    <t>PBG Moose Lodge 2010, 3600 RCA Blvd., Palm Beach Gardens, FL, 33432</t>
  </si>
  <si>
    <t>Jim Tursi</t>
  </si>
  <si>
    <t>Diversified Roofing Solutions</t>
  </si>
  <si>
    <t>PBG Moose Lodge 2010, 3600 RCA Blvd., Palm Beach Gardens, FL, 33433</t>
  </si>
  <si>
    <t>John Diaz</t>
  </si>
  <si>
    <t>John Diaz Keller Williams Business Brokers</t>
  </si>
  <si>
    <t>Business Broker</t>
  </si>
  <si>
    <t>PBG Moose Lodge 2010, 3600 RCA Blvd., Palm Beach Gardens, FL, 33434</t>
  </si>
  <si>
    <t>Jonathan Van</t>
  </si>
  <si>
    <t>Sitellight Outdoor Lighting and Audio</t>
  </si>
  <si>
    <t>PBG Moose Lodge 2010, 3600 RCA Blvd., Palm Beach Gardens, FL, 33435</t>
  </si>
  <si>
    <t>Josh Luedtke</t>
  </si>
  <si>
    <t>Loyalty Forge HR</t>
  </si>
  <si>
    <t>561-644-8312</t>
  </si>
  <si>
    <t>PBG Moose Lodge 2010, 3600 RCA Blvd., Palm Beach Gardens, FL, 33436</t>
  </si>
  <si>
    <t>Joshua Ragali</t>
  </si>
  <si>
    <t>Lighthouse Custom Homes</t>
  </si>
  <si>
    <t>PBG Moose Lodge 2010, 3600 RCA Blvd., Palm Beach Gardens, FL, 33437</t>
  </si>
  <si>
    <t>Julian Sarria</t>
  </si>
  <si>
    <t>CSV MOVING AND DELIVERY LLC</t>
  </si>
  <si>
    <t>PBG Moose Lodge 2010, 3600 RCA Blvd., Palm Beach Gardens, FL, 33438</t>
  </si>
  <si>
    <t>Katie Usher</t>
  </si>
  <si>
    <t>Kaizen Pelvic Wellness</t>
  </si>
  <si>
    <t>561-282-8836</t>
  </si>
  <si>
    <t>PBG Moose Lodge 2010, 3600 RCA Blvd., Palm Beach Gardens, FL, 33439</t>
  </si>
  <si>
    <t>Keith H Park</t>
  </si>
  <si>
    <t>Keith H. Park</t>
  </si>
  <si>
    <t>561 686-7711</t>
  </si>
  <si>
    <t>PBG Moose Lodge 2010, 3600 RCA Blvd., Palm Beach Gardens, FL, 33440</t>
  </si>
  <si>
    <t>Ken Dickson</t>
  </si>
  <si>
    <t>A/C Advantage Inc.</t>
  </si>
  <si>
    <t>772-336-7366</t>
  </si>
  <si>
    <t>PBG Moose Lodge 2010, 3600 RCA Blvd., Palm Beach Gardens, FL, 33441</t>
  </si>
  <si>
    <t>Kimberley Allen</t>
  </si>
  <si>
    <t>Northwestern Mutual</t>
  </si>
  <si>
    <t>561-537-0041</t>
  </si>
  <si>
    <t>PBG Moose Lodge 2010, 3600 RCA Blvd., Palm Beach Gardens, FL, 33442</t>
  </si>
  <si>
    <t>Leah G. Vincent</t>
  </si>
  <si>
    <t>Venture Insurance Partners</t>
  </si>
  <si>
    <t>561-781-3992</t>
  </si>
  <si>
    <t>PBG Moose Lodge 2010, 3600 RCA Blvd., Palm Beach Gardens, FL, 33443</t>
  </si>
  <si>
    <t>Mark Holbert</t>
  </si>
  <si>
    <t>PBG Moose Lodge 2010, 3600 RCA Blvd., Palm Beach Gardens, FL, 33444</t>
  </si>
  <si>
    <t>Maxine Taylor</t>
  </si>
  <si>
    <t>The Balance Sheet Inc</t>
  </si>
  <si>
    <t>PBG Moose Lodge 2010, 3600 RCA Blvd., Palm Beach Gardens, FL, 33445</t>
  </si>
  <si>
    <t>Melanie Jones</t>
  </si>
  <si>
    <t>Jones Health Solutions</t>
  </si>
  <si>
    <t>PBG Moose Lodge 2010, 3600 RCA Blvd., Palm Beach Gardens, FL, 33446</t>
  </si>
  <si>
    <t>Michael den Bakker</t>
  </si>
  <si>
    <t>Infante Adjustment Bureau</t>
  </si>
  <si>
    <t>561-8018001</t>
  </si>
  <si>
    <t>PBG Moose Lodge 2010, 3600 RCA Blvd., Palm Beach Gardens, FL, 33447</t>
  </si>
  <si>
    <t>Michael Ferrari</t>
  </si>
  <si>
    <t>All Out Junk Removal &amp; Demolition</t>
  </si>
  <si>
    <t>PBG Moose Lodge 2010, 3600 RCA Blvd., Palm Beach Gardens, FL, 33448</t>
  </si>
  <si>
    <t>Michael Jenkins</t>
  </si>
  <si>
    <t>J29 Marketing</t>
  </si>
  <si>
    <t>561-571-3329</t>
  </si>
  <si>
    <t>PBG Moose Lodge 2010, 3600 RCA Blvd., Palm Beach Gardens, FL, 33449</t>
  </si>
  <si>
    <t>Michael Trapasso</t>
  </si>
  <si>
    <t>Trapco Inspections</t>
  </si>
  <si>
    <t>561-529-2891</t>
  </si>
  <si>
    <t>PBG Moose Lodge 2010, 3600 RCA Blvd., Palm Beach Gardens, FL, 33450</t>
  </si>
  <si>
    <t>Nathan Ward</t>
  </si>
  <si>
    <t>Cjs Comm LLC</t>
  </si>
  <si>
    <t>PBG Moose Lodge 2010, 3600 RCA Blvd., Palm Beach Gardens, FL, 33451</t>
  </si>
  <si>
    <t>Nicholas Bangos</t>
  </si>
  <si>
    <t>Nicholas B. Bangos. P.A.</t>
  </si>
  <si>
    <t>561-781-0202</t>
  </si>
  <si>
    <t>PBG Moose Lodge 2010, 3600 RCA Blvd., Palm Beach Gardens, FL, 33452</t>
  </si>
  <si>
    <t>Nicholas Fonseca</t>
  </si>
  <si>
    <t>At Your Service Painting</t>
  </si>
  <si>
    <t>561-252-7510</t>
  </si>
  <si>
    <t>PBG Moose Lodge 2010, 3600 RCA Blvd., Palm Beach Gardens, FL, 33453</t>
  </si>
  <si>
    <t>Rob Burton</t>
  </si>
  <si>
    <t>Merchant Services Consulting</t>
  </si>
  <si>
    <t>508-397-2527</t>
  </si>
  <si>
    <t>PBG Moose Lodge 2010, 3600 RCA Blvd., Palm Beach Gardens, FL, 33454</t>
  </si>
  <si>
    <t>Samantha Arbour</t>
  </si>
  <si>
    <t>Arbour Chiropractic</t>
  </si>
  <si>
    <t>PBG Moose Lodge 2010, 3600 RCA Blvd., Palm Beach Gardens, FL, 33455</t>
  </si>
  <si>
    <t>Shawn Boden</t>
  </si>
  <si>
    <t>Prime Environmental Solutions</t>
  </si>
  <si>
    <t>(561) 352-9225</t>
  </si>
  <si>
    <t>PBG Moose Lodge 2010, 3600 RCA Blvd., Palm Beach Gardens, FL, 33456</t>
  </si>
  <si>
    <t>Stacy McCarthy</t>
  </si>
  <si>
    <t>Stacy McCarthy Design</t>
  </si>
  <si>
    <t>PBG Moose Lodge 2010, 3600 RCA Blvd., Palm Beach Gardens, FL, 33457</t>
  </si>
  <si>
    <t>Steven Maione</t>
  </si>
  <si>
    <t>Arch Mortgage Corporation</t>
  </si>
  <si>
    <t>PBG Moose Lodge 2010, 3600 RCA Blvd., Palm Beach Gardens, FL, 33458</t>
  </si>
  <si>
    <t>Tom Sinner</t>
  </si>
  <si>
    <t>KW Commercial Palm Beach Gardens</t>
  </si>
  <si>
    <t>+1-862-324-3094</t>
  </si>
  <si>
    <t>PBG Moose Lodge 2010, 3600 RCA Blvd., Palm Beach Gardens, FL, 33459</t>
  </si>
  <si>
    <t>Zachary McCarthy</t>
  </si>
  <si>
    <t>DJ &amp; Lindsey Real Estate</t>
  </si>
  <si>
    <t>BNI Business Ambassadors</t>
  </si>
  <si>
    <t>Duffy's Sports Grill, 721 Village Blvd., West Palm Beach, FL, 33409</t>
  </si>
  <si>
    <t>Aimee Droddy</t>
  </si>
  <si>
    <t>Duffy's Sports Grill, 721 Village Blvd., West Palm Beach, FL, 33410</t>
  </si>
  <si>
    <t>Daniel Bachert</t>
  </si>
  <si>
    <t>The Bachert Law Firm</t>
  </si>
  <si>
    <t>561 653-3951</t>
  </si>
  <si>
    <t>Duffy's Sports Grill, 721 Village Blvd., West Palm Beach, FL, 33411</t>
  </si>
  <si>
    <t>Ian Joyner</t>
  </si>
  <si>
    <t>Paychex PEO</t>
  </si>
  <si>
    <t>Business Consultant - Organization &amp; Process</t>
  </si>
  <si>
    <t>901-403-2838</t>
  </si>
  <si>
    <t>Duffy's Sports Grill, 721 Village Blvd., West Palm Beach, FL, 33412</t>
  </si>
  <si>
    <t>Jonathan Litz</t>
  </si>
  <si>
    <t>The Law Offices of Jonathan E. Litz</t>
  </si>
  <si>
    <t>561-392-6711</t>
  </si>
  <si>
    <t>Duffy's Sports Grill, 721 Village Blvd., West Palm Beach, FL, 33413</t>
  </si>
  <si>
    <t>Kris Cam</t>
  </si>
  <si>
    <t>Brightway Insurance - Juno Beach</t>
  </si>
  <si>
    <t>561-425-6228</t>
  </si>
  <si>
    <t>Duffy's Sports Grill, 721 Village Blvd., West Palm Beach, FL, 33414</t>
  </si>
  <si>
    <t>Kris Wall</t>
  </si>
  <si>
    <t>561-383-3642</t>
  </si>
  <si>
    <t>Duffy's Sports Grill, 721 Village Blvd., West Palm Beach, FL, 33415</t>
  </si>
  <si>
    <t>Laurie Hodges</t>
  </si>
  <si>
    <t>KW Reserve</t>
  </si>
  <si>
    <t>Duffy's Sports Grill, 721 Village Blvd., West Palm Beach, FL, 33416</t>
  </si>
  <si>
    <t>Leonel Galvez</t>
  </si>
  <si>
    <t>New York Life Insurance Co.</t>
  </si>
  <si>
    <t>+15619050234</t>
  </si>
  <si>
    <t>Duffy's Sports Grill, 721 Village Blvd., West Palm Beach, FL, 33417</t>
  </si>
  <si>
    <t>Monica Daniels</t>
  </si>
  <si>
    <t>The Daniels Law Group</t>
  </si>
  <si>
    <t>561-414-1282</t>
  </si>
  <si>
    <t>Duffy's Sports Grill, 721 Village Blvd., West Palm Beach, FL, 33418</t>
  </si>
  <si>
    <t>Phil Caliendo</t>
  </si>
  <si>
    <t>Advantage Accounting &amp; Tax</t>
  </si>
  <si>
    <t>561-506-1870</t>
  </si>
  <si>
    <t>Duffy's Sports Grill, 721 Village Blvd., West Palm Beach, FL, 33419</t>
  </si>
  <si>
    <t>Randolph Demary</t>
  </si>
  <si>
    <t>Audio Visual Automation</t>
  </si>
  <si>
    <t>Low Voltage Electrician</t>
  </si>
  <si>
    <t>Duffy's Sports Grill, 721 Village Blvd., West Palm Beach, FL, 33420</t>
  </si>
  <si>
    <t>Tammy Cofre</t>
  </si>
  <si>
    <t>ASP SuperHome</t>
  </si>
  <si>
    <t>Duffy's Sports Grill, 721 Village Blvd., West Palm Beach, FL, 33421</t>
  </si>
  <si>
    <t>Terrence Freeman</t>
  </si>
  <si>
    <t>Nason Yeager</t>
  </si>
  <si>
    <t>561-686-3307</t>
  </si>
  <si>
    <t>BNI Palm Beach Elite</t>
  </si>
  <si>
    <t>Embassy Suites West Palm Beach, 1601 Belvedere Road, West Palm Beach, FL</t>
  </si>
  <si>
    <t>Amie Mollo</t>
  </si>
  <si>
    <t>Ryan Williams Agency</t>
  </si>
  <si>
    <t>Brent Schreurs</t>
  </si>
  <si>
    <t>CrossCountry Mortgage LLC</t>
  </si>
  <si>
    <t>Chris Adair</t>
  </si>
  <si>
    <t>Keller Williams Wellington</t>
  </si>
  <si>
    <t>DAVID CAMPBELL</t>
  </si>
  <si>
    <t>Best Choice Home Inspection Services</t>
  </si>
  <si>
    <t>David Kestner</t>
  </si>
  <si>
    <t>First Response Handyman</t>
  </si>
  <si>
    <t>DR JASON JEWELL</t>
  </si>
  <si>
    <t>Strategic Health Solutions of the Palm Beach</t>
  </si>
  <si>
    <t>Eric Ariza</t>
  </si>
  <si>
    <t>Efflorescence</t>
  </si>
  <si>
    <t>Landscape Services</t>
  </si>
  <si>
    <t>Geoff Prichard</t>
  </si>
  <si>
    <t>Next Wave Title</t>
  </si>
  <si>
    <t>+1 (734) 558-7116</t>
  </si>
  <si>
    <t>Greg Mandor</t>
  </si>
  <si>
    <t>I.M. Electric</t>
  </si>
  <si>
    <t>561-357-7756</t>
  </si>
  <si>
    <t>Ivan Medugorac</t>
  </si>
  <si>
    <t>Hoover Architectural products</t>
  </si>
  <si>
    <t>Shutters &amp; Awnings</t>
  </si>
  <si>
    <t>561-957-7008</t>
  </si>
  <si>
    <t>James Duvall</t>
  </si>
  <si>
    <t>Live Lead Last</t>
  </si>
  <si>
    <t>Business Training/Coach</t>
  </si>
  <si>
    <t>+1 (561) 452-0871</t>
  </si>
  <si>
    <t>Jason Karkenny</t>
  </si>
  <si>
    <t>Talbot Roofing</t>
  </si>
  <si>
    <t>Jennifer Altieri</t>
  </si>
  <si>
    <t>Kindness Shared Happiness Squared</t>
  </si>
  <si>
    <t>(954) 205-8797</t>
  </si>
  <si>
    <t>Jennifer Horvath</t>
  </si>
  <si>
    <t>Harbor Tile &amp; Carpet Cleaning</t>
  </si>
  <si>
    <t>Upholstery Cleaner</t>
  </si>
  <si>
    <t>Jessika Ochoa Gengler</t>
  </si>
  <si>
    <t>Evershore Financial Group</t>
  </si>
  <si>
    <t>Luis Robayo</t>
  </si>
  <si>
    <t>The Property People</t>
  </si>
  <si>
    <t>305-484-1144</t>
  </si>
  <si>
    <t>Mario Gallego</t>
  </si>
  <si>
    <t>Avisionary Construction Solutions LLC</t>
  </si>
  <si>
    <t>551-404-0071</t>
  </si>
  <si>
    <t>Marisol Rivera</t>
  </si>
  <si>
    <t>Absolute Best Insurance</t>
  </si>
  <si>
    <t>Mark Abramovich</t>
  </si>
  <si>
    <t>MIRS Group</t>
  </si>
  <si>
    <t>646-535-3599</t>
  </si>
  <si>
    <t>Mark Goldstein</t>
  </si>
  <si>
    <t>The Air Squad</t>
  </si>
  <si>
    <t>Maxim Manera</t>
  </si>
  <si>
    <t>Maxim Mitigation</t>
  </si>
  <si>
    <t>Nadia Lakhani</t>
  </si>
  <si>
    <t>On Target Claims</t>
  </si>
  <si>
    <t>786-856-0576</t>
  </si>
  <si>
    <t>Reba Larney</t>
  </si>
  <si>
    <t>MPB Health Plans</t>
  </si>
  <si>
    <t>+15619229647</t>
  </si>
  <si>
    <t>Renae Hunter</t>
  </si>
  <si>
    <t>GLV Insurance dba Insurance Express</t>
  </si>
  <si>
    <t>Robert Gornitz</t>
  </si>
  <si>
    <t>All Florida Pest Control</t>
  </si>
  <si>
    <t>+1 (561) 397-0029</t>
  </si>
  <si>
    <t>Sam Guelli</t>
  </si>
  <si>
    <t>Brian D. Guralnick Injury Attorneys</t>
  </si>
  <si>
    <t>561-616-9977</t>
  </si>
  <si>
    <t>Suzelaine Similien</t>
  </si>
  <si>
    <t>ArmfieldGroup</t>
  </si>
  <si>
    <t>Business Advisor</t>
  </si>
  <si>
    <t>Wilfred Rivera</t>
  </si>
  <si>
    <t>Ripprint LLC</t>
  </si>
  <si>
    <t>Embroidery</t>
  </si>
  <si>
    <t>BNI Business Expansion Network</t>
  </si>
  <si>
    <t>DoubleTree Hotel, 4431 PGA Blvd., Palm Beach Gardens, FL, 33410</t>
  </si>
  <si>
    <t>Aaron Zedeck</t>
  </si>
  <si>
    <t>Aaron's Paramount Cleaning Solutions</t>
  </si>
  <si>
    <t>Carpet</t>
  </si>
  <si>
    <t>DoubleTree Hotel, 4431 PGA Blvd., Palm Beach Gardens, FL, 33411</t>
  </si>
  <si>
    <t>Aedan McCall</t>
  </si>
  <si>
    <t>All County Automotive</t>
  </si>
  <si>
    <t>DoubleTree Hotel, 4431 PGA Blvd., Palm Beach Gardens, FL, 33412</t>
  </si>
  <si>
    <t>Ausie Tarver</t>
  </si>
  <si>
    <t>Archera Human Resources</t>
  </si>
  <si>
    <t>561-918-0525</t>
  </si>
  <si>
    <t>DoubleTree Hotel, 4431 PGA Blvd., Palm Beach Gardens, FL, 33413</t>
  </si>
  <si>
    <t>Chance Carrick</t>
  </si>
  <si>
    <t>Fides Restoration</t>
  </si>
  <si>
    <t>561-720-3284</t>
  </si>
  <si>
    <t>DoubleTree Hotel, 4431 PGA Blvd., Palm Beach Gardens, FL, 33414</t>
  </si>
  <si>
    <t>Chantyle (Kimmie) Hickle (Marie )</t>
  </si>
  <si>
    <t>Km event group</t>
  </si>
  <si>
    <t>Event Planner</t>
  </si>
  <si>
    <t>DoubleTree Hotel, 4431 PGA Blvd., Palm Beach Gardens, FL, 33415</t>
  </si>
  <si>
    <t>Dan Rigoli</t>
  </si>
  <si>
    <t>Team Rigoli</t>
  </si>
  <si>
    <t>DoubleTree Hotel, 4431 PGA Blvd., Palm Beach Gardens, FL, 33416</t>
  </si>
  <si>
    <t>David Tassell</t>
  </si>
  <si>
    <t>David C. Tassell</t>
  </si>
  <si>
    <t>(561) 747-7300</t>
  </si>
  <si>
    <t>DoubleTree Hotel, 4431 PGA Blvd., Palm Beach Gardens, FL, 33417</t>
  </si>
  <si>
    <t>Dean Xenick</t>
  </si>
  <si>
    <t>Reid Burman Lebedeker Xenick Pepin</t>
  </si>
  <si>
    <t>561-659-7700</t>
  </si>
  <si>
    <t>DoubleTree Hotel, 4431 PGA Blvd., Palm Beach Gardens, FL, 33418</t>
  </si>
  <si>
    <t>Dubymar Tollinchi</t>
  </si>
  <si>
    <t>Kodr Technologies</t>
  </si>
  <si>
    <t>DoubleTree Hotel, 4431 PGA Blvd., Palm Beach Gardens, FL, 33419</t>
  </si>
  <si>
    <t>Eric Fetscher</t>
  </si>
  <si>
    <t>Sharp Mortgage of South Florida</t>
  </si>
  <si>
    <t>DoubleTree Hotel, 4431 PGA Blvd., Palm Beach Gardens, FL, 33420</t>
  </si>
  <si>
    <t>Ethan Franklin</t>
  </si>
  <si>
    <t>Red River Web Design</t>
  </si>
  <si>
    <t>Computer Software</t>
  </si>
  <si>
    <t>DoubleTree Hotel, 4431 PGA Blvd., Palm Beach Gardens, FL, 33421</t>
  </si>
  <si>
    <t>Heather Viniar</t>
  </si>
  <si>
    <t>Cetera Investors</t>
  </si>
  <si>
    <t>DoubleTree Hotel, 4431 PGA Blvd., Palm Beach Gardens, FL, 33422</t>
  </si>
  <si>
    <t>Helena Echeverry</t>
  </si>
  <si>
    <t>Helena Echeverry Photography</t>
  </si>
  <si>
    <t>DoubleTree Hotel, 4431 PGA Blvd., Palm Beach Gardens, FL, 33423</t>
  </si>
  <si>
    <t>Jason Harripersad</t>
  </si>
  <si>
    <t>954-600-1991</t>
  </si>
  <si>
    <t>DoubleTree Hotel, 4431 PGA Blvd., Palm Beach Gardens, FL, 33424</t>
  </si>
  <si>
    <t>Jeff Polston</t>
  </si>
  <si>
    <t>Family Shield Pest Control</t>
  </si>
  <si>
    <t>DoubleTree Hotel, 4431 PGA Blvd., Palm Beach Gardens, FL, 33425</t>
  </si>
  <si>
    <t>Jerry Saunders</t>
  </si>
  <si>
    <t>Line and Level Contracting LLC</t>
  </si>
  <si>
    <t>561-507-0511</t>
  </si>
  <si>
    <t>DoubleTree Hotel, 4431 PGA Blvd., Palm Beach Gardens, FL, 33426</t>
  </si>
  <si>
    <t>Jesus McCarthy</t>
  </si>
  <si>
    <t>McCarthy Painting and Services</t>
  </si>
  <si>
    <t>561-768-3175</t>
  </si>
  <si>
    <t>DoubleTree Hotel, 4431 PGA Blvd., Palm Beach Gardens, FL, 33427</t>
  </si>
  <si>
    <t>Joe Roldan</t>
  </si>
  <si>
    <t>Peoples Choice Plumbing</t>
  </si>
  <si>
    <t>DoubleTree Hotel, 4431 PGA Blvd., Palm Beach Gardens, FL, 33428</t>
  </si>
  <si>
    <t>Jonathan Harmon</t>
  </si>
  <si>
    <t>Harmony Air LLC</t>
  </si>
  <si>
    <t>(772) 203-2571</t>
  </si>
  <si>
    <t>DoubleTree Hotel, 4431 PGA Blvd., Palm Beach Gardens, FL, 33429</t>
  </si>
  <si>
    <t>Joseph Bettag</t>
  </si>
  <si>
    <t>Coastal Properties</t>
  </si>
  <si>
    <t>561-746-9775 x223</t>
  </si>
  <si>
    <t>DoubleTree Hotel, 4431 PGA Blvd., Palm Beach Gardens, FL, 33430</t>
  </si>
  <si>
    <t>Kurt Karlquist</t>
  </si>
  <si>
    <t>Wolverine Roofing</t>
  </si>
  <si>
    <t>DoubleTree Hotel, 4431 PGA Blvd., Palm Beach Gardens, FL, 33431</t>
  </si>
  <si>
    <t>Lance Petrie</t>
  </si>
  <si>
    <t>VIP Adjusting Inc.</t>
  </si>
  <si>
    <t>772-600-4663</t>
  </si>
  <si>
    <t>DoubleTree Hotel, 4431 PGA Blvd., Palm Beach Gardens, FL, 33432</t>
  </si>
  <si>
    <t>Mark Giarrizzo</t>
  </si>
  <si>
    <t>GO Electric Services</t>
  </si>
  <si>
    <t>DoubleTree Hotel, 4431 PGA Blvd., Palm Beach Gardens, FL, 33433</t>
  </si>
  <si>
    <t>Michael De Simone</t>
  </si>
  <si>
    <t>De Simone Law</t>
  </si>
  <si>
    <t>DoubleTree Hotel, 4431 PGA Blvd., Palm Beach Gardens, FL, 33434</t>
  </si>
  <si>
    <t>Paul Debogorski</t>
  </si>
  <si>
    <t>South Florida CyberMSP</t>
  </si>
  <si>
    <t>561-277-8347</t>
  </si>
  <si>
    <t>DoubleTree Hotel, 4431 PGA Blvd., Palm Beach Gardens, FL, 33435</t>
  </si>
  <si>
    <t>Richard Dellerba</t>
  </si>
  <si>
    <t>561-914-7392</t>
  </si>
  <si>
    <t>DoubleTree Hotel, 4431 PGA Blvd., Palm Beach Gardens, FL, 33436</t>
  </si>
  <si>
    <t>Robert Lopez</t>
  </si>
  <si>
    <t>Good Greek Moving &amp; Storage</t>
  </si>
  <si>
    <t>+1 (561) 373-9280</t>
  </si>
  <si>
    <t>DoubleTree Hotel, 4431 PGA Blvd., Palm Beach Gardens, FL, 33437</t>
  </si>
  <si>
    <t>Robert Wagner</t>
  </si>
  <si>
    <t>HealthMax Center</t>
  </si>
  <si>
    <t>561-612-8001</t>
  </si>
  <si>
    <t>DoubleTree Hotel, 4431 PGA Blvd., Palm Beach Gardens, FL, 33438</t>
  </si>
  <si>
    <t>Ryan Daley</t>
  </si>
  <si>
    <t>Backline Financial</t>
  </si>
  <si>
    <t>561-818-8814</t>
  </si>
  <si>
    <t>DoubleTree Hotel, 4431 PGA Blvd., Palm Beach Gardens, FL, 33439</t>
  </si>
  <si>
    <t>Samia Bottecchia</t>
  </si>
  <si>
    <t>Lily Maids</t>
  </si>
  <si>
    <t>DoubleTree Hotel, 4431 PGA Blvd., Palm Beach Gardens, FL, 33440</t>
  </si>
  <si>
    <t>Scott Mactavish</t>
  </si>
  <si>
    <t>ST Good Insurance</t>
  </si>
  <si>
    <t>DoubleTree Hotel, 4431 PGA Blvd., Palm Beach Gardens, FL, 33441</t>
  </si>
  <si>
    <t>Sean Escoffery</t>
  </si>
  <si>
    <t>Mark Escoffery</t>
  </si>
  <si>
    <t>(561) 627-1404</t>
  </si>
  <si>
    <t>DoubleTree Hotel, 4431 PGA Blvd., Palm Beach Gardens, FL, 33442</t>
  </si>
  <si>
    <t>Todd Mercado</t>
  </si>
  <si>
    <t>DoubleTree Hotel, 4431 PGA Blvd., Palm Beach Gardens, FL, 33443</t>
  </si>
  <si>
    <t>William Lazarchick</t>
  </si>
  <si>
    <t>William N. Lazarchick</t>
  </si>
  <si>
    <t>(561) 727-3625</t>
  </si>
  <si>
    <t>BNI Profit</t>
  </si>
  <si>
    <t>Alec de Fabrique</t>
  </si>
  <si>
    <t>de Fabrique Aesthetic Dentistry</t>
  </si>
  <si>
    <t>Anthony Velocci</t>
  </si>
  <si>
    <t>JVA Accountants &amp; Advisors LLC</t>
  </si>
  <si>
    <t>+15618670345</t>
  </si>
  <si>
    <t>Barbara Pierre</t>
  </si>
  <si>
    <t>Above Jewels Travel</t>
  </si>
  <si>
    <t>Casey Good</t>
  </si>
  <si>
    <t>S.T. Good Insurance</t>
  </si>
  <si>
    <t>772-287-3625</t>
  </si>
  <si>
    <t>CrossCountry Mortgage</t>
  </si>
  <si>
    <t>Christopher Galeta</t>
  </si>
  <si>
    <t>Ocean View Title &amp; Escrow</t>
  </si>
  <si>
    <t>561-270-0988</t>
  </si>
  <si>
    <t>Ian Hagenmiller</t>
  </si>
  <si>
    <t>Hagen Environmental Services</t>
  </si>
  <si>
    <t>561-295-3988</t>
  </si>
  <si>
    <t>James Larschan</t>
  </si>
  <si>
    <t>Insurance Express</t>
  </si>
  <si>
    <t>Jason Syck</t>
  </si>
  <si>
    <t>Mindful Home Inspections</t>
  </si>
  <si>
    <t>(561)698-6646</t>
  </si>
  <si>
    <t>Jeffrey Lukosavich</t>
  </si>
  <si>
    <t>561-846-2394</t>
  </si>
  <si>
    <t>Jeffrey Martz</t>
  </si>
  <si>
    <t>Baez &amp; Prather Injury Lawyers</t>
  </si>
  <si>
    <t>954-803-5580</t>
  </si>
  <si>
    <t>Joseph Auletto</t>
  </si>
  <si>
    <t>Auletto Property Maintenance</t>
  </si>
  <si>
    <t>Renovations/Remodeling</t>
  </si>
  <si>
    <t>772-800-5995</t>
  </si>
  <si>
    <t>Kemmisha Lindo</t>
  </si>
  <si>
    <t>First Horizon Bank</t>
  </si>
  <si>
    <t>Kristina Holm</t>
  </si>
  <si>
    <t>Welcome Holm Group</t>
  </si>
  <si>
    <t>Nancy Ferraro</t>
  </si>
  <si>
    <t>Ferraro Law</t>
  </si>
  <si>
    <t>Nicholas Davis</t>
  </si>
  <si>
    <t>EDS air conditioning</t>
  </si>
  <si>
    <t>+15618769809</t>
  </si>
  <si>
    <t>Nina Sharpe</t>
  </si>
  <si>
    <t>Alzheimer's Association</t>
  </si>
  <si>
    <t>407-271-9113</t>
  </si>
  <si>
    <t>Paulette Turner</t>
  </si>
  <si>
    <t>CTF Financial Group</t>
  </si>
  <si>
    <t>Peter Jelinek</t>
  </si>
  <si>
    <t>Bald Eagle Moving</t>
  </si>
  <si>
    <t>Ronald Radcliffe</t>
  </si>
  <si>
    <t>Senior Helpers</t>
  </si>
  <si>
    <t>Shawn Wolfe</t>
  </si>
  <si>
    <t>Three Guys Roofing Inc</t>
  </si>
  <si>
    <t>561-358-8721</t>
  </si>
  <si>
    <t>Todd Pollock</t>
  </si>
  <si>
    <t>Upward Wealth Management</t>
  </si>
  <si>
    <t>561-501-2737</t>
  </si>
  <si>
    <t>Trevor Queenan</t>
  </si>
  <si>
    <t>Perfect Pressure Cleaning</t>
  </si>
  <si>
    <t>561-262-3125</t>
  </si>
  <si>
    <t>Troy Maleyko</t>
  </si>
  <si>
    <t>Troy Maleyko - Realtor</t>
  </si>
  <si>
    <t>BNI Referral Zone</t>
  </si>
  <si>
    <t>Paddock Restaurant (Inside Palm Beach Kennel Club), 1111 Congress Ave, West Palm Bech, FL, 33409</t>
  </si>
  <si>
    <t>Bret Lovelady</t>
  </si>
  <si>
    <t>Paint EZ of WestPalm</t>
  </si>
  <si>
    <t>Paddock Restaurant (Inside Palm Beach Kennel Club), 1111 Congress Ave, West Palm Bech, FL, 33410</t>
  </si>
  <si>
    <t>Carl Barnowski</t>
  </si>
  <si>
    <t>561-352-5960</t>
  </si>
  <si>
    <t>Paddock Restaurant (Inside Palm Beach Kennel Club), 1111 Congress Ave, West Palm Bech, FL, 33411</t>
  </si>
  <si>
    <t>Connor Hendrix</t>
  </si>
  <si>
    <t>Hendrix Environmental Group</t>
  </si>
  <si>
    <t>561-668-2220</t>
  </si>
  <si>
    <t>Paddock Restaurant (Inside Palm Beach Kennel Club), 1111 Congress Ave, West Palm Bech, FL, 33412</t>
  </si>
  <si>
    <t>Courtney Martin</t>
  </si>
  <si>
    <t>Paddock Restaurant (Inside Palm Beach Kennel Club), 1111 Congress Ave, West Palm Bech, FL, 33413</t>
  </si>
  <si>
    <t>Dane Jones</t>
  </si>
  <si>
    <t>J7 INSURANCE</t>
  </si>
  <si>
    <t>Insurance Consultant</t>
  </si>
  <si>
    <t>Paddock Restaurant (Inside Palm Beach Kennel Club), 1111 Congress Ave, West Palm Bech, FL, 33414</t>
  </si>
  <si>
    <t>Daniel Doskey</t>
  </si>
  <si>
    <t>Legal Graphicworks</t>
  </si>
  <si>
    <t>Paddock Restaurant (Inside Palm Beach Kennel Club), 1111 Congress Ave, West Palm Bech, FL, 33415</t>
  </si>
  <si>
    <t>ELIZABETH GIACHETTI</t>
  </si>
  <si>
    <t>ONE SOTHEBY'S INTERNATIONAL REALTY</t>
  </si>
  <si>
    <t>561-305-2924</t>
  </si>
  <si>
    <t>Paddock Restaurant (Inside Palm Beach Kennel Club), 1111 Congress Ave, West Palm Bech, FL, 33416</t>
  </si>
  <si>
    <t>Gus Trujillo</t>
  </si>
  <si>
    <t>The Phoenix Restoration</t>
  </si>
  <si>
    <t>Paddock Restaurant (Inside Palm Beach Kennel Club), 1111 Congress Ave, West Palm Bech, FL, 33417</t>
  </si>
  <si>
    <t>Gus Michael Farinella</t>
  </si>
  <si>
    <t>Law Offices of Gus Michael Farinrella PC</t>
  </si>
  <si>
    <t>Paddock Restaurant (Inside Palm Beach Kennel Club), 1111 Congress Ave, West Palm Bech, FL, 33418</t>
  </si>
  <si>
    <t>Hector Caballero</t>
  </si>
  <si>
    <t>Junkvets junk removal</t>
  </si>
  <si>
    <t>708-466-2588</t>
  </si>
  <si>
    <t>Paddock Restaurant (Inside Palm Beach Kennel Club), 1111 Congress Ave, West Palm Bech, FL, 33419</t>
  </si>
  <si>
    <t>Isadora Franca</t>
  </si>
  <si>
    <t>Isadora Franca Photography</t>
  </si>
  <si>
    <t>Paddock Restaurant (Inside Palm Beach Kennel Club), 1111 Congress Ave, West Palm Bech, FL, 33420</t>
  </si>
  <si>
    <t>Jen Grimes</t>
  </si>
  <si>
    <t>The Fahrenheit Agency</t>
  </si>
  <si>
    <t>Paddock Restaurant (Inside Palm Beach Kennel Club), 1111 Congress Ave, West Palm Bech, FL, 33421</t>
  </si>
  <si>
    <t>Jim Margolis</t>
  </si>
  <si>
    <t>Margolis Technologies Inc</t>
  </si>
  <si>
    <t>561-231-0301</t>
  </si>
  <si>
    <t>Paddock Restaurant (Inside Palm Beach Kennel Club), 1111 Congress Ave, West Palm Bech, FL, 33422</t>
  </si>
  <si>
    <t>Joe Russo</t>
  </si>
  <si>
    <t>Accelerated Technologies</t>
  </si>
  <si>
    <t>561-427-0600</t>
  </si>
  <si>
    <t>Paddock Restaurant (Inside Palm Beach Kennel Club), 1111 Congress Ave, West Palm Bech, FL, 33423</t>
  </si>
  <si>
    <t>Keith Epstein CFP®</t>
  </si>
  <si>
    <t>Baird</t>
  </si>
  <si>
    <t>(561) 650-5702</t>
  </si>
  <si>
    <t>Paddock Restaurant (Inside Palm Beach Kennel Club), 1111 Congress Ave, West Palm Bech, FL, 33424</t>
  </si>
  <si>
    <t>Lalo Rodriguez</t>
  </si>
  <si>
    <t>Luxury Detailing &amp; Ceramic Coatings</t>
  </si>
  <si>
    <t>Auto/Car Detailing</t>
  </si>
  <si>
    <t>Paddock Restaurant (Inside Palm Beach Kennel Club), 1111 Congress Ave, West Palm Bech, FL, 33425</t>
  </si>
  <si>
    <t>Maksim Novikov</t>
  </si>
  <si>
    <t>Marzo Roofing</t>
  </si>
  <si>
    <t>Paddock Restaurant (Inside Palm Beach Kennel Club), 1111 Congress Ave, West Palm Bech, FL, 33426</t>
  </si>
  <si>
    <t>Maurice Phaneuf</t>
  </si>
  <si>
    <t>ACI Inspection</t>
  </si>
  <si>
    <t>Paddock Restaurant (Inside Palm Beach Kennel Club), 1111 Congress Ave, West Palm Bech, FL, 33427</t>
  </si>
  <si>
    <t>Michael Walters</t>
  </si>
  <si>
    <t>Jax Concrete Coatings Palm Beaches</t>
  </si>
  <si>
    <t>+15617655000</t>
  </si>
  <si>
    <t>Paddock Restaurant (Inside Palm Beach Kennel Club), 1111 Congress Ave, West Palm Bech, FL, 33428</t>
  </si>
  <si>
    <t>Paul Bowen</t>
  </si>
  <si>
    <t>Paddock Restaurant (Inside Palm Beach Kennel Club), 1111 Congress Ave, West Palm Bech, FL, 33429</t>
  </si>
  <si>
    <t>Paul Dozois</t>
  </si>
  <si>
    <t>Felice Trial Attorneys</t>
  </si>
  <si>
    <t>941-962-2234</t>
  </si>
  <si>
    <t>Paddock Restaurant (Inside Palm Beach Kennel Club), 1111 Congress Ave, West Palm Bech, FL, 33430</t>
  </si>
  <si>
    <t>Penelope Wimberly Davis</t>
  </si>
  <si>
    <t>Allstate</t>
  </si>
  <si>
    <t>Paddock Restaurant (Inside Palm Beach Kennel Club), 1111 Congress Ave, West Palm Bech, FL, 33431</t>
  </si>
  <si>
    <t>Robert Desmond</t>
  </si>
  <si>
    <t>Cardinal Accountants LLC</t>
  </si>
  <si>
    <t>561-391-4848</t>
  </si>
  <si>
    <t>Paddock Restaurant (Inside Palm Beach Kennel Club), 1111 Congress Ave, West Palm Bech, FL, 33432</t>
  </si>
  <si>
    <t>Samantha Michels</t>
  </si>
  <si>
    <t>Precision Garage Door Service</t>
  </si>
  <si>
    <t>Garage Doors</t>
  </si>
  <si>
    <t>Paddock Restaurant (Inside Palm Beach Kennel Club), 1111 Congress Ave, West Palm Bech, FL, 33433</t>
  </si>
  <si>
    <t>Sanders Park</t>
  </si>
  <si>
    <t>Sunstate Mortgage</t>
  </si>
  <si>
    <t>561-859-9721</t>
  </si>
  <si>
    <t>Paddock Restaurant (Inside Palm Beach Kennel Club), 1111 Congress Ave, West Palm Bech, FL, 33434</t>
  </si>
  <si>
    <t>Sean Forde</t>
  </si>
  <si>
    <t>ProSource Wholesale Flooring</t>
  </si>
  <si>
    <t>Flooring</t>
  </si>
  <si>
    <t>561-300-1557</t>
  </si>
  <si>
    <t>Paddock Restaurant (Inside Palm Beach Kennel Club), 1111 Congress Ave, West Palm Bech, FL, 33435</t>
  </si>
  <si>
    <t>Thomas Rycroft</t>
  </si>
  <si>
    <t>Holiday Moments LLC</t>
  </si>
  <si>
    <t>Events</t>
  </si>
  <si>
    <t>561-777-5225</t>
  </si>
  <si>
    <t>BNI Top Shelf</t>
  </si>
  <si>
    <t>Online</t>
  </si>
  <si>
    <t>Alan Abdin</t>
  </si>
  <si>
    <t>Total Real Estate Consultants Inc</t>
  </si>
  <si>
    <t>Alona Larina</t>
  </si>
  <si>
    <t>The L Crew</t>
  </si>
  <si>
    <t>+18508105000</t>
  </si>
  <si>
    <t>Alyis Mursuli</t>
  </si>
  <si>
    <t>Firehouse Adjusters</t>
  </si>
  <si>
    <t>Ayelet Zapin</t>
  </si>
  <si>
    <t>Epique Realty</t>
  </si>
  <si>
    <t>+17867844054</t>
  </si>
  <si>
    <t>Bill Hanley</t>
  </si>
  <si>
    <t>Family Escrow &amp; Title</t>
  </si>
  <si>
    <t>Brad Gomberg</t>
  </si>
  <si>
    <t>Alterio Technologies</t>
  </si>
  <si>
    <t>Christian Balkcom</t>
  </si>
  <si>
    <t>Action Physical Therapy</t>
  </si>
  <si>
    <t>Elise Barimo</t>
  </si>
  <si>
    <t>Barimo Law PA</t>
  </si>
  <si>
    <t>Consumer Law</t>
  </si>
  <si>
    <t>Gresham Harkless</t>
  </si>
  <si>
    <t>Blue Star Franchise powered by Blue 16 Media</t>
  </si>
  <si>
    <t>202-818-8583</t>
  </si>
  <si>
    <t>Jacqueline Spillman</t>
  </si>
  <si>
    <t>Lone Star Signing</t>
  </si>
  <si>
    <t>+12817329617</t>
  </si>
  <si>
    <t>James Bowers II</t>
  </si>
  <si>
    <t>Input Output</t>
  </si>
  <si>
    <t>Data Security</t>
  </si>
  <si>
    <t>844-467-8868</t>
  </si>
  <si>
    <t>Jared Oleck</t>
  </si>
  <si>
    <t>United Insurance Network</t>
  </si>
  <si>
    <t>Jerry Siegel</t>
  </si>
  <si>
    <t>JASB Management</t>
  </si>
  <si>
    <t>516-205-1773</t>
  </si>
  <si>
    <t>Jesse O'Hara</t>
  </si>
  <si>
    <t>O'Hara Legal</t>
  </si>
  <si>
    <t>954-998-5955</t>
  </si>
  <si>
    <t>Joel Donoghue</t>
  </si>
  <si>
    <t>Integrity1 Home Inspections</t>
  </si>
  <si>
    <t>561-565-8513</t>
  </si>
  <si>
    <t>Jose Arcay</t>
  </si>
  <si>
    <t>Jose Deleon</t>
  </si>
  <si>
    <t>New Vista Property Management</t>
  </si>
  <si>
    <t>Joyce Shuster</t>
  </si>
  <si>
    <t>Pfs investments</t>
  </si>
  <si>
    <t>Kathryn Rowell</t>
  </si>
  <si>
    <t>Schooley Mitchell</t>
  </si>
  <si>
    <t>+16827038746</t>
  </si>
  <si>
    <t>Kerri Sanford</t>
  </si>
  <si>
    <t>Lawlen Insurance Consulting</t>
  </si>
  <si>
    <t>206-412-5633</t>
  </si>
  <si>
    <t>MARIANA CATANZARO</t>
  </si>
  <si>
    <t>FRIEDLAND &amp; ASSOCIATES</t>
  </si>
  <si>
    <t>561-856-8986</t>
  </si>
  <si>
    <t>Ofer Meriesh</t>
  </si>
  <si>
    <t>Artesa Build &amp; Design</t>
  </si>
  <si>
    <t>Oleg Zviagin</t>
  </si>
  <si>
    <t>Proxy Financial</t>
  </si>
  <si>
    <t>Patricia Yanes</t>
  </si>
  <si>
    <t>PMF Mortgage</t>
  </si>
  <si>
    <t>305-915-1830</t>
  </si>
  <si>
    <t>Ricardo Ramos</t>
  </si>
  <si>
    <t>ruth kraft</t>
  </si>
  <si>
    <t>Community Calling Inc</t>
  </si>
  <si>
    <t>Sorah Shain</t>
  </si>
  <si>
    <t>Shain Insurance</t>
  </si>
  <si>
    <t>Terry Redmond</t>
  </si>
  <si>
    <t>Internet Business Ideas and Marketing</t>
  </si>
  <si>
    <t>561-328-7071</t>
  </si>
  <si>
    <t>Yasha Osby</t>
  </si>
  <si>
    <t>Optimum Legal Services PLLC</t>
  </si>
  <si>
    <t>BNI Ubuntu International</t>
  </si>
  <si>
    <t>Emeline Trajan</t>
  </si>
  <si>
    <t>Mexique Aventure</t>
  </si>
  <si>
    <t>Turism</t>
  </si>
  <si>
    <t>BNI Diamond</t>
  </si>
  <si>
    <t>Embassy Suites by Hilton Boca Raton, 661 NW 53rd Street, Boca Raton, FL, 33487</t>
  </si>
  <si>
    <t>Allen Bosworth</t>
  </si>
  <si>
    <t>Law Office of Allen Bosworth</t>
  </si>
  <si>
    <t>954-524-7744</t>
  </si>
  <si>
    <t>Embassy Suites by Hilton Boca Raton, 661 NW 53rd Street, Boca Raton, FL, 33488</t>
  </si>
  <si>
    <t>Antonio Hernandez</t>
  </si>
  <si>
    <t>Boots on the ground AC</t>
  </si>
  <si>
    <t>+1 (305) 781-6768</t>
  </si>
  <si>
    <t>Embassy Suites by Hilton Boca Raton, 661 NW 53rd Street, Boca Raton, FL, 33489</t>
  </si>
  <si>
    <t>Brian Klebenoff</t>
  </si>
  <si>
    <t>Signature One Painting</t>
  </si>
  <si>
    <t>954-675-2326</t>
  </si>
  <si>
    <t>Embassy Suites by Hilton Boca Raton, 661 NW 53rd Street, Boca Raton, FL, 33490</t>
  </si>
  <si>
    <t>Chadam Stroempl</t>
  </si>
  <si>
    <t>CJS Comm LLC</t>
  </si>
  <si>
    <t>561-788-7088</t>
  </si>
  <si>
    <t>Embassy Suites by Hilton Boca Raton, 661 NW 53rd Street, Boca Raton, FL, 33491</t>
  </si>
  <si>
    <t>Dennis Bonner</t>
  </si>
  <si>
    <t>FLORIDA INSURANCE INSPECTIONS</t>
  </si>
  <si>
    <t>(305) 7594587</t>
  </si>
  <si>
    <t>Embassy Suites by Hilton Boca Raton, 661 NW 53rd Street, Boca Raton, FL, 33492</t>
  </si>
  <si>
    <t>ERNEST CARUSO</t>
  </si>
  <si>
    <t>Boca Health &amp; Wellness Center</t>
  </si>
  <si>
    <t>561-447-2228</t>
  </si>
  <si>
    <t>Embassy Suites by Hilton Boca Raton, 661 NW 53rd Street, Boca Raton, FL, 33493</t>
  </si>
  <si>
    <t>Floyd Ostrowsky</t>
  </si>
  <si>
    <t>Reliant Adjusters Group</t>
  </si>
  <si>
    <t>954 805 3602</t>
  </si>
  <si>
    <t>Embassy Suites by Hilton Boca Raton, 661 NW 53rd Street, Boca Raton, FL, 33494</t>
  </si>
  <si>
    <t>Julie Carlson</t>
  </si>
  <si>
    <t>Life Law Planning Group and Care at Home FL</t>
  </si>
  <si>
    <t>Embassy Suites by Hilton Boca Raton, 661 NW 53rd Street, Boca Raton, FL, 33495</t>
  </si>
  <si>
    <t>Lashan Ross</t>
  </si>
  <si>
    <t>Primerica</t>
  </si>
  <si>
    <t>Embassy Suites by Hilton Boca Raton, 661 NW 53rd Street, Boca Raton, FL, 33496</t>
  </si>
  <si>
    <t>Leon Bovell</t>
  </si>
  <si>
    <t>Aflac</t>
  </si>
  <si>
    <t>+1 (954) 696-2787</t>
  </si>
  <si>
    <t>Embassy Suites by Hilton Boca Raton, 661 NW 53rd Street, Boca Raton, FL, 33497</t>
  </si>
  <si>
    <t>Michael Albert</t>
  </si>
  <si>
    <t>Embassy Suites by Hilton Boca Raton, 661 NW 53rd Street, Boca Raton, FL, 33498</t>
  </si>
  <si>
    <t>Olin Kennedy</t>
  </si>
  <si>
    <t>K.O.S. Elite Services</t>
  </si>
  <si>
    <t>Embassy Suites by Hilton Boca Raton, 661 NW 53rd Street, Boca Raton, FL, 33499</t>
  </si>
  <si>
    <t>Patricia McKay</t>
  </si>
  <si>
    <t>Fairway Independent Mortgage Corporation</t>
  </si>
  <si>
    <t>954-2240139</t>
  </si>
  <si>
    <t>Embassy Suites by Hilton Boca Raton, 661 NW 53rd Street, Boca Raton, FL, 33500</t>
  </si>
  <si>
    <t>Roxanne Blade</t>
  </si>
  <si>
    <t>Blade Financial Services</t>
  </si>
  <si>
    <t>Embassy Suites by Hilton Boca Raton, 661 NW 53rd Street, Boca Raton, FL, 33501</t>
  </si>
  <si>
    <t>Scott Austin</t>
  </si>
  <si>
    <t>VLP Law Group LLP</t>
  </si>
  <si>
    <t>954-204-3744</t>
  </si>
  <si>
    <t>Embassy Suites by Hilton Boca Raton, 661 NW 53rd Street, Boca Raton, FL, 33502</t>
  </si>
  <si>
    <t>Scott Braun</t>
  </si>
  <si>
    <t>Scott R. Braun</t>
  </si>
  <si>
    <t>Embassy Suites by Hilton Boca Raton, 661 NW 53rd Street, Boca Raton, FL, 33503</t>
  </si>
  <si>
    <t>Sean Pleus</t>
  </si>
  <si>
    <t>Shiner Law Group</t>
  </si>
  <si>
    <t>561-777-7700</t>
  </si>
  <si>
    <t>Embassy Suites by Hilton Boca Raton, 661 NW 53rd Street, Boca Raton, FL, 33504</t>
  </si>
  <si>
    <t>Starr Horton</t>
  </si>
  <si>
    <t>Balistreri Real Estate</t>
  </si>
  <si>
    <t>561-573-4661</t>
  </si>
  <si>
    <t>Embassy Suites by Hilton Boca Raton, 661 NW 53rd Street, Boca Raton, FL, 33505</t>
  </si>
  <si>
    <t>Steven Lindenbaum</t>
  </si>
  <si>
    <t>Steven S. Lindenbaum</t>
  </si>
  <si>
    <t>954-978-5981</t>
  </si>
  <si>
    <t>Embassy Suites by Hilton Boca Raton, 661 NW 53rd Street, Boca Raton, FL, 33506</t>
  </si>
  <si>
    <t>William Blade</t>
  </si>
  <si>
    <t>Blade &amp; Blade</t>
  </si>
  <si>
    <t>BNI Business Warriors</t>
  </si>
  <si>
    <t>Adam Young</t>
  </si>
  <si>
    <t>561-345-7340</t>
  </si>
  <si>
    <t>Andrew Friedman</t>
  </si>
  <si>
    <t>Friedman Estate Law PLLC</t>
  </si>
  <si>
    <t>202-505-1892</t>
  </si>
  <si>
    <t>Anna Carter</t>
  </si>
  <si>
    <t>All County Property Management</t>
  </si>
  <si>
    <t>954-278-3200</t>
  </si>
  <si>
    <t>Burke Bagwell</t>
  </si>
  <si>
    <t>HomeSmiles - Boca Raton</t>
  </si>
  <si>
    <t>Dina Bellows-Levine</t>
  </si>
  <si>
    <t>Bellows Associates PA</t>
  </si>
  <si>
    <t>Evan Sophir</t>
  </si>
  <si>
    <t>Jessica Stannard</t>
  </si>
  <si>
    <t>Commercial Relocation Group</t>
  </si>
  <si>
    <t>Commercial Builder</t>
  </si>
  <si>
    <t>Jillian Duquette</t>
  </si>
  <si>
    <t>JMD Chiropractic Inc.</t>
  </si>
  <si>
    <t>Justin Ross</t>
  </si>
  <si>
    <t>Claim Closers</t>
  </si>
  <si>
    <t>754-254-2605</t>
  </si>
  <si>
    <t>Kasey Robbins - Agent</t>
  </si>
  <si>
    <t>New York Life Insurance Company</t>
  </si>
  <si>
    <t>561-213-2255</t>
  </si>
  <si>
    <t>Kevin Dery</t>
  </si>
  <si>
    <t>Wells Fargo Advisors</t>
  </si>
  <si>
    <t>Kevin Tacher</t>
  </si>
  <si>
    <t>Independence Title</t>
  </si>
  <si>
    <t>954-335-9305</t>
  </si>
  <si>
    <t>Lauren Matta-Burke</t>
  </si>
  <si>
    <t>DeBoest &amp; Cross</t>
  </si>
  <si>
    <t>561-288-9102</t>
  </si>
  <si>
    <t>Megan Rodrigues</t>
  </si>
  <si>
    <t>Together We Travel</t>
  </si>
  <si>
    <t>Paul Richman</t>
  </si>
  <si>
    <t>Choice Mortgage Group</t>
  </si>
  <si>
    <t>(561) 702-0464</t>
  </si>
  <si>
    <t>Phil Snyder</t>
  </si>
  <si>
    <t>Lyons &amp; Snyder</t>
  </si>
  <si>
    <t>954-462-8035</t>
  </si>
  <si>
    <t>Travis Kane</t>
  </si>
  <si>
    <t>Code 3 Pest Management LLC</t>
  </si>
  <si>
    <t>Vanessa Ferrara</t>
  </si>
  <si>
    <t>Ferrara's Air</t>
  </si>
  <si>
    <t>954-914-9000</t>
  </si>
  <si>
    <t>William McGowan</t>
  </si>
  <si>
    <t>Voda of Boca Raton and Delray Beach</t>
  </si>
  <si>
    <t>Yessenia Quirola</t>
  </si>
  <si>
    <t>VidaVital Medical</t>
  </si>
  <si>
    <t>561-823-9992</t>
  </si>
  <si>
    <t>BNI Power Partners</t>
  </si>
  <si>
    <t>Wellington National Golf Club, 400 Binks Forest Dr, Wellington, FL, 33414</t>
  </si>
  <si>
    <t>Adam DeJura</t>
  </si>
  <si>
    <t>ClaimPros</t>
  </si>
  <si>
    <t>561-774-3557</t>
  </si>
  <si>
    <t>Wellington National Golf Club, 400 Binks Forest Dr, Wellington, FL, 33415</t>
  </si>
  <si>
    <t>Ainsley Venner</t>
  </si>
  <si>
    <t>Cruise Planners</t>
  </si>
  <si>
    <t>561-975-3361</t>
  </si>
  <si>
    <t>Wellington National Golf Club, 400 Binks Forest Dr, Wellington, FL, 33416</t>
  </si>
  <si>
    <t>Antonio Medina</t>
  </si>
  <si>
    <t>Puroclean of Wellington</t>
  </si>
  <si>
    <t>Wellington National Golf Club, 400 Binks Forest Dr, Wellington, FL, 33417</t>
  </si>
  <si>
    <t>Chuck Straub</t>
  </si>
  <si>
    <t>Charles D. Straub</t>
  </si>
  <si>
    <t>561-223-2262</t>
  </si>
  <si>
    <t>Wellington National Golf Club, 400 Binks Forest Dr, Wellington, FL, 33418</t>
  </si>
  <si>
    <t>Ed Walsh</t>
  </si>
  <si>
    <t>Floor Covering of Greater Wellington</t>
  </si>
  <si>
    <t>Flooring Retail</t>
  </si>
  <si>
    <t>561-990-9894</t>
  </si>
  <si>
    <t>Wellington National Golf Club, 400 Binks Forest Dr, Wellington, FL, 33419</t>
  </si>
  <si>
    <t>Eileen Woods</t>
  </si>
  <si>
    <t>99 Bookkeeping Solutions</t>
  </si>
  <si>
    <t>561-816-4447</t>
  </si>
  <si>
    <t>Wellington National Golf Club, 400 Binks Forest Dr, Wellington, FL, 33420</t>
  </si>
  <si>
    <t>Elliot Sokoloff</t>
  </si>
  <si>
    <t>Sokoloff &amp; Weinstein</t>
  </si>
  <si>
    <t>Wellington National Golf Club, 400 Binks Forest Dr, Wellington, FL, 33421</t>
  </si>
  <si>
    <t>Farryl Brooke</t>
  </si>
  <si>
    <t>Lower Mortgage</t>
  </si>
  <si>
    <t>Wellington National Golf Club, 400 Binks Forest Dr, Wellington, FL, 33422</t>
  </si>
  <si>
    <t>Fernando Gonzalez</t>
  </si>
  <si>
    <t>K&amp;G Financial Group</t>
  </si>
  <si>
    <t>561-237-5200</t>
  </si>
  <si>
    <t>Wellington National Golf Club, 400 Binks Forest Dr, Wellington, FL, 33423</t>
  </si>
  <si>
    <t>Fernando Osorio</t>
  </si>
  <si>
    <t>Milestone Motors</t>
  </si>
  <si>
    <t>+15617792650</t>
  </si>
  <si>
    <t>Wellington National Golf Club, 400 Binks Forest Dr, Wellington, FL, 33424</t>
  </si>
  <si>
    <t>Joe Roddy</t>
  </si>
  <si>
    <t>Lifetime Financial Growth</t>
  </si>
  <si>
    <t>216-310-9319</t>
  </si>
  <si>
    <t>Wellington National Golf Club, 400 Binks Forest Dr, Wellington, FL, 33425</t>
  </si>
  <si>
    <t>Katie Steiner</t>
  </si>
  <si>
    <t>AC INSURANCE SERVICES</t>
  </si>
  <si>
    <t>561-684-2886</t>
  </si>
  <si>
    <t>Wellington National Golf Club, 400 Binks Forest Dr, Wellington, FL, 33426</t>
  </si>
  <si>
    <t>Keith Santiago</t>
  </si>
  <si>
    <t>Providence Construction Management</t>
  </si>
  <si>
    <t>Wellington National Golf Club, 400 Binks Forest Dr, Wellington, FL, 33427</t>
  </si>
  <si>
    <t>Kelley Herrmann</t>
  </si>
  <si>
    <t>Landmark Title</t>
  </si>
  <si>
    <t>561-632-3983</t>
  </si>
  <si>
    <t>Wellington National Golf Club, 400 Binks Forest Dr, Wellington, FL, 33428</t>
  </si>
  <si>
    <t>Mark Rosenthal</t>
  </si>
  <si>
    <t>The UPS Store</t>
  </si>
  <si>
    <t>Printer</t>
  </si>
  <si>
    <t>Wellington National Golf Club, 400 Binks Forest Dr, Wellington, FL, 33429</t>
  </si>
  <si>
    <t>Matthew Haas</t>
  </si>
  <si>
    <t>All Temp Solutions Air Conditioning</t>
  </si>
  <si>
    <t>Wellington National Golf Club, 400 Binks Forest Dr, Wellington, FL, 33430</t>
  </si>
  <si>
    <t>Max Cohen</t>
  </si>
  <si>
    <t>MaxHealth Chiropractic</t>
  </si>
  <si>
    <t>Wellington National Golf Club, 400 Binks Forest Dr, Wellington, FL, 33431</t>
  </si>
  <si>
    <t>Maya Simhon-Chocron</t>
  </si>
  <si>
    <t>Exclusive Florida Real Estate LLC</t>
  </si>
  <si>
    <t>954-695-4047</t>
  </si>
  <si>
    <t>Wellington National Golf Club, 400 Binks Forest Dr, Wellington, FL, 33432</t>
  </si>
  <si>
    <t>Meagan Marchant</t>
  </si>
  <si>
    <t>Florida's Favorite Home Inspections</t>
  </si>
  <si>
    <t>Wellington National Golf Club, 400 Binks Forest Dr, Wellington, FL, 33433</t>
  </si>
  <si>
    <t>NORMA RODRIGUEZ</t>
  </si>
  <si>
    <t>A1 PRO ROOFING LLC</t>
  </si>
  <si>
    <t>Wellington National Golf Club, 400 Binks Forest Dr, Wellington, FL, 33434</t>
  </si>
  <si>
    <t>Tatiana Compann</t>
  </si>
  <si>
    <t>Looks by Tatiana</t>
  </si>
  <si>
    <t>Cosmetics/Skin Care</t>
  </si>
  <si>
    <t>678-524-0586</t>
  </si>
  <si>
    <t>Wellington National Golf Club, 400 Binks Forest Dr, Wellington, FL, 33435</t>
  </si>
  <si>
    <t>Tom Spotts</t>
  </si>
  <si>
    <t>Pioneer Environmental services</t>
  </si>
  <si>
    <t>BNI Synergy</t>
  </si>
  <si>
    <t>Camille Foster</t>
  </si>
  <si>
    <t>D'Addario Law</t>
  </si>
  <si>
    <t>(561)362-2366</t>
  </si>
  <si>
    <t>Chris Euart</t>
  </si>
  <si>
    <t>Trusted Insurance Brokers LLC</t>
  </si>
  <si>
    <t>Duane Meeks</t>
  </si>
  <si>
    <t>Potentia Academy</t>
  </si>
  <si>
    <t>Isabela Infante</t>
  </si>
  <si>
    <t>Jacqueline Brooks</t>
  </si>
  <si>
    <t>Paul Davis Restoration</t>
  </si>
  <si>
    <t>Jennifer Goodman</t>
  </si>
  <si>
    <t>The Title Boutique</t>
  </si>
  <si>
    <t>561-493-8000</t>
  </si>
  <si>
    <t>Josh Harris</t>
  </si>
  <si>
    <t>MJHS LLC</t>
  </si>
  <si>
    <t>Kevin Henker</t>
  </si>
  <si>
    <t>561-346-5650</t>
  </si>
  <si>
    <t>Marc Linsky</t>
  </si>
  <si>
    <t>L3 Family Wealth Partners</t>
  </si>
  <si>
    <t>Mariana Amilcar</t>
  </si>
  <si>
    <t>Michael Sheriff</t>
  </si>
  <si>
    <t>RE/MAX Direct</t>
  </si>
  <si>
    <t>561-662-8747</t>
  </si>
  <si>
    <t>Norman Froscher</t>
  </si>
  <si>
    <t>Espresso Mail</t>
  </si>
  <si>
    <t>561-318-6004</t>
  </si>
  <si>
    <t>Phil Wenzofsky</t>
  </si>
  <si>
    <t>Coral Sun Enterprises</t>
  </si>
  <si>
    <t>Robin Ramos</t>
  </si>
  <si>
    <t>Tropical Financial Credit Union</t>
  </si>
  <si>
    <t>+15613358768</t>
  </si>
  <si>
    <t>Ronda Moore</t>
  </si>
  <si>
    <t>Turtle Pool Care</t>
  </si>
  <si>
    <t>Spas &amp; Saunas</t>
  </si>
  <si>
    <t>561-231-2221</t>
  </si>
  <si>
    <t>Scott Snyder</t>
  </si>
  <si>
    <t>Snyder Chiropractic Center</t>
  </si>
  <si>
    <t>Shannon Sagan</t>
  </si>
  <si>
    <t>The Dash Cam Lawyer</t>
  </si>
  <si>
    <t>561-561-3274</t>
  </si>
  <si>
    <t>Shayla Waldon</t>
  </si>
  <si>
    <t>The Waldon Law Firm</t>
  </si>
  <si>
    <t>Employment/Labor Law</t>
  </si>
  <si>
    <t>Stacy Blum</t>
  </si>
  <si>
    <t>The Mortgage Solution Group</t>
  </si>
  <si>
    <t>BNI Partners for Prosperity</t>
  </si>
  <si>
    <t>Serena Pastificio (IPIC at Mizner Park), 301 Plaza Real, Boca Raton, FL, 33432</t>
  </si>
  <si>
    <t>Adam Chotiner</t>
  </si>
  <si>
    <t>Wasserman &amp; Hermann</t>
  </si>
  <si>
    <t>561-477-7800</t>
  </si>
  <si>
    <t>Serena Pastificio (IPIC at Mizner Park), 301 Plaza Real, Boca Raton, FL, 33433</t>
  </si>
  <si>
    <t>Adam Ziffer</t>
  </si>
  <si>
    <t>Adam C Ziffer CPA</t>
  </si>
  <si>
    <t>561-953-1139</t>
  </si>
  <si>
    <t>Serena Pastificio (IPIC at Mizner Park), 301 Plaza Real, Boca Raton, FL, 33434</t>
  </si>
  <si>
    <t>Angelina Namia</t>
  </si>
  <si>
    <t>Law Offices of Angelina Namia</t>
  </si>
  <si>
    <t>Serena Pastificio (IPIC at Mizner Park), 301 Plaza Real, Boca Raton, FL, 33435</t>
  </si>
  <si>
    <t>Anthony Recine</t>
  </si>
  <si>
    <t>MY Plumber</t>
  </si>
  <si>
    <t>Serena Pastificio (IPIC at Mizner Park), 301 Plaza Real, Boca Raton, FL, 33436</t>
  </si>
  <si>
    <t>Brett Steinberg</t>
  </si>
  <si>
    <t>Steinberg Law</t>
  </si>
  <si>
    <t>Serena Pastificio (IPIC at Mizner Park), 301 Plaza Real, Boca Raton, FL, 33437</t>
  </si>
  <si>
    <t>Brian Balaguera</t>
  </si>
  <si>
    <t>The Balaguera Law Firm</t>
  </si>
  <si>
    <t>Serena Pastificio (IPIC at Mizner Park), 301 Plaza Real, Boca Raton, FL, 33438</t>
  </si>
  <si>
    <t>Christopher Sajdera</t>
  </si>
  <si>
    <t>Sajdera</t>
  </si>
  <si>
    <t>561-910-3082</t>
  </si>
  <si>
    <t>Serena Pastificio (IPIC at Mizner Park), 301 Plaza Real, Boca Raton, FL, 33439</t>
  </si>
  <si>
    <t>Clifford Bernstein</t>
  </si>
  <si>
    <t>Fairway Mortgage</t>
  </si>
  <si>
    <t>Serena Pastificio (IPIC at Mizner Park), 301 Plaza Real, Boca Raton, FL, 33440</t>
  </si>
  <si>
    <t>Craig Peck</t>
  </si>
  <si>
    <t>Acrobat Branding Group</t>
  </si>
  <si>
    <t>Relationship Marketing</t>
  </si>
  <si>
    <t>Serena Pastificio (IPIC at Mizner Park), 301 Plaza Real, Boca Raton, FL, 33441</t>
  </si>
  <si>
    <t>Daniel Cohen</t>
  </si>
  <si>
    <t>Marketing Plan Pros</t>
  </si>
  <si>
    <t>Serena Pastificio (IPIC at Mizner Park), 301 Plaza Real, Boca Raton, FL, 33442</t>
  </si>
  <si>
    <t>Deon Jack</t>
  </si>
  <si>
    <t>All Dry Services Of Parkland</t>
  </si>
  <si>
    <t>Serena Pastificio (IPIC at Mizner Park), 301 Plaza Real, Boca Raton, FL, 33443</t>
  </si>
  <si>
    <t>Frank Lysee</t>
  </si>
  <si>
    <t>Benavest</t>
  </si>
  <si>
    <t>Serena Pastificio (IPIC at Mizner Park), 301 Plaza Real, Boca Raton, FL, 33444</t>
  </si>
  <si>
    <t>Gina Harwood</t>
  </si>
  <si>
    <t>Keyes Real Estate</t>
  </si>
  <si>
    <t>Serena Pastificio (IPIC at Mizner Park), 301 Plaza Real, Boca Raton, FL, 33445</t>
  </si>
  <si>
    <t>Haresh Dookeran</t>
  </si>
  <si>
    <t>Inspection Xpress</t>
  </si>
  <si>
    <t>Serena Pastificio (IPIC at Mizner Park), 301 Plaza Real, Boca Raton, FL, 33446</t>
  </si>
  <si>
    <t>James Tuohey</t>
  </si>
  <si>
    <t>2Easy Electric LLC</t>
  </si>
  <si>
    <t>Serena Pastificio (IPIC at Mizner Park), 301 Plaza Real, Boca Raton, FL, 33447</t>
  </si>
  <si>
    <t>John Tuoto</t>
  </si>
  <si>
    <t>Jabella Painting And Carpentry</t>
  </si>
  <si>
    <t>Serena Pastificio (IPIC at Mizner Park), 301 Plaza Real, Boca Raton, FL, 33448</t>
  </si>
  <si>
    <t>Joshua Mittenthal</t>
  </si>
  <si>
    <t>Mittenthal Weinstein LLP</t>
  </si>
  <si>
    <t>561-862-0955</t>
  </si>
  <si>
    <t>Serena Pastificio (IPIC at Mizner Park), 301 Plaza Real, Boca Raton, FL, 33449</t>
  </si>
  <si>
    <t>Koh Knox</t>
  </si>
  <si>
    <t>Knox Services</t>
  </si>
  <si>
    <t>Serena Pastificio (IPIC at Mizner Park), 301 Plaza Real, Boca Raton, FL, 33450</t>
  </si>
  <si>
    <t>Manny Shoshan</t>
  </si>
  <si>
    <t>Skyinc</t>
  </si>
  <si>
    <t>Serena Pastificio (IPIC at Mizner Park), 301 Plaza Real, Boca Raton, FL, 33451</t>
  </si>
  <si>
    <t>Mike Maynes</t>
  </si>
  <si>
    <t>Tortuga Financial</t>
  </si>
  <si>
    <t>561-955-6098</t>
  </si>
  <si>
    <t>Serena Pastificio (IPIC at Mizner Park), 301 Plaza Real, Boca Raton, FL, 33452</t>
  </si>
  <si>
    <t>Moses Carvalho</t>
  </si>
  <si>
    <t>PALM Partners</t>
  </si>
  <si>
    <t>954-348-7295</t>
  </si>
  <si>
    <t>Serena Pastificio (IPIC at Mizner Park), 301 Plaza Real, Boca Raton, FL, 33453</t>
  </si>
  <si>
    <t>Russ Deboo</t>
  </si>
  <si>
    <t>Great Florida Insurance Agent</t>
  </si>
  <si>
    <t>(561) 477-9339</t>
  </si>
  <si>
    <t>Serena Pastificio (IPIC at Mizner Park), 301 Plaza Real, Boca Raton, FL, 33454</t>
  </si>
  <si>
    <t>Ryan Sher</t>
  </si>
  <si>
    <t>CSN Telecommunications</t>
  </si>
  <si>
    <t>Serena Pastificio (IPIC at Mizner Park), 301 Plaza Real, Boca Raton, FL, 33455</t>
  </si>
  <si>
    <t>Scott Karp</t>
  </si>
  <si>
    <t>SE Forensic Accountants</t>
  </si>
  <si>
    <t>727-492-8717</t>
  </si>
  <si>
    <t>Serena Pastificio (IPIC at Mizner Park), 301 Plaza Real, Boca Raton, FL, 33456</t>
  </si>
  <si>
    <t>Solomon Strul</t>
  </si>
  <si>
    <t>Caner Impact Windows</t>
  </si>
  <si>
    <t>BNI All Stars</t>
  </si>
  <si>
    <t>Serena Pastificio (IPC at Mizner Park), 301 Plaza Real, Boca Raton, FL, 33432</t>
  </si>
  <si>
    <t>Alejandra Iragorri</t>
  </si>
  <si>
    <t>Dry Up Restoration</t>
  </si>
  <si>
    <t>954-804-2053</t>
  </si>
  <si>
    <t>Serena Pastificio (IPC at Mizner Park), 301 Plaza Real, Boca Raton, FL, 33433</t>
  </si>
  <si>
    <t>Alys Bernstein</t>
  </si>
  <si>
    <t>JK Closing Attonreys</t>
  </si>
  <si>
    <t>954-779-5000</t>
  </si>
  <si>
    <t>Serena Pastificio (IPC at Mizner Park), 301 Plaza Real, Boca Raton, FL, 33434</t>
  </si>
  <si>
    <t>Rosenwasser &amp; Goldbaum</t>
  </si>
  <si>
    <t>+1 (859) 749-7946</t>
  </si>
  <si>
    <t>Serena Pastificio (IPC at Mizner Park), 301 Plaza Real, Boca Raton, FL, 33435</t>
  </si>
  <si>
    <t>Angelo Beacon-Paglia</t>
  </si>
  <si>
    <t>KW Commercial</t>
  </si>
  <si>
    <t>Serena Pastificio (IPC at Mizner Park), 301 Plaza Real, Boca Raton, FL, 33436</t>
  </si>
  <si>
    <t>Aubreigh Hutchison</t>
  </si>
  <si>
    <t>eXp Realty LLC</t>
  </si>
  <si>
    <t>Serena Pastificio (IPC at Mizner Park), 301 Plaza Real, Boca Raton, FL, 33437</t>
  </si>
  <si>
    <t>Ben Soussan</t>
  </si>
  <si>
    <t>TCS Tech</t>
  </si>
  <si>
    <t>Serena Pastificio (IPC at Mizner Park), 301 Plaza Real, Boca Raton, FL, 33438</t>
  </si>
  <si>
    <t>Cynthia Pyfrom</t>
  </si>
  <si>
    <t>Cynthia M. Pyfrom</t>
  </si>
  <si>
    <t>561-203-5940</t>
  </si>
  <si>
    <t>Serena Pastificio (IPC at Mizner Park), 301 Plaza Real, Boca Raton, FL, 33439</t>
  </si>
  <si>
    <t>David Lasman</t>
  </si>
  <si>
    <t>Senior Healthcare Team Insurance Agency Inc</t>
  </si>
  <si>
    <t>954-866-1013</t>
  </si>
  <si>
    <t>Serena Pastificio (IPC at Mizner Park), 301 Plaza Real, Boca Raton, FL, 33440</t>
  </si>
  <si>
    <t>Debbie Venezia</t>
  </si>
  <si>
    <t>Shari Cohen</t>
  </si>
  <si>
    <t>Serena Pastificio (IPC at Mizner Park), 301 Plaza Real, Boca Raton, FL, 33441</t>
  </si>
  <si>
    <t>Dwayne Davis</t>
  </si>
  <si>
    <t>Painter Bros of Boca Raton</t>
  </si>
  <si>
    <t>929-301-8130</t>
  </si>
  <si>
    <t>Serena Pastificio (IPC at Mizner Park), 301 Plaza Real, Boca Raton, FL, 33442</t>
  </si>
  <si>
    <t>Eric Friedland</t>
  </si>
  <si>
    <t>Distinctive Roofing</t>
  </si>
  <si>
    <t>Serena Pastificio (IPC at Mizner Park), 301 Plaza Real, Boca Raton, FL, 33443</t>
  </si>
  <si>
    <t>Eric Morgan</t>
  </si>
  <si>
    <t>Revolution Mortgage</t>
  </si>
  <si>
    <t>Serena Pastificio (IPC at Mizner Park), 301 Plaza Real, Boca Raton, FL, 33444</t>
  </si>
  <si>
    <t>Ethan Drillich</t>
  </si>
  <si>
    <t>Property Damage Consultants</t>
  </si>
  <si>
    <t>+15614457328</t>
  </si>
  <si>
    <t>Serena Pastificio (IPC at Mizner Park), 301 Plaza Real, Boca Raton, FL, 33445</t>
  </si>
  <si>
    <t>Gareth Roberts</t>
  </si>
  <si>
    <t>Vensure HR</t>
  </si>
  <si>
    <t>Organizations &amp; Other (Other)</t>
  </si>
  <si>
    <t>Serena Pastificio (IPC at Mizner Park), 301 Plaza Real, Boca Raton, FL, 33446</t>
  </si>
  <si>
    <t>Giselle Camilo</t>
  </si>
  <si>
    <t>Giselle Camilo Insurance</t>
  </si>
  <si>
    <t>561-203-6499</t>
  </si>
  <si>
    <t>Serena Pastificio (IPC at Mizner Park), 301 Plaza Real, Boca Raton, FL, 33447</t>
  </si>
  <si>
    <t>Jacquelyn Hill</t>
  </si>
  <si>
    <t>J. Hill Law</t>
  </si>
  <si>
    <t>561-406-9110</t>
  </si>
  <si>
    <t>Serena Pastificio (IPC at Mizner Park), 301 Plaza Real, Boca Raton, FL, 33448</t>
  </si>
  <si>
    <t>Jeffrey McClain</t>
  </si>
  <si>
    <t>McClain Law Group</t>
  </si>
  <si>
    <t>561-717-4035</t>
  </si>
  <si>
    <t>Serena Pastificio (IPC at Mizner Park), 301 Plaza Real, Boca Raton, FL, 33449</t>
  </si>
  <si>
    <t>Jenna Ornstein</t>
  </si>
  <si>
    <t>Sports Chiropractic and Natural Health Solutions</t>
  </si>
  <si>
    <t>(561) 313-9117</t>
  </si>
  <si>
    <t>Serena Pastificio (IPC at Mizner Park), 301 Plaza Real, Boca Raton, FL, 33450</t>
  </si>
  <si>
    <t>Jonathan Velez</t>
  </si>
  <si>
    <t>Cornerstone Home Inpsections</t>
  </si>
  <si>
    <t>Serena Pastificio (IPC at Mizner Park), 301 Plaza Real, Boca Raton, FL, 33451</t>
  </si>
  <si>
    <t>Jose Mirabal</t>
  </si>
  <si>
    <t>Bank OZK</t>
  </si>
  <si>
    <t>Serena Pastificio (IPC at Mizner Park), 301 Plaza Real, Boca Raton, FL, 33452</t>
  </si>
  <si>
    <t>Joseph Jarrin</t>
  </si>
  <si>
    <t>SABA INSURANCE GROUP</t>
  </si>
  <si>
    <t>305-988-3087</t>
  </si>
  <si>
    <t>Serena Pastificio (IPC at Mizner Park), 301 Plaza Real, Boca Raton, FL, 33453</t>
  </si>
  <si>
    <t>Leo Coronado</t>
  </si>
  <si>
    <t>L’Chef LLC</t>
  </si>
  <si>
    <t>Food Service</t>
  </si>
  <si>
    <t>Serena Pastificio (IPC at Mizner Park), 301 Plaza Real, Boca Raton, FL, 33454</t>
  </si>
  <si>
    <t>Lucas Almeida</t>
  </si>
  <si>
    <t>Quantum Floors Inc.</t>
  </si>
  <si>
    <t>954-461-7897</t>
  </si>
  <si>
    <t>Serena Pastificio (IPC at Mizner Park), 301 Plaza Real, Boca Raton, FL, 33455</t>
  </si>
  <si>
    <t>Matthew Hinkle</t>
  </si>
  <si>
    <t>Rhine &amp; Root CPAs</t>
  </si>
  <si>
    <t>Serena Pastificio (IPC at Mizner Park), 301 Plaza Real, Boca Raton, FL, 33456</t>
  </si>
  <si>
    <t>Peter Triolo</t>
  </si>
  <si>
    <t>The Bridge Group</t>
  </si>
  <si>
    <t>Serena Pastificio (IPC at Mizner Park), 301 Plaza Real, Boca Raton, FL, 33457</t>
  </si>
  <si>
    <t>Rafael Angel</t>
  </si>
  <si>
    <t>Devine Designs Kitchens and more</t>
  </si>
  <si>
    <t>Kitchen Construction</t>
  </si>
  <si>
    <t>Serena Pastificio (IPC at Mizner Park), 301 Plaza Real, Boca Raton, FL, 33458</t>
  </si>
  <si>
    <t>Rejane Beato</t>
  </si>
  <si>
    <t>Allstate Financial Services</t>
  </si>
  <si>
    <t>Serena Pastificio (IPC at Mizner Park), 301 Plaza Real, Boca Raton, FL, 33459</t>
  </si>
  <si>
    <t>Ronald Liddell</t>
  </si>
  <si>
    <t>Integrity Pool Service</t>
  </si>
  <si>
    <t>Serena Pastificio (IPC at Mizner Park), 301 Plaza Real, Boca Raton, FL, 33460</t>
  </si>
  <si>
    <t>Shane M Brummond</t>
  </si>
  <si>
    <t>Recruiter</t>
  </si>
  <si>
    <t>Serena Pastificio (IPC at Mizner Park), 301 Plaza Real, Boca Raton, FL, 33461</t>
  </si>
  <si>
    <t>Sheila Hernandez</t>
  </si>
  <si>
    <t>Serena Pastificio (IPC at Mizner Park), 301 Plaza Real, Boca Raton, FL, 33462</t>
  </si>
  <si>
    <t>Zelideth Mujica</t>
  </si>
  <si>
    <t>Southgate Design Inc.</t>
  </si>
  <si>
    <t>561-434-3433</t>
  </si>
  <si>
    <t>BNI World Class</t>
  </si>
  <si>
    <t>Deer Creek Country Club, 2801 Deer Creek Country Club Blvd., Deerfield Beach, FL, 33442</t>
  </si>
  <si>
    <t>Andrew Sassen</t>
  </si>
  <si>
    <t>First Trust Mortgage Corp.</t>
  </si>
  <si>
    <t>Deer Creek Country Club, 2801 Deer Creek Country Club Blvd., Deerfield Beach, FL, 33443</t>
  </si>
  <si>
    <t>B.J. Posadas</t>
  </si>
  <si>
    <t>Title Now</t>
  </si>
  <si>
    <t>Deer Creek Country Club, 2801 Deer Creek Country Club Blvd., Deerfield Beach, FL, 33444</t>
  </si>
  <si>
    <t>Bettina Trabulsi</t>
  </si>
  <si>
    <t>Elite Boutique Marketing</t>
  </si>
  <si>
    <t>Deer Creek Country Club, 2801 Deer Creek Country Club Blvd., Deerfield Beach, FL, 33445</t>
  </si>
  <si>
    <t>Carlos Sanchez</t>
  </si>
  <si>
    <t>CTC Roofing</t>
  </si>
  <si>
    <t>954-433-2737</t>
  </si>
  <si>
    <t>Deer Creek Country Club, 2801 Deer Creek Country Club Blvd., Deerfield Beach, FL, 33446</t>
  </si>
  <si>
    <t>CARSON HANCOCK</t>
  </si>
  <si>
    <t>Hancock Gaeta</t>
  </si>
  <si>
    <t>Lawyer</t>
  </si>
  <si>
    <t>Deer Creek Country Club, 2801 Deer Creek Country Club Blvd., Deerfield Beach, FL, 33447</t>
  </si>
  <si>
    <t>Donna Ban</t>
  </si>
  <si>
    <t>DRYmedic Restoration Services</t>
  </si>
  <si>
    <t>Deer Creek Country Club, 2801 Deer Creek Country Club Blvd., Deerfield Beach, FL, 33448</t>
  </si>
  <si>
    <t>Hamzah Abu iqab</t>
  </si>
  <si>
    <t>Ez fix plumbing inc</t>
  </si>
  <si>
    <t>Deer Creek Country Club, 2801 Deer Creek Country Club Blvd., Deerfield Beach, FL, 33449</t>
  </si>
  <si>
    <t>Jennete Alexander Sherman</t>
  </si>
  <si>
    <t>Deer Creek Country Club, 2801 Deer Creek Country Club Blvd., Deerfield Beach, FL, 33450</t>
  </si>
  <si>
    <t>Jessie Brundage</t>
  </si>
  <si>
    <t>Oak and Ledger LLC</t>
  </si>
  <si>
    <t>Deer Creek Country Club, 2801 Deer Creek Country Club Blvd., Deerfield Beach, FL, 33451</t>
  </si>
  <si>
    <t>Joseph Miranda</t>
  </si>
  <si>
    <t>Miranda Executive Realty</t>
  </si>
  <si>
    <t>954-999-7536</t>
  </si>
  <si>
    <t>Deer Creek Country Club, 2801 Deer Creek Country Club Blvd., Deerfield Beach, FL, 33452</t>
  </si>
  <si>
    <t>Katia Marques</t>
  </si>
  <si>
    <t>Check Cleaning LLC</t>
  </si>
  <si>
    <t>Deer Creek Country Club, 2801 Deer Creek Country Club Blvd., Deerfield Beach, FL, 33453</t>
  </si>
  <si>
    <t>Kevin S McGill</t>
  </si>
  <si>
    <t>GMV Law Group</t>
  </si>
  <si>
    <t>Deer Creek Country Club, 2801 Deer Creek Country Club Blvd., Deerfield Beach, FL, 33454</t>
  </si>
  <si>
    <t>Manuel Pena</t>
  </si>
  <si>
    <t>Margate Electrical</t>
  </si>
  <si>
    <t>Deer Creek Country Club, 2801 Deer Creek Country Club Blvd., Deerfield Beach, FL, 33455</t>
  </si>
  <si>
    <t>Matthew Clary</t>
  </si>
  <si>
    <t>NYLife Securities</t>
  </si>
  <si>
    <t>Deer Creek Country Club, 2801 Deer Creek Country Club Blvd., Deerfield Beach, FL, 33456</t>
  </si>
  <si>
    <t>Mike Myers</t>
  </si>
  <si>
    <t>M&amp;M LAWN CARE LLC</t>
  </si>
  <si>
    <t>Lawn Care</t>
  </si>
  <si>
    <t>954-605-2474</t>
  </si>
  <si>
    <t>Deer Creek Country Club, 2801 Deer Creek Country Club Blvd., Deerfield Beach, FL, 33457</t>
  </si>
  <si>
    <t>Omar Gonzalez</t>
  </si>
  <si>
    <t>Heal Me Massage</t>
  </si>
  <si>
    <t>Massage Therapist</t>
  </si>
  <si>
    <t>954-913-5121</t>
  </si>
  <si>
    <t>Deer Creek Country Club, 2801 Deer Creek Country Club Blvd., Deerfield Beach, FL, 33458</t>
  </si>
  <si>
    <t>Robert Menendez</t>
  </si>
  <si>
    <t>REM Home Inspections</t>
  </si>
  <si>
    <t>954-802-4721</t>
  </si>
  <si>
    <t>Deer Creek Country Club, 2801 Deer Creek Country Club Blvd., Deerfield Beach, FL, 33459</t>
  </si>
  <si>
    <t>Ross Brenner</t>
  </si>
  <si>
    <t>Arrow WealthLLC</t>
  </si>
  <si>
    <t>561-504-2910</t>
  </si>
  <si>
    <t>Deer Creek Country Club, 2801 Deer Creek Country Club Blvd., Deerfield Beach, FL, 33460</t>
  </si>
  <si>
    <t>WILBERT DORESTIN</t>
  </si>
  <si>
    <t>W.AIR CONDITIONING &amp; MAINTENANCE REPAIR INC</t>
  </si>
  <si>
    <t>954-214-8557</t>
  </si>
  <si>
    <t>Deer Creek Country Club, 2801 Deer Creek Country Club Blvd., Deerfield Beach, FL, 33461</t>
  </si>
  <si>
    <t>Yoni Bick</t>
  </si>
  <si>
    <t>Bick Insurance Consultants</t>
  </si>
  <si>
    <t>BNI Prosperity</t>
  </si>
  <si>
    <t>Malbec Grill, 7351 FL-7 North, Parkland, FL, 33073</t>
  </si>
  <si>
    <t>Adam Kirschner</t>
  </si>
  <si>
    <t>WOXOM HEALTH</t>
  </si>
  <si>
    <t>+1 (954) 6364015</t>
  </si>
  <si>
    <t>Malbec Grill, 7351 FL-7 North, Parkland, FL, 33074</t>
  </si>
  <si>
    <t>Alexander Sherman</t>
  </si>
  <si>
    <t>Malbec Grill, 7351 FL-7 North, Parkland, FL, 33075</t>
  </si>
  <si>
    <t>Brayan Quintana</t>
  </si>
  <si>
    <t>Keyes Coverage</t>
  </si>
  <si>
    <t>954-724-7000</t>
  </si>
  <si>
    <t>Malbec Grill, 7351 FL-7 North, Parkland, FL, 33076</t>
  </si>
  <si>
    <t>Caesar Figueroa</t>
  </si>
  <si>
    <t>Jet Direct Mortgage</t>
  </si>
  <si>
    <t>631-236-3370</t>
  </si>
  <si>
    <t>Malbec Grill, 7351 FL-7 North, Parkland, FL, 33077</t>
  </si>
  <si>
    <t>Cameron Corley</t>
  </si>
  <si>
    <t>Top Notch Epoxy Coatings</t>
  </si>
  <si>
    <t>Malbec Grill, 7351 FL-7 North, Parkland, FL, 33078</t>
  </si>
  <si>
    <t>Eleazar Ayala</t>
  </si>
  <si>
    <t>Merrill Lynch</t>
  </si>
  <si>
    <t>Malbec Grill, 7351 FL-7 North, Parkland, FL, 33079</t>
  </si>
  <si>
    <t>Gabriel Correa</t>
  </si>
  <si>
    <t>Malbec Grill, 7351 FL-7 North, Parkland, FL, 33080</t>
  </si>
  <si>
    <t>Joseph Bridges</t>
  </si>
  <si>
    <t>First Call Response</t>
  </si>
  <si>
    <t>Malbec Grill, 7351 FL-7 North, Parkland, FL, 33081</t>
  </si>
  <si>
    <t>Kelly C Hughes</t>
  </si>
  <si>
    <t>Clear To Close Title Services Inc</t>
  </si>
  <si>
    <t>954-971-1755</t>
  </si>
  <si>
    <t>Malbec Grill, 7351 FL-7 North, Parkland, FL, 33082</t>
  </si>
  <si>
    <t>Linda Varisco</t>
  </si>
  <si>
    <t>Steve the Plumber</t>
  </si>
  <si>
    <t>+1 (954) 328-7595</t>
  </si>
  <si>
    <t>Malbec Grill, 7351 FL-7 North, Parkland, FL, 33083</t>
  </si>
  <si>
    <t>Michael Jones</t>
  </si>
  <si>
    <t>Convenient Detail</t>
  </si>
  <si>
    <t>Malbec Grill, 7351 FL-7 North, Parkland, FL, 33084</t>
  </si>
  <si>
    <t>Sandy Liebowitz</t>
  </si>
  <si>
    <t>Smart Savings Magazine</t>
  </si>
  <si>
    <t>+1 (954) 609-1990</t>
  </si>
  <si>
    <t>Malbec Grill, 7351 FL-7 North, Parkland, FL, 33085</t>
  </si>
  <si>
    <t>Sasha Boyd</t>
  </si>
  <si>
    <t>Closet Factory</t>
  </si>
  <si>
    <t>Cabinet Maker</t>
  </si>
  <si>
    <t>+1 (954) 449-3687</t>
  </si>
  <si>
    <t>Malbec Grill, 7351 FL-7 North, Parkland, FL, 33086</t>
  </si>
  <si>
    <t>Scott Burke</t>
  </si>
  <si>
    <t>DamnGood Inspection</t>
  </si>
  <si>
    <t>Malbec Grill, 7351 FL-7 North, Parkland, FL, 33087</t>
  </si>
  <si>
    <t>Sylvia Robinson</t>
  </si>
  <si>
    <t>Baker</t>
  </si>
  <si>
    <t>Malbec Grill, 7351 FL-7 North, Parkland, FL, 33088</t>
  </si>
  <si>
    <t>Tom Pratt</t>
  </si>
  <si>
    <t>Pratt Financial Group LLC</t>
  </si>
  <si>
    <t>305-663-1040</t>
  </si>
  <si>
    <t>Malbec Grill, 7351 FL-7 North, Parkland, FL, 33089</t>
  </si>
  <si>
    <t>Valerie Praznik</t>
  </si>
  <si>
    <t>Malbec Grill, 7351 FL-7 North, Parkland, FL, 33090</t>
  </si>
  <si>
    <t>Wanda Cuevas</t>
  </si>
  <si>
    <t>Rest Assured Roofing Corp.</t>
  </si>
  <si>
    <t>954-9711755</t>
  </si>
  <si>
    <t>Malbec Grill, 7351 FL-7 North, Parkland, FL, 33091</t>
  </si>
  <si>
    <t>Will Inalien</t>
  </si>
  <si>
    <t>World Air HVAC</t>
  </si>
  <si>
    <t>+1 (561) 344-6802</t>
  </si>
  <si>
    <t>Malbec Grill, 7351 FL-7 North, Parkland, FL, 33092</t>
  </si>
  <si>
    <t>Wilnar Julmiste</t>
  </si>
  <si>
    <t>Julmiste Legal</t>
  </si>
  <si>
    <t>Malbec Grill, 7351 FL-7 North, Parkland, FL, 33093</t>
  </si>
  <si>
    <t>Yoelangel Sanchez</t>
  </si>
  <si>
    <t>Natalie Bausch</t>
  </si>
  <si>
    <t>Bausch Law Group</t>
  </si>
  <si>
    <t>BNI Supernova</t>
  </si>
  <si>
    <t>Armando Perez</t>
  </si>
  <si>
    <t>Damean Callum</t>
  </si>
  <si>
    <t>Ghost crown Electric</t>
  </si>
  <si>
    <t>Electrician - Commercial</t>
  </si>
  <si>
    <t>Diego Rey</t>
  </si>
  <si>
    <t>Rey health LLC</t>
  </si>
  <si>
    <t>Domenico Opiela</t>
  </si>
  <si>
    <t>Northpoint Asset Management</t>
  </si>
  <si>
    <t>954 773 4553</t>
  </si>
  <si>
    <t>Hugo Quintero</t>
  </si>
  <si>
    <t>Blue Ink Title Group LLC</t>
  </si>
  <si>
    <t>Joey Doganieri</t>
  </si>
  <si>
    <t>Aspire Financial Partners</t>
  </si>
  <si>
    <t>954-609-1802</t>
  </si>
  <si>
    <t>Juan Lamonaca</t>
  </si>
  <si>
    <t>Revo Roofing</t>
  </si>
  <si>
    <t>Justin Hoai Le</t>
  </si>
  <si>
    <t>Bluegrey Mortgage</t>
  </si>
  <si>
    <t>Kelly Fung</t>
  </si>
  <si>
    <t>RE/MAX</t>
  </si>
  <si>
    <t>Nigel Findley</t>
  </si>
  <si>
    <t>Ask For Cool Air Conditioning Inc</t>
  </si>
  <si>
    <t>Rebecca Davis</t>
  </si>
  <si>
    <t>Dec my Room</t>
  </si>
  <si>
    <t>Ricardo Scott</t>
  </si>
  <si>
    <t>Scotty's Insurance Services Inc</t>
  </si>
  <si>
    <t>Ryan colon</t>
  </si>
  <si>
    <t>Paradise Pools &amp; Pressure Cleaning</t>
  </si>
  <si>
    <t>Swimming</t>
  </si>
  <si>
    <t>Scott Leaser</t>
  </si>
  <si>
    <t>Leaser Law Firm - Injury Attorney</t>
  </si>
  <si>
    <t>(954) 233-3515</t>
  </si>
  <si>
    <t>Tesonia Richardson</t>
  </si>
  <si>
    <t>The Fortress Pioneers a branch of Primerica</t>
  </si>
  <si>
    <t>Asset Finance</t>
  </si>
  <si>
    <t>Trevor Menear</t>
  </si>
  <si>
    <t>The Ryan Collins Agency</t>
  </si>
  <si>
    <t>BNI Fortune Builders</t>
  </si>
  <si>
    <t>Galuppi’s Restaurant, 1103 North Federal Highway, Pompano Beach, FL, 33060</t>
  </si>
  <si>
    <t>Aram Sargsyan</t>
  </si>
  <si>
    <t>Nations Trust Mortgage</t>
  </si>
  <si>
    <t>Galuppi’s Restaurant, 1103 North Federal Highway, Pompano Beach, FL, 33061</t>
  </si>
  <si>
    <t>Brian Bell</t>
  </si>
  <si>
    <t>Bell &amp; Bell P.A</t>
  </si>
  <si>
    <t>954-783-2215</t>
  </si>
  <si>
    <t>Galuppi’s Restaurant, 1103 North Federal Highway, Pompano Beach, FL, 33062</t>
  </si>
  <si>
    <t>Carol Parente</t>
  </si>
  <si>
    <t>CP Financial Solutions LLC</t>
  </si>
  <si>
    <t>954-650-5638</t>
  </si>
  <si>
    <t>Galuppi’s Restaurant, 1103 North Federal Highway, Pompano Beach, FL, 33063</t>
  </si>
  <si>
    <t>Christopher Tuccitto</t>
  </si>
  <si>
    <t>Florida Advocates</t>
  </si>
  <si>
    <t>754-263-4252</t>
  </si>
  <si>
    <t>Galuppi’s Restaurant, 1103 North Federal Highway, Pompano Beach, FL, 33064</t>
  </si>
  <si>
    <t>David Frederickson</t>
  </si>
  <si>
    <t>USA Wealth Builder</t>
  </si>
  <si>
    <t>954-254-6007</t>
  </si>
  <si>
    <t>Galuppi’s Restaurant, 1103 North Federal Highway, Pompano Beach, FL, 33065</t>
  </si>
  <si>
    <t>Geoffrey Langbart</t>
  </si>
  <si>
    <t>Florida Planning &amp; Probate</t>
  </si>
  <si>
    <t>Galuppi’s Restaurant, 1103 North Federal Highway, Pompano Beach, FL, 33066</t>
  </si>
  <si>
    <t>Henrik Hesselman</t>
  </si>
  <si>
    <t>LoKation Real Estate</t>
  </si>
  <si>
    <t>954-336-7007</t>
  </si>
  <si>
    <t>Galuppi’s Restaurant, 1103 North Federal Highway, Pompano Beach, FL, 33067</t>
  </si>
  <si>
    <t>Jackson Menke</t>
  </si>
  <si>
    <t>Morgan Stanley</t>
  </si>
  <si>
    <t>Galuppi’s Restaurant, 1103 North Federal Highway, Pompano Beach, FL, 33068</t>
  </si>
  <si>
    <t>Jason Price</t>
  </si>
  <si>
    <t>Gold Standard Electric</t>
  </si>
  <si>
    <t>Galuppi’s Restaurant, 1103 North Federal Highway, Pompano Beach, FL, 33069</t>
  </si>
  <si>
    <t>Josh Levin</t>
  </si>
  <si>
    <t>Barclays Public Adjusters</t>
  </si>
  <si>
    <t>Galuppi’s Restaurant, 1103 North Federal Highway, Pompano Beach, FL, 33070</t>
  </si>
  <si>
    <t>Kaydi Rizo</t>
  </si>
  <si>
    <t>Florida Quality Roofing</t>
  </si>
  <si>
    <t>Galuppi’s Restaurant, 1103 North Federal Highway, Pompano Beach, FL, 33071</t>
  </si>
  <si>
    <t>Mark Horton</t>
  </si>
  <si>
    <t>Online Services IDM</t>
  </si>
  <si>
    <t>786-290-5955</t>
  </si>
  <si>
    <t>Galuppi’s Restaurant, 1103 North Federal Highway, Pompano Beach, FL, 33072</t>
  </si>
  <si>
    <t>Nakimbe Baobab-Brown</t>
  </si>
  <si>
    <t>DRYMedic</t>
  </si>
  <si>
    <t>Galuppi’s Restaurant, 1103 North Federal Highway, Pompano Beach, FL, 33073</t>
  </si>
  <si>
    <t>Randi Erisman</t>
  </si>
  <si>
    <t>West End Plumbing</t>
  </si>
  <si>
    <t>Galuppi’s Restaurant, 1103 North Federal Highway, Pompano Beach, FL, 33074</t>
  </si>
  <si>
    <t>Richard Karpeles</t>
  </si>
  <si>
    <t>Feldmesser &amp; Karpeles CPA LLC</t>
  </si>
  <si>
    <t>954-345-6262</t>
  </si>
  <si>
    <t>Galuppi’s Restaurant, 1103 North Federal Highway, Pompano Beach, FL, 33075</t>
  </si>
  <si>
    <t>Sandra Rey</t>
  </si>
  <si>
    <t>GCS Development Group</t>
  </si>
  <si>
    <t>+19542400589</t>
  </si>
  <si>
    <t>Galuppi’s Restaurant, 1103 North Federal Highway, Pompano Beach, FL, 33076</t>
  </si>
  <si>
    <t>Sean Gac-Guerrier</t>
  </si>
  <si>
    <t>EXCEL TITLE</t>
  </si>
  <si>
    <t>954-961-1884</t>
  </si>
  <si>
    <t>Galuppi’s Restaurant, 1103 North Federal Highway, Pompano Beach, FL, 33077</t>
  </si>
  <si>
    <t>Steve Martin</t>
  </si>
  <si>
    <t>West End AC</t>
  </si>
  <si>
    <t>Galuppi’s Restaurant, 1103 North Federal Highway, Pompano Beach, FL, 33078</t>
  </si>
  <si>
    <t>Victor DeRosa</t>
  </si>
  <si>
    <t>Devoted Physical Therapy</t>
  </si>
  <si>
    <t>754-307-7024</t>
  </si>
  <si>
    <t>BNI Express</t>
  </si>
  <si>
    <t>Top Golf, 400 Lucky Lane, Pompano Beach, FL, 33069</t>
  </si>
  <si>
    <t>Andrew Renee</t>
  </si>
  <si>
    <t>that 1 painter Boca Raton</t>
  </si>
  <si>
    <t>Top Golf, 400 Lucky Lane, Pompano Beach, FL, 33070</t>
  </si>
  <si>
    <t>Antony Catania</t>
  </si>
  <si>
    <t>Water Damage Solutions</t>
  </si>
  <si>
    <t>954-383-4534</t>
  </si>
  <si>
    <t>Top Golf, 400 Lucky Lane, Pompano Beach, FL, 33071</t>
  </si>
  <si>
    <t>Bryce McLarney</t>
  </si>
  <si>
    <t>Trouble in Paradise Adjusting</t>
  </si>
  <si>
    <t>954-873-1669</t>
  </si>
  <si>
    <t>Top Golf, 400 Lucky Lane, Pompano Beach, FL, 33072</t>
  </si>
  <si>
    <t>Cheri Massingill</t>
  </si>
  <si>
    <t>Berkshire Hathwaway HS Florida Realty</t>
  </si>
  <si>
    <t>954-263-7476</t>
  </si>
  <si>
    <t>Top Golf, 400 Lucky Lane, Pompano Beach, FL, 33073</t>
  </si>
  <si>
    <t>Daniel Hulsey</t>
  </si>
  <si>
    <t>Atlas Clinics Pompano Beach</t>
  </si>
  <si>
    <t>Health &amp; Wellness Services</t>
  </si>
  <si>
    <t>Top Golf, 400 Lucky Lane, Pompano Beach, FL, 33074</t>
  </si>
  <si>
    <t>Danielle Goodman</t>
  </si>
  <si>
    <t>USA Benefits Group</t>
  </si>
  <si>
    <t>Top Golf, 400 Lucky Lane, Pompano Beach, FL, 33075</t>
  </si>
  <si>
    <t>Darren Sooklal</t>
  </si>
  <si>
    <t>SOOKOOL LLC</t>
  </si>
  <si>
    <t>+19548257182</t>
  </si>
  <si>
    <t>Top Golf, 400 Lucky Lane, Pompano Beach, FL, 33076</t>
  </si>
  <si>
    <t>David Yon</t>
  </si>
  <si>
    <t>Law Offices of David Yon</t>
  </si>
  <si>
    <t>305-860-0483</t>
  </si>
  <si>
    <t>Top Golf, 400 Lucky Lane, Pompano Beach, FL, 33077</t>
  </si>
  <si>
    <t>Eric Winn</t>
  </si>
  <si>
    <t>Heller Private Wealth</t>
  </si>
  <si>
    <t>Top Golf, 400 Lucky Lane, Pompano Beach, FL, 33078</t>
  </si>
  <si>
    <t>Idania Jolie</t>
  </si>
  <si>
    <t>Peace of Mind Bookkeeping</t>
  </si>
  <si>
    <t>954-587-3472</t>
  </si>
  <si>
    <t>Top Golf, 400 Lucky Lane, Pompano Beach, FL, 33079</t>
  </si>
  <si>
    <t>Jeremy Schilling</t>
  </si>
  <si>
    <t>Property and Accident Attorneys</t>
  </si>
  <si>
    <t>508-237-3256</t>
  </si>
  <si>
    <t>Top Golf, 400 Lucky Lane, Pompano Beach, FL, 33080</t>
  </si>
  <si>
    <t>Ken Schickman</t>
  </si>
  <si>
    <t>Thryv</t>
  </si>
  <si>
    <t>(561) 688-5537</t>
  </si>
  <si>
    <t>Top Golf, 400 Lucky Lane, Pompano Beach, FL, 33081</t>
  </si>
  <si>
    <t>Leila Moavero</t>
  </si>
  <si>
    <t>Executive Printing &amp; Mailing</t>
  </si>
  <si>
    <t>954-978-0018</t>
  </si>
  <si>
    <t>Top Golf, 400 Lucky Lane, Pompano Beach, FL, 33082</t>
  </si>
  <si>
    <t>Linda Buccilli</t>
  </si>
  <si>
    <t>Top Golf, 400 Lucky Lane, Pompano Beach, FL, 33083</t>
  </si>
  <si>
    <t>Michael Rizzuti</t>
  </si>
  <si>
    <t>RTS INSPECTIONS LLC</t>
  </si>
  <si>
    <t>954 399-3602</t>
  </si>
  <si>
    <t>Top Golf, 400 Lucky Lane, Pompano Beach, FL, 33084</t>
  </si>
  <si>
    <t>Monica Salis</t>
  </si>
  <si>
    <t>Monica I. Salis</t>
  </si>
  <si>
    <t>954-783-1711</t>
  </si>
  <si>
    <t>Top Golf, 400 Lucky Lane, Pompano Beach, FL, 33085</t>
  </si>
  <si>
    <t>Rick Moore</t>
  </si>
  <si>
    <t>Nozzle Nolen</t>
  </si>
  <si>
    <t>561-851-4073</t>
  </si>
  <si>
    <t>Top Golf, 400 Lucky Lane, Pompano Beach, FL, 33086</t>
  </si>
  <si>
    <t>Scott Smith</t>
  </si>
  <si>
    <t>Surfside Blinds</t>
  </si>
  <si>
    <t>561-271-1953</t>
  </si>
  <si>
    <t>Top Golf, 400 Lucky Lane, Pompano Beach, FL, 33087</t>
  </si>
  <si>
    <t>Sergio Alberti</t>
  </si>
  <si>
    <t>Don Bailey Flooring</t>
  </si>
  <si>
    <t>954-701-7071</t>
  </si>
  <si>
    <t>Top Golf, 400 Lucky Lane, Pompano Beach, FL, 33088</t>
  </si>
  <si>
    <t>Steve Smith</t>
  </si>
  <si>
    <t>Suddath Relocation Systems</t>
  </si>
  <si>
    <t>954-596-4000</t>
  </si>
  <si>
    <t>Top Golf, 400 Lucky Lane, Pompano Beach, FL, 33089</t>
  </si>
  <si>
    <t>Suly Espinoza</t>
  </si>
  <si>
    <t>954-429-1200</t>
  </si>
  <si>
    <t>Top Golf, 400 Lucky Lane, Pompano Beach, FL, 33090</t>
  </si>
  <si>
    <t>Victor Huipio</t>
  </si>
  <si>
    <t>Monarch Roofing &amp; Construction Inc.</t>
  </si>
  <si>
    <t>954-531-5690</t>
  </si>
  <si>
    <t>BNI Visionaries</t>
  </si>
  <si>
    <t>Colony West Golf Club, 6850 NW 88th Avenue, Tamarac, FL, 33321</t>
  </si>
  <si>
    <t>Adriano Sara</t>
  </si>
  <si>
    <t>Total Loss Consultants</t>
  </si>
  <si>
    <t>Colony West Golf Club, 6850 NW 88th Avenue, Tamarac, FL, 33322</t>
  </si>
  <si>
    <t>Anthony Boykins</t>
  </si>
  <si>
    <t>954-632-4502</t>
  </si>
  <si>
    <t>Colony West Golf Club, 6850 NW 88th Avenue, Tamarac, FL, 33323</t>
  </si>
  <si>
    <t>Arlene Danoys</t>
  </si>
  <si>
    <t>Accounting &amp; Bookkeeping Serv</t>
  </si>
  <si>
    <t>(954) 803-1584</t>
  </si>
  <si>
    <t>Colony West Golf Club, 6850 NW 88th Avenue, Tamarac, FL, 33324</t>
  </si>
  <si>
    <t>Avonte Boykins</t>
  </si>
  <si>
    <t>Avonte Visual Media Productions LLC</t>
  </si>
  <si>
    <t>Colony West Golf Club, 6850 NW 88th Avenue, Tamarac, FL, 33325</t>
  </si>
  <si>
    <t>Christopher Brown</t>
  </si>
  <si>
    <t>State Farm</t>
  </si>
  <si>
    <t>Colony West Golf Club, 6850 NW 88th Avenue, Tamarac, FL, 33326</t>
  </si>
  <si>
    <t>Christopher Herling</t>
  </si>
  <si>
    <t>Colony West Golf Club, 6850 NW 88th Avenue, Tamarac, FL, 33327</t>
  </si>
  <si>
    <t>Colette Drimmer</t>
  </si>
  <si>
    <t>Law Offices of Colette F. Drimmer PA</t>
  </si>
  <si>
    <t>954-608-8128</t>
  </si>
  <si>
    <t>Colony West Golf Club, 6850 NW 88th Avenue, Tamarac, FL, 33328</t>
  </si>
  <si>
    <t>Debora Rodrigues</t>
  </si>
  <si>
    <t>Total Real Estate Consultants</t>
  </si>
  <si>
    <t>Colony West Golf Club, 6850 NW 88th Avenue, Tamarac, FL, 33329</t>
  </si>
  <si>
    <t>DOROTHY GONZALES</t>
  </si>
  <si>
    <t>Newbec Financial Services</t>
  </si>
  <si>
    <t>Colony West Golf Club, 6850 NW 88th Avenue, Tamarac, FL, 33330</t>
  </si>
  <si>
    <t>Faith Spencer</t>
  </si>
  <si>
    <t>Prudence Real Estate Solutions</t>
  </si>
  <si>
    <t>Colony West Golf Club, 6850 NW 88th Avenue, Tamarac, FL, 33331</t>
  </si>
  <si>
    <t>Kristen Montgomery</t>
  </si>
  <si>
    <t>Demesmin &amp; Dover PLLC</t>
  </si>
  <si>
    <t>Colony West Golf Club, 6850 NW 88th Avenue, Tamarac, FL, 33332</t>
  </si>
  <si>
    <t>LEONARDO PORCELLA</t>
  </si>
  <si>
    <t>CELLA &amp; GALLO</t>
  </si>
  <si>
    <t>561-299-8303</t>
  </si>
  <si>
    <t>Colony West Golf Club, 6850 NW 88th Avenue, Tamarac, FL, 33333</t>
  </si>
  <si>
    <t>Luis Maldonado</t>
  </si>
  <si>
    <t>Good Times Roofing LLC</t>
  </si>
  <si>
    <t>Colony West Golf Club, 6850 NW 88th Avenue, Tamarac, FL, 33334</t>
  </si>
  <si>
    <t>Marlon Bennett</t>
  </si>
  <si>
    <t>Law Offices of Marlon K. A. Bennett</t>
  </si>
  <si>
    <t>Colony West Golf Club, 6850 NW 88th Avenue, Tamarac, FL, 33335</t>
  </si>
  <si>
    <t>Meek Vernon</t>
  </si>
  <si>
    <t>Haven Guard Security Corporation</t>
  </si>
  <si>
    <t>Security Personnel</t>
  </si>
  <si>
    <t>Colony West Golf Club, 6850 NW 88th Avenue, Tamarac, FL, 33336</t>
  </si>
  <si>
    <t>Monica Ochoa</t>
  </si>
  <si>
    <t>Loans by Monica</t>
  </si>
  <si>
    <t>+1 (954) 336-5229</t>
  </si>
  <si>
    <t>Colony West Golf Club, 6850 NW 88th Avenue, Tamarac, FL, 33337</t>
  </si>
  <si>
    <t>Rafael Katz</t>
  </si>
  <si>
    <t>Katz &amp; Katz</t>
  </si>
  <si>
    <t>Colony West Golf Club, 6850 NW 88th Avenue, Tamarac, FL, 33338</t>
  </si>
  <si>
    <t>Robert / Lizet Robinson Braceras</t>
  </si>
  <si>
    <t>3 Eye Builders</t>
  </si>
  <si>
    <t>833-339-3226</t>
  </si>
  <si>
    <t>Colony West Golf Club, 6850 NW 88th Avenue, Tamarac, FL, 33339</t>
  </si>
  <si>
    <t>Sharla Edwards</t>
  </si>
  <si>
    <t>Sharla's Law</t>
  </si>
  <si>
    <t>954-643-8600</t>
  </si>
  <si>
    <t>Colony West Golf Club, 6850 NW 88th Avenue, Tamarac, FL, 33340</t>
  </si>
  <si>
    <t>Tea-Tephi Phillips</t>
  </si>
  <si>
    <t>Rapid Recovery Team</t>
  </si>
  <si>
    <t>Colony West Golf Club, 6850 NW 88th Avenue, Tamarac, FL, 33341</t>
  </si>
  <si>
    <t>Vinu Nagapoollay</t>
  </si>
  <si>
    <t>Scale Agile Solutions</t>
  </si>
  <si>
    <t>BNI Innovators</t>
  </si>
  <si>
    <t>Anthony's Clam House, 2861 E. Commercial Blvd., Ft. Lauderdale, FL, 33308</t>
  </si>
  <si>
    <t>Beatrice Jacobs</t>
  </si>
  <si>
    <t>Jacobs Family Law Center</t>
  </si>
  <si>
    <t>954-380-9154</t>
  </si>
  <si>
    <t>Anthony's Clam House, 2861 E. Commercial Blvd., Ft. Lauderdale, FL, 33309</t>
  </si>
  <si>
    <t>Daniel Heverly</t>
  </si>
  <si>
    <t>Ace Handyman Services</t>
  </si>
  <si>
    <t>Anthony's Clam House, 2861 E. Commercial Blvd., Ft. Lauderdale, FL, 33310</t>
  </si>
  <si>
    <t>German Duarte</t>
  </si>
  <si>
    <t>305-306-7663</t>
  </si>
  <si>
    <t>Anthony's Clam House, 2861 E. Commercial Blvd., Ft. Lauderdale, FL, 33311</t>
  </si>
  <si>
    <t>Hosni Ben Latifa</t>
  </si>
  <si>
    <t>Eagle General Contracting Group Corp</t>
  </si>
  <si>
    <t>954-549-4976</t>
  </si>
  <si>
    <t>Anthony's Clam House, 2861 E. Commercial Blvd., Ft. Lauderdale, FL, 33312</t>
  </si>
  <si>
    <t>Ingrid Salazar</t>
  </si>
  <si>
    <t>Seacoast Bank</t>
  </si>
  <si>
    <t>Anthony's Clam House, 2861 E. Commercial Blvd., Ft. Lauderdale, FL, 33313</t>
  </si>
  <si>
    <t>James Hipps</t>
  </si>
  <si>
    <t>Bayview Payroll Services</t>
  </si>
  <si>
    <t>Anthony's Clam House, 2861 E. Commercial Blvd., Ft. Lauderdale, FL, 33314</t>
  </si>
  <si>
    <t>Jamie Ritter</t>
  </si>
  <si>
    <t>Attorney Keys Title</t>
  </si>
  <si>
    <t>Anthony's Clam House, 2861 E. Commercial Blvd., Ft. Lauderdale, FL, 33315</t>
  </si>
  <si>
    <t>Jay Weigle</t>
  </si>
  <si>
    <t>Anthony's Clam House, 2861 E. Commercial Blvd., Ft. Lauderdale, FL, 33316</t>
  </si>
  <si>
    <t>Kim Colquitt</t>
  </si>
  <si>
    <t>We Insure Group</t>
  </si>
  <si>
    <t>954-903-7519</t>
  </si>
  <si>
    <t>Anthony's Clam House, 2861 E. Commercial Blvd., Ft. Lauderdale, FL, 33317</t>
  </si>
  <si>
    <t>LASZLO SANDOR</t>
  </si>
  <si>
    <t>Tough Shield Inspections Inc</t>
  </si>
  <si>
    <t>(754) 366-7686</t>
  </si>
  <si>
    <t>Anthony's Clam House, 2861 E. Commercial Blvd., Ft. Lauderdale, FL, 33318</t>
  </si>
  <si>
    <t>Lauren Burns</t>
  </si>
  <si>
    <t>SJF Law Group</t>
  </si>
  <si>
    <t>Anthony's Clam House, 2861 E. Commercial Blvd., Ft. Lauderdale, FL, 33319</t>
  </si>
  <si>
    <t>Mark Hopper</t>
  </si>
  <si>
    <t>954-537-3806</t>
  </si>
  <si>
    <t>Anthony's Clam House, 2861 E. Commercial Blvd., Ft. Lauderdale, FL, 33320</t>
  </si>
  <si>
    <t>Mary Ballard</t>
  </si>
  <si>
    <t>Supreme Lending</t>
  </si>
  <si>
    <t>954-684-8662</t>
  </si>
  <si>
    <t>Anthony's Clam House, 2861 E. Commercial Blvd., Ft. Lauderdale, FL, 33321</t>
  </si>
  <si>
    <t>MaryAnn Braun</t>
  </si>
  <si>
    <t>MABRAUN LEGAL</t>
  </si>
  <si>
    <t>954 410-8205</t>
  </si>
  <si>
    <t>Anthony's Clam House, 2861 E. Commercial Blvd., Ft. Lauderdale, FL, 33322</t>
  </si>
  <si>
    <t>NOEL DEAZA</t>
  </si>
  <si>
    <t>QuantumShield Solutions LLC</t>
  </si>
  <si>
    <t>Anthony's Clam House, 2861 E. Commercial Blvd., Ft. Lauderdale, FL, 33323</t>
  </si>
  <si>
    <t>Randy Carpen</t>
  </si>
  <si>
    <t>Groovy Hues Painting of Fort Lauderdale and Pompano Beach</t>
  </si>
  <si>
    <t>+19544150201</t>
  </si>
  <si>
    <t>Anthony's Clam House, 2861 E. Commercial Blvd., Ft. Lauderdale, FL, 33324</t>
  </si>
  <si>
    <t>Rhiannon Adams</t>
  </si>
  <si>
    <t>Lowell Newman</t>
  </si>
  <si>
    <t>888-667-4750 EXT.708</t>
  </si>
  <si>
    <t>Anthony's Clam House, 2861 E. Commercial Blvd., Ft. Lauderdale, FL, 33325</t>
  </si>
  <si>
    <t>RODOLFO PRICE</t>
  </si>
  <si>
    <t>PRICE DEAN LLC</t>
  </si>
  <si>
    <t>Anthony's Clam House, 2861 E. Commercial Blvd., Ft. Lauderdale, FL, 33326</t>
  </si>
  <si>
    <t>Stephen Morse</t>
  </si>
  <si>
    <t>The Morse Injury Firm</t>
  </si>
  <si>
    <t>Anthony's Clam House, 2861 E. Commercial Blvd., Ft. Lauderdale, FL, 33327</t>
  </si>
  <si>
    <t>Tiffany Comunale</t>
  </si>
  <si>
    <t>954-612-1705</t>
  </si>
  <si>
    <t>Anthony's Clam House, 2861 E. Commercial Blvd., Ft. Lauderdale, FL, 33328</t>
  </si>
  <si>
    <t>Tom Cundy</t>
  </si>
  <si>
    <t>TCC Associates</t>
  </si>
  <si>
    <t>(954) 565-1117</t>
  </si>
  <si>
    <t>Anthony's Clam House, 2861 E. Commercial Blvd., Ft. Lauderdale, FL, 33329</t>
  </si>
  <si>
    <t>Travis Baldeo</t>
  </si>
  <si>
    <t>954-496-1144</t>
  </si>
  <si>
    <t>Anthony's Clam House, 2861 E. Commercial Blvd., Ft. Lauderdale, FL, 33330</t>
  </si>
  <si>
    <t>Troy Lomasky</t>
  </si>
  <si>
    <t>Coast Chiropractic Center</t>
  </si>
  <si>
    <t>BNI Soaring Eagles</t>
  </si>
  <si>
    <t>Coral Springs Country Club, 10800 W Sample Rd., Coral Springs; FL, 33065</t>
  </si>
  <si>
    <t>Adam Corin</t>
  </si>
  <si>
    <t>Niroc Consultants</t>
  </si>
  <si>
    <t>Employment Activities (Other)</t>
  </si>
  <si>
    <t>954-540-5205</t>
  </si>
  <si>
    <t>Coral Springs Country Club, 10800 W Sample Rd., Coral Springs; FL, 33066</t>
  </si>
  <si>
    <t>Adam Moss</t>
  </si>
  <si>
    <t>Clarity EPS</t>
  </si>
  <si>
    <t>561-338-4446</t>
  </si>
  <si>
    <t>Coral Springs Country Club, 10800 W Sample Rd., Coral Springs; FL, 33067</t>
  </si>
  <si>
    <t>Bo Brooks</t>
  </si>
  <si>
    <t>Alliance Health &amp; Injury Center</t>
  </si>
  <si>
    <t>954-718-0390</t>
  </si>
  <si>
    <t>Coral Springs Country Club, 10800 W Sample Rd., Coral Springs; FL, 33068</t>
  </si>
  <si>
    <t>Brett Landsman</t>
  </si>
  <si>
    <t>Landsman &amp; Ross</t>
  </si>
  <si>
    <t>Coral Springs Country Club, 10800 W Sample Rd., Coral Springs; FL, 33069</t>
  </si>
  <si>
    <t>Christos Panageotou</t>
  </si>
  <si>
    <t>Caner Impact Windows &amp; Doors</t>
  </si>
  <si>
    <t>Coral Springs Country Club, 10800 W Sample Rd., Coral Springs; FL, 33070</t>
  </si>
  <si>
    <t>Corey Feldman</t>
  </si>
  <si>
    <t>Scorpion Fire and Safety LLC</t>
  </si>
  <si>
    <t>Fire Protection</t>
  </si>
  <si>
    <t>305-525-1610</t>
  </si>
  <si>
    <t>Coral Springs Country Club, 10800 W Sample Rd., Coral Springs; FL, 33071</t>
  </si>
  <si>
    <t>Craig Falk</t>
  </si>
  <si>
    <t>Wise Inspections LLC</t>
  </si>
  <si>
    <t>Coral Springs Country Club, 10800 W Sample Rd., Coral Springs; FL, 33072</t>
  </si>
  <si>
    <t>Dairon Montes de Oca</t>
  </si>
  <si>
    <t>HL Law Group</t>
  </si>
  <si>
    <t>Coral Springs Country Club, 10800 W Sample Rd., Coral Springs; FL, 33073</t>
  </si>
  <si>
    <t>Damon Penn</t>
  </si>
  <si>
    <t>The Penn Team</t>
  </si>
  <si>
    <t>954-610-1195</t>
  </si>
  <si>
    <t>Coral Springs Country Club, 10800 W Sample Rd., Coral Springs; FL, 33074</t>
  </si>
  <si>
    <t>Daniel Lindeman</t>
  </si>
  <si>
    <t>Empire Appraisal Group</t>
  </si>
  <si>
    <t>Real Estate Appraisal</t>
  </si>
  <si>
    <t>561-441-9298</t>
  </si>
  <si>
    <t>Coral Springs Country Club, 10800 W Sample Rd., Coral Springs; FL, 33075</t>
  </si>
  <si>
    <t>Daniel Silver Esq.</t>
  </si>
  <si>
    <t>Nest Law</t>
  </si>
  <si>
    <t>305-793-5790</t>
  </si>
  <si>
    <t>Coral Springs Country Club, 10800 W Sample Rd., Coral Springs; FL, 33076</t>
  </si>
  <si>
    <t>David Niyazov</t>
  </si>
  <si>
    <t>Spacibo Therapeutic Massage</t>
  </si>
  <si>
    <t>954-840-6680</t>
  </si>
  <si>
    <t>Coral Springs Country Club, 10800 W Sample Rd., Coral Springs; FL, 33077</t>
  </si>
  <si>
    <t>David Sherman</t>
  </si>
  <si>
    <t>Claim Closers LLC</t>
  </si>
  <si>
    <t>Coral Springs Country Club, 10800 W Sample Rd., Coral Springs; FL, 33078</t>
  </si>
  <si>
    <t>Everton Walker</t>
  </si>
  <si>
    <t>EBW Electrical Solutions</t>
  </si>
  <si>
    <t>954-647-5308</t>
  </si>
  <si>
    <t>Coral Springs Country Club, 10800 W Sample Rd., Coral Springs; FL, 33079</t>
  </si>
  <si>
    <t>Gregg Goldstein</t>
  </si>
  <si>
    <t>EM Consulting Group</t>
  </si>
  <si>
    <t>Coral Springs Country Club, 10800 W Sample Rd., Coral Springs; FL, 33080</t>
  </si>
  <si>
    <t>Ian Bethell</t>
  </si>
  <si>
    <t>USHEALTH Advisors</t>
  </si>
  <si>
    <t>Coral Springs Country Club, 10800 W Sample Rd., Coral Springs; FL, 33081</t>
  </si>
  <si>
    <t>Jason Chamely</t>
  </si>
  <si>
    <t>Box Real Estate LLC</t>
  </si>
  <si>
    <t>954-526-3900 x101</t>
  </si>
  <si>
    <t>Coral Springs Country Club, 10800 W Sample Rd., Coral Springs; FL, 33082</t>
  </si>
  <si>
    <t>Jeffrey Millikin</t>
  </si>
  <si>
    <t>954-7138441</t>
  </si>
  <si>
    <t>Coral Springs Country Club, 10800 W Sample Rd., Coral Springs; FL, 33083</t>
  </si>
  <si>
    <t>Jeffri Fryer</t>
  </si>
  <si>
    <t>C3-Complete</t>
  </si>
  <si>
    <t>Coral Springs Country Club, 10800 W Sample Rd., Coral Springs; FL, 33084</t>
  </si>
  <si>
    <t>Jon Gordon</t>
  </si>
  <si>
    <t>Happy Homes Preventive Maintenance Care</t>
  </si>
  <si>
    <t>Coral Springs Country Club, 10800 W Sample Rd., Coral Springs; FL, 33085</t>
  </si>
  <si>
    <t>Jorge Defas</t>
  </si>
  <si>
    <t>Clear Choice Lending Group</t>
  </si>
  <si>
    <t>Coral Springs Country Club, 10800 W Sample Rd., Coral Springs; FL, 33086</t>
  </si>
  <si>
    <t>Joseph Simhon</t>
  </si>
  <si>
    <t>Nohmis Design</t>
  </si>
  <si>
    <t>Civil/structural engineer</t>
  </si>
  <si>
    <t>Coral Springs Country Club, 10800 W Sample Rd., Coral Springs; FL, 33087</t>
  </si>
  <si>
    <t>Justin Lawrence</t>
  </si>
  <si>
    <t>Just Real Estate Photos</t>
  </si>
  <si>
    <t>Coral Springs Country Club, 10800 W Sample Rd., Coral Springs; FL, 33088</t>
  </si>
  <si>
    <t>Justin Milner</t>
  </si>
  <si>
    <t>Shine Plus Automotive Detailing</t>
  </si>
  <si>
    <t>Coral Springs Country Club, 10800 W Sample Rd., Coral Springs; FL, 33089</t>
  </si>
  <si>
    <t>Justine Goubert</t>
  </si>
  <si>
    <t>Set The Stage Broward County</t>
  </si>
  <si>
    <t>Home Staging</t>
  </si>
  <si>
    <t>Coral Springs Country Club, 10800 W Sample Rd., Coral Springs; FL, 33090</t>
  </si>
  <si>
    <t>Ken Sobel</t>
  </si>
  <si>
    <t>Sobel Legal</t>
  </si>
  <si>
    <t>954-249-1078</t>
  </si>
  <si>
    <t>Coral Springs Country Club, 10800 W Sample Rd., Coral Springs; FL, 33091</t>
  </si>
  <si>
    <t>Kevin Edwards</t>
  </si>
  <si>
    <t>Chase Bank</t>
  </si>
  <si>
    <t>954-226-0056</t>
  </si>
  <si>
    <t>Coral Springs Country Club, 10800 W Sample Rd., Coral Springs; FL, 33092</t>
  </si>
  <si>
    <t>Kirphton Fray</t>
  </si>
  <si>
    <t>Dr. Buggs Exterminators</t>
  </si>
  <si>
    <t>954-297-5425</t>
  </si>
  <si>
    <t>Coral Springs Country Club, 10800 W Sample Rd., Coral Springs; FL, 33093</t>
  </si>
  <si>
    <t>Lenny Sklawer</t>
  </si>
  <si>
    <t>JLS Financial Group / New York Life</t>
  </si>
  <si>
    <t>Coral Springs Country Club, 10800 W Sample Rd., Coral Springs; FL, 33094</t>
  </si>
  <si>
    <t>Lori Greene</t>
  </si>
  <si>
    <t>Roofs to Go</t>
  </si>
  <si>
    <t>954-573-3532</t>
  </si>
  <si>
    <t>Coral Springs Country Club, 10800 W Sample Rd., Coral Springs; FL, 33095</t>
  </si>
  <si>
    <t>Loune-Djenia Askew</t>
  </si>
  <si>
    <t>Askew &amp; Associates</t>
  </si>
  <si>
    <t>(954) 546-2699</t>
  </si>
  <si>
    <t>Coral Springs Country Club, 10800 W Sample Rd., Coral Springs; FL, 33096</t>
  </si>
  <si>
    <t>Manny Moussignac</t>
  </si>
  <si>
    <t>All Things Moving &amp; Storage</t>
  </si>
  <si>
    <t>Coral Springs Country Club, 10800 W Sample Rd., Coral Springs; FL, 33097</t>
  </si>
  <si>
    <t>Mark Mucci</t>
  </si>
  <si>
    <t>Benson Mucci &amp; Weiss</t>
  </si>
  <si>
    <t>954-323-1023</t>
  </si>
  <si>
    <t>Coral Springs Country Club, 10800 W Sample Rd., Coral Springs; FL, 33098</t>
  </si>
  <si>
    <t>Matt Kinsey</t>
  </si>
  <si>
    <t>IT Fusion</t>
  </si>
  <si>
    <t>954-900-1654 x2</t>
  </si>
  <si>
    <t>Coral Springs Country Club, 10800 W Sample Rd., Coral Springs; FL, 33099</t>
  </si>
  <si>
    <t>Michael Gegerson</t>
  </si>
  <si>
    <t>Townsend Insurance Services</t>
  </si>
  <si>
    <t>954-764-9099</t>
  </si>
  <si>
    <t>Coral Springs Country Club, 10800 W Sample Rd., Coral Springs; FL, 33100</t>
  </si>
  <si>
    <t>Nick Grieco</t>
  </si>
  <si>
    <t>Jason's Carpet and Tile</t>
  </si>
  <si>
    <t>Coral Springs Country Club, 10800 W Sample Rd., Coral Springs; FL, 33101</t>
  </si>
  <si>
    <t>Nick Harrypersad</t>
  </si>
  <si>
    <t>Bee Cool Air Conditioning</t>
  </si>
  <si>
    <t>Coral Springs Country Club, 10800 W Sample Rd., Coral Springs; FL, 33102</t>
  </si>
  <si>
    <t>Rich Thompson</t>
  </si>
  <si>
    <t>AdGraphics</t>
  </si>
  <si>
    <t>Coral Springs Country Club, 10800 W Sample Rd., Coral Springs; FL, 33103</t>
  </si>
  <si>
    <t>Sarah Gangadin</t>
  </si>
  <si>
    <t>Deer Run Animal Hospital</t>
  </si>
  <si>
    <t>Veterinarian</t>
  </si>
  <si>
    <t>Coral Springs Country Club, 10800 W Sample Rd., Coral Springs; FL, 33104</t>
  </si>
  <si>
    <t>Sean Donato</t>
  </si>
  <si>
    <t>Apple Printing &amp; Advertising Specialists</t>
  </si>
  <si>
    <t>954-776-5691</t>
  </si>
  <si>
    <t>Coral Springs Country Club, 10800 W Sample Rd., Coral Springs; FL, 33105</t>
  </si>
  <si>
    <t>Sebastian Rios</t>
  </si>
  <si>
    <t>Sebas Painting/Soflo Epoxy</t>
  </si>
  <si>
    <t>Coral Springs Country Club, 10800 W Sample Rd., Coral Springs; FL, 33106</t>
  </si>
  <si>
    <t>Steven M. Marcus</t>
  </si>
  <si>
    <t>The Marcus Group</t>
  </si>
  <si>
    <t>(954) 721 - 1180</t>
  </si>
  <si>
    <t>Coral Springs Country Club, 10800 W Sample Rd., Coral Springs; FL, 33107</t>
  </si>
  <si>
    <t>Tina Vortolomei</t>
  </si>
  <si>
    <t>Robert John Construction Company</t>
  </si>
  <si>
    <t>Coral Springs Country Club, 10800 W Sample Rd., Coral Springs; FL, 33108</t>
  </si>
  <si>
    <t>Tracey Paige</t>
  </si>
  <si>
    <t>Alzheimers Assocation</t>
  </si>
  <si>
    <t>BNI Masters</t>
  </si>
  <si>
    <t>Blue Realty, 7504 Wiles Road, Coral Springs, FL, 33065</t>
  </si>
  <si>
    <t>Alexandra Gonzalez</t>
  </si>
  <si>
    <t>Nexa Mortgage</t>
  </si>
  <si>
    <t>Blue Realty, 7504 Wiles Road, Coral Springs, FL, 33066</t>
  </si>
  <si>
    <t>Benjamin Brittsan</t>
  </si>
  <si>
    <t>Rest assured roofing</t>
  </si>
  <si>
    <t>Blue Realty, 7504 Wiles Road, Coral Springs, FL, 33067</t>
  </si>
  <si>
    <t>Brandon Gibson</t>
  </si>
  <si>
    <t>KellerGibson</t>
  </si>
  <si>
    <t>954-237-8093</t>
  </si>
  <si>
    <t>Blue Realty, 7504 Wiles Road, Coral Springs, FL, 33068</t>
  </si>
  <si>
    <t>Denise Lettau</t>
  </si>
  <si>
    <t>Law Offices Of Denise A. Lettau</t>
  </si>
  <si>
    <t>Blue Realty, 7504 Wiles Road, Coral Springs, FL, 33069</t>
  </si>
  <si>
    <t>Eliannet Castillo</t>
  </si>
  <si>
    <t>Blue Realty, 7504 Wiles Road, Coral Springs, FL, 33070</t>
  </si>
  <si>
    <t>Francisco Colomer</t>
  </si>
  <si>
    <t>FCS Public Adjuster</t>
  </si>
  <si>
    <t>+1 (954) 798-7464</t>
  </si>
  <si>
    <t>Blue Realty, 7504 Wiles Road, Coral Springs, FL, 33071</t>
  </si>
  <si>
    <t>Keisha Lalah</t>
  </si>
  <si>
    <t>BATH &amp; MORE BY K'AVARI LLC</t>
  </si>
  <si>
    <t>Blue Realty, 7504 Wiles Road, Coral Springs, FL, 33072</t>
  </si>
  <si>
    <t>Marc Shomberg</t>
  </si>
  <si>
    <t>Amor Title</t>
  </si>
  <si>
    <t>Blue Realty, 7504 Wiles Road, Coral Springs, FL, 33073</t>
  </si>
  <si>
    <t>Mike Artlip</t>
  </si>
  <si>
    <t>Bison Roofing and Solar</t>
  </si>
  <si>
    <t>Solar</t>
  </si>
  <si>
    <t>Blue Realty, 7504 Wiles Road, Coral Springs, FL, 33074</t>
  </si>
  <si>
    <t>Patrick McNicholas</t>
  </si>
  <si>
    <t>Blue Realty, 7504 Wiles Road, Coral Springs, FL, 33075</t>
  </si>
  <si>
    <t>RICHARD ST. JOHN</t>
  </si>
  <si>
    <t>Blue Realty, 7504 Wiles Road, Coral Springs, FL, 33076</t>
  </si>
  <si>
    <t>STEPHAN BRONSON</t>
  </si>
  <si>
    <t>Blue Realty</t>
  </si>
  <si>
    <t>Blue Realty, 7504 Wiles Road, Coral Springs, FL, 33077</t>
  </si>
  <si>
    <t>Tripti Badgamia</t>
  </si>
  <si>
    <t>Garg and Associates Inc</t>
  </si>
  <si>
    <t>Aaron Wilton</t>
  </si>
  <si>
    <t>Royal Pest and Termite</t>
  </si>
  <si>
    <t>Ale Doria</t>
  </si>
  <si>
    <t>Click Studios</t>
  </si>
  <si>
    <t>+1 (954) 901-1688</t>
  </si>
  <si>
    <t>Ashley Baillio</t>
  </si>
  <si>
    <t>(561) 609-2391</t>
  </si>
  <si>
    <t>Baar Machluf</t>
  </si>
  <si>
    <t>New York Quartz</t>
  </si>
  <si>
    <t>Counter Tops</t>
  </si>
  <si>
    <t>Belayne Guerrero</t>
  </si>
  <si>
    <t>Guerrero Wood Law</t>
  </si>
  <si>
    <t>(305) 519-7719</t>
  </si>
  <si>
    <t>Brooke Stevens</t>
  </si>
  <si>
    <t>Promising Dental Care</t>
  </si>
  <si>
    <t>(305) 302-2965</t>
  </si>
  <si>
    <t>Bryan English</t>
  </si>
  <si>
    <t>Claim Advisors</t>
  </si>
  <si>
    <t>(954) 234-6777</t>
  </si>
  <si>
    <t>Carlos Rodriguez</t>
  </si>
  <si>
    <t>Bilantar Windows</t>
  </si>
  <si>
    <t>Daniel Coyne</t>
  </si>
  <si>
    <t>Sentinel Tax Advisors</t>
  </si>
  <si>
    <t>(954) 755-4589</t>
  </si>
  <si>
    <t>Elizabeth Westphal</t>
  </si>
  <si>
    <t>LuxFit LLC</t>
  </si>
  <si>
    <t>Erica Bailly</t>
  </si>
  <si>
    <t>EM Professional Services</t>
  </si>
  <si>
    <t>(305) 940-9190</t>
  </si>
  <si>
    <t>Giselle Reyes</t>
  </si>
  <si>
    <t>Monarch Roofing</t>
  </si>
  <si>
    <t>+1 (818) 703-3948</t>
  </si>
  <si>
    <t>Gustavo Rios</t>
  </si>
  <si>
    <t>CMC Blinds</t>
  </si>
  <si>
    <t>Blue Realty, 7504 Wiles Road, Coral Springs, FL, 33078</t>
  </si>
  <si>
    <t>Ian Fitzpatrick</t>
  </si>
  <si>
    <t>Insurance That Fitz</t>
  </si>
  <si>
    <t>954-483-5236</t>
  </si>
  <si>
    <t>Blue Realty, 7504 Wiles Road, Coral Springs, FL, 33079</t>
  </si>
  <si>
    <t>Jackson Ussery</t>
  </si>
  <si>
    <t>Omega National Title</t>
  </si>
  <si>
    <t>+1 (910) 872-0551</t>
  </si>
  <si>
    <t>Blue Realty, 7504 Wiles Road, Coral Springs, FL, 33080</t>
  </si>
  <si>
    <t>Jayashree Murari</t>
  </si>
  <si>
    <t>TROPICAL FINANCIAL CREDIT UNION</t>
  </si>
  <si>
    <t>Blue Realty, 7504 Wiles Road, Coral Springs, FL, 33081</t>
  </si>
  <si>
    <t>Jeanine Kinsey</t>
  </si>
  <si>
    <t>(954) 900-1654</t>
  </si>
  <si>
    <t>Blue Realty, 7504 Wiles Road, Coral Springs, FL, 33082</t>
  </si>
  <si>
    <t>Jennifer Romanello</t>
  </si>
  <si>
    <t>Romanello &amp; Rodriguez Law</t>
  </si>
  <si>
    <t>754-249-2514</t>
  </si>
  <si>
    <t>Blue Realty, 7504 Wiles Road, Coral Springs, FL, 33083</t>
  </si>
  <si>
    <t>John Paul Cruz</t>
  </si>
  <si>
    <t>Diamond Wood Floors and Development</t>
  </si>
  <si>
    <t>Blue Realty, 7504 Wiles Road, Coral Springs, FL, 33084</t>
  </si>
  <si>
    <t>Jonathan Blank</t>
  </si>
  <si>
    <t>Fastsigns Coral Springs</t>
  </si>
  <si>
    <t>(754) 529-8442</t>
  </si>
  <si>
    <t>Blue Realty, 7504 Wiles Road, Coral Springs, FL, 33085</t>
  </si>
  <si>
    <t>Jonathan Da Silva</t>
  </si>
  <si>
    <t>Flawless Detailing</t>
  </si>
  <si>
    <t>(954) 245-5459</t>
  </si>
  <si>
    <t>Blue Realty, 7504 Wiles Road, Coral Springs, FL, 33086</t>
  </si>
  <si>
    <t>Marcus House</t>
  </si>
  <si>
    <t>House Electric and Plumbing</t>
  </si>
  <si>
    <t>(954) 686-8087</t>
  </si>
  <si>
    <t>Blue Realty, 7504 Wiles Road, Coral Springs, FL, 33087</t>
  </si>
  <si>
    <t>Max Gegerson</t>
  </si>
  <si>
    <t>(954) 520-8150</t>
  </si>
  <si>
    <t>Blue Realty, 7504 Wiles Road, Coral Springs, FL, 33088</t>
  </si>
  <si>
    <t>Michael Greco</t>
  </si>
  <si>
    <t>Greco &amp; O’Neal Wealth Strategies</t>
  </si>
  <si>
    <t>(631) 521-5594</t>
  </si>
  <si>
    <t>Blue Realty, 7504 Wiles Road, Coral Springs, FL, 33089</t>
  </si>
  <si>
    <t>Nicholas Cassidy</t>
  </si>
  <si>
    <t>(954) 651-1145</t>
  </si>
  <si>
    <t>Blue Realty, 7504 Wiles Road, Coral Springs, FL, 33090</t>
  </si>
  <si>
    <t>Patrick McMahon</t>
  </si>
  <si>
    <t>Brightway Insurance</t>
  </si>
  <si>
    <t>954-615-4500</t>
  </si>
  <si>
    <t>Blue Realty, 7504 Wiles Road, Coral Springs, FL, 33091</t>
  </si>
  <si>
    <t>Rodrigo Silva</t>
  </si>
  <si>
    <t>Superb Pools</t>
  </si>
  <si>
    <t>Blue Realty, 7504 Wiles Road, Coral Springs, FL, 33092</t>
  </si>
  <si>
    <t>Samantha Salomon</t>
  </si>
  <si>
    <t>Zoom Drain</t>
  </si>
  <si>
    <t>Blue Realty, 7504 Wiles Road, Coral Springs, FL, 33093</t>
  </si>
  <si>
    <t>Sami Smidi</t>
  </si>
  <si>
    <t>Elite Web Consulting</t>
  </si>
  <si>
    <t>(954) 608-4315</t>
  </si>
  <si>
    <t>Blue Realty, 7504 Wiles Road, Coral Springs, FL, 33094</t>
  </si>
  <si>
    <t>Samuel Wechsler</t>
  </si>
  <si>
    <t>Friends and Family Spinal Care</t>
  </si>
  <si>
    <t>Blue Realty, 7504 Wiles Road, Coral Springs, FL, 33095</t>
  </si>
  <si>
    <t>Scott Lam</t>
  </si>
  <si>
    <t>MG&amp;A Wealth</t>
  </si>
  <si>
    <t>(954) 289-9000</t>
  </si>
  <si>
    <t>Blue Realty, 7504 Wiles Road, Coral Springs, FL, 33096</t>
  </si>
  <si>
    <t>Sid Anand</t>
  </si>
  <si>
    <t>Anand Media</t>
  </si>
  <si>
    <t>Blue Realty, 7504 Wiles Road, Coral Springs, FL, 33097</t>
  </si>
  <si>
    <t>Stephen Anderson</t>
  </si>
  <si>
    <t>Prolift Garage Doors Ft. Lauderdale</t>
  </si>
  <si>
    <t>Blue Realty, 7504 Wiles Road, Coral Springs, FL, 33098</t>
  </si>
  <si>
    <t>Steve Boyette</t>
  </si>
  <si>
    <t>(954) 871-1687</t>
  </si>
  <si>
    <t>Blue Realty, 7504 Wiles Road, Coral Springs, FL, 33099</t>
  </si>
  <si>
    <t>Steven Ginsburg</t>
  </si>
  <si>
    <t>954-817-7357</t>
  </si>
  <si>
    <t>Blue Realty, 7504 Wiles Road, Coral Springs, FL, 33100</t>
  </si>
  <si>
    <t>Todd Bubello</t>
  </si>
  <si>
    <t>TB Construction</t>
  </si>
  <si>
    <t>Blue Realty, 7504 Wiles Road, Coral Springs, FL, 33101</t>
  </si>
  <si>
    <t>Valentino Miranda</t>
  </si>
  <si>
    <t>Insta Painting</t>
  </si>
  <si>
    <t>(954) 934-4869</t>
  </si>
  <si>
    <t>BNI Next Level</t>
  </si>
  <si>
    <t>Equine-Assisted Therapies of South Florida, 3601 W Sample Rd, Coconut Creek, FL, 33073</t>
  </si>
  <si>
    <t>Akiva Garellek</t>
  </si>
  <si>
    <t>Garellek counseling</t>
  </si>
  <si>
    <t>Equine-Assisted Therapies of South Florida, 3601 W Sample Rd, Coconut Creek, FL, 33074</t>
  </si>
  <si>
    <t>Brian Kowal</t>
  </si>
  <si>
    <t>Law office of Brian P. Kowal</t>
  </si>
  <si>
    <t>585-261-8443</t>
  </si>
  <si>
    <t>Equine-Assisted Therapies of South Florida, 3601 W Sample Rd, Coconut Creek, FL, 33075</t>
  </si>
  <si>
    <t>Carlos Vasquez</t>
  </si>
  <si>
    <t>NCG Development llc</t>
  </si>
  <si>
    <t>Equine-Assisted Therapies of South Florida, 3601 W Sample Rd, Coconut Creek, FL, 33076</t>
  </si>
  <si>
    <t>Danielle Anzola</t>
  </si>
  <si>
    <t>Andino Painting</t>
  </si>
  <si>
    <t>Equine-Assisted Therapies of South Florida, 3601 W Sample Rd, Coconut Creek, FL, 33077</t>
  </si>
  <si>
    <t>Danny Cagen</t>
  </si>
  <si>
    <t>Doppel Creative</t>
  </si>
  <si>
    <t>+17542744850</t>
  </si>
  <si>
    <t>Equine-Assisted Therapies of South Florida, 3601 W Sample Rd, Coconut Creek, FL, 33078</t>
  </si>
  <si>
    <t>Jason Archer</t>
  </si>
  <si>
    <t>DRYmedic of Pompano Beach FL</t>
  </si>
  <si>
    <t>Equine-Assisted Therapies of South Florida, 3601 W Sample Rd, Coconut Creek, FL, 33079</t>
  </si>
  <si>
    <t>Juliana Torres-Mason</t>
  </si>
  <si>
    <t>Torres-Mason Writing Agency</t>
  </si>
  <si>
    <t>Branding</t>
  </si>
  <si>
    <t>Equine-Assisted Therapies of South Florida, 3601 W Sample Rd, Coconut Creek, FL, 33080</t>
  </si>
  <si>
    <t>Katie Lemieux</t>
  </si>
  <si>
    <t>The Homeowner's Agent Brokered by La Rosa Realty Beaches</t>
  </si>
  <si>
    <t>954-401-9011</t>
  </si>
  <si>
    <t>Equine-Assisted Therapies of South Florida, 3601 W Sample Rd, Coconut Creek, FL, 33081</t>
  </si>
  <si>
    <t>Liore Soussan</t>
  </si>
  <si>
    <t>Mpire Financial</t>
  </si>
  <si>
    <t>Equine-Assisted Therapies of South Florida, 3601 W Sample Rd, Coconut Creek, FL, 33082</t>
  </si>
  <si>
    <t>Matthew Witlicki</t>
  </si>
  <si>
    <t>Schirmer Law</t>
  </si>
  <si>
    <t>Equine-Assisted Therapies of South Florida, 3601 W Sample Rd, Coconut Creek, FL, 33083</t>
  </si>
  <si>
    <t>Michael Blumenfeld</t>
  </si>
  <si>
    <t>Start Your Path Today</t>
  </si>
  <si>
    <t>Equine-Assisted Therapies of South Florida, 3601 W Sample Rd, Coconut Creek, FL, 33084</t>
  </si>
  <si>
    <t>Molly Murphy</t>
  </si>
  <si>
    <t>Equine-Assisted Therapies of South Florida</t>
  </si>
  <si>
    <t>954-974-2007</t>
  </si>
  <si>
    <t>1v1</t>
  </si>
  <si>
    <t>Equine-Assisted Therapies of South Florida, 3601 W Sample Rd, Coconut Creek, FL, 33085</t>
  </si>
  <si>
    <t>Preston Dougherty</t>
  </si>
  <si>
    <t>Adelson Group</t>
  </si>
  <si>
    <t>561515-2971</t>
  </si>
  <si>
    <t>Equine-Assisted Therapies of South Florida, 3601 W Sample Rd, Coconut Creek, FL, 33086</t>
  </si>
  <si>
    <t>Ryan Ramjeet</t>
  </si>
  <si>
    <t>BankUnited</t>
  </si>
  <si>
    <t>Equine-Assisted Therapies of South Florida, 3601 W Sample Rd, Coconut Creek, FL, 33087</t>
  </si>
  <si>
    <t>Sharon Montenegro</t>
  </si>
  <si>
    <t>(954)903-7519</t>
  </si>
  <si>
    <t>Equine-Assisted Therapies of South Florida, 3601 W Sample Rd, Coconut Creek, FL, 33088</t>
  </si>
  <si>
    <t>Tim Witkoski</t>
  </si>
  <si>
    <t>BNI Wilton Manors</t>
  </si>
  <si>
    <t>The Pride Center at Equality Park, 2040 North Dixie Highway, Wilton Manors, FL, 33305</t>
  </si>
  <si>
    <t>Adam Nicoll</t>
  </si>
  <si>
    <t>Chepenik Trushin LLP</t>
  </si>
  <si>
    <t>The Pride Center at Equality Park, 2040 North Dixie Highway, Wilton Manors, FL, 33306</t>
  </si>
  <si>
    <t>Alan Kamlot</t>
  </si>
  <si>
    <t>Gary Hennes Realtors</t>
  </si>
  <si>
    <t>305 979-2233</t>
  </si>
  <si>
    <t>The Pride Center at Equality Park, 2040 North Dixie Highway, Wilton Manors, FL, 33307</t>
  </si>
  <si>
    <t>Anthony Ruiz</t>
  </si>
  <si>
    <t>954-328-3722</t>
  </si>
  <si>
    <t>The Pride Center at Equality Park, 2040 North Dixie Highway, Wilton Manors, FL, 33308</t>
  </si>
  <si>
    <t>Brandon brown</t>
  </si>
  <si>
    <t>Browns get it right property maintenance</t>
  </si>
  <si>
    <t>The Pride Center at Equality Park, 2040 North Dixie Highway, Wilton Manors, FL, 33309</t>
  </si>
  <si>
    <t>Brandon Vietti</t>
  </si>
  <si>
    <t>+15614419742</t>
  </si>
  <si>
    <t>The Pride Center at Equality Park, 2040 North Dixie Highway, Wilton Manors, FL, 33310</t>
  </si>
  <si>
    <t>Bruce Silverman</t>
  </si>
  <si>
    <t>Purple Buffalo</t>
  </si>
  <si>
    <t>888-722-7511</t>
  </si>
  <si>
    <t>The Pride Center at Equality Park, 2040 North Dixie Highway, Wilton Manors, FL, 33311</t>
  </si>
  <si>
    <t>Carlos Blanco</t>
  </si>
  <si>
    <t>The Massage Bearapist</t>
  </si>
  <si>
    <t>The Pride Center at Equality Park, 2040 North Dixie Highway, Wilton Manors, FL, 33312</t>
  </si>
  <si>
    <t>Cathleen Johnson</t>
  </si>
  <si>
    <t>Expedia Cruises of OVC</t>
  </si>
  <si>
    <t>The Pride Center at Equality Park, 2040 North Dixie Highway, Wilton Manors, FL, 33313</t>
  </si>
  <si>
    <t>Chanell Solace</t>
  </si>
  <si>
    <t>Cosheao</t>
  </si>
  <si>
    <t>Gifts</t>
  </si>
  <si>
    <t>954-803-0208</t>
  </si>
  <si>
    <t>The Pride Center at Equality Park, 2040 North Dixie Highway, Wilton Manors, FL, 33314</t>
  </si>
  <si>
    <t>Clifford Dunn</t>
  </si>
  <si>
    <t>Knight Insurance of Broward</t>
  </si>
  <si>
    <t>954-224-4617</t>
  </si>
  <si>
    <t>The Pride Center at Equality Park, 2040 North Dixie Highway, Wilton Manors, FL, 33315</t>
  </si>
  <si>
    <t>Elizabeth Acevedo</t>
  </si>
  <si>
    <t>Beanwood</t>
  </si>
  <si>
    <t>Caterer</t>
  </si>
  <si>
    <t>609-902-6602</t>
  </si>
  <si>
    <t>The Pride Center at Equality Park, 2040 North Dixie Highway, Wilton Manors, FL, 33316</t>
  </si>
  <si>
    <t>Haley Barber</t>
  </si>
  <si>
    <t>Triumph Consulting</t>
  </si>
  <si>
    <t>The Pride Center at Equality Park, 2040 North Dixie Highway, Wilton Manors, FL, 33317</t>
  </si>
  <si>
    <t>Homer Chiang</t>
  </si>
  <si>
    <t>Fitzgerald Group</t>
  </si>
  <si>
    <t>The Pride Center at Equality Park, 2040 North Dixie Highway, Wilton Manors, FL, 33318</t>
  </si>
  <si>
    <t>James Stout</t>
  </si>
  <si>
    <t>Rize Mortgage</t>
  </si>
  <si>
    <t>954-993-6150</t>
  </si>
  <si>
    <t>The Pride Center at Equality Park, 2040 North Dixie Highway, Wilton Manors, FL, 33319</t>
  </si>
  <si>
    <t>Jane Churchill</t>
  </si>
  <si>
    <t>Lodginus</t>
  </si>
  <si>
    <t>The Pride Center at Equality Park, 2040 North Dixie Highway, Wilton Manors, FL, 33320</t>
  </si>
  <si>
    <t>Jerry Windle</t>
  </si>
  <si>
    <t>ICT/Retro Interiors</t>
  </si>
  <si>
    <t>The Pride Center at Equality Park, 2040 North Dixie Highway, Wilton Manors, FL, 33321</t>
  </si>
  <si>
    <t>Jim Martin</t>
  </si>
  <si>
    <t>954-279-7390</t>
  </si>
  <si>
    <t>The Pride Center at Equality Park, 2040 North Dixie Highway, Wilton Manors, FL, 33322</t>
  </si>
  <si>
    <t>Jose Carvajal</t>
  </si>
  <si>
    <t>Gotcha Covered of South Fort Lauderdale</t>
  </si>
  <si>
    <t>The Pride Center at Equality Park, 2040 North Dixie Highway, Wilton Manors, FL, 33323</t>
  </si>
  <si>
    <t>Joseph Gass</t>
  </si>
  <si>
    <t>(954) 738-7527</t>
  </si>
  <si>
    <t>The Pride Center at Equality Park, 2040 North Dixie Highway, Wilton Manors, FL, 33324</t>
  </si>
  <si>
    <t>Julius Boros III</t>
  </si>
  <si>
    <t>The Fairway Insurance Group</t>
  </si>
  <si>
    <t>The Pride Center at Equality Park, 2040 North Dixie Highway, Wilton Manors, FL, 33325</t>
  </si>
  <si>
    <t>Maria Regina Faya</t>
  </si>
  <si>
    <t>Grime Zero</t>
  </si>
  <si>
    <t>Hygiene/Janitorial Supplies</t>
  </si>
  <si>
    <t>The Pride Center at Equality Park, 2040 North Dixie Highway, Wilton Manors, FL, 33326</t>
  </si>
  <si>
    <t>Marissa Stockwell</t>
  </si>
  <si>
    <t>Stockwell Law P.A.</t>
  </si>
  <si>
    <t>The Pride Center at Equality Park, 2040 North Dixie Highway, Wilton Manors, FL, 33327</t>
  </si>
  <si>
    <t>Mark Lynch</t>
  </si>
  <si>
    <t>Broadstone Construction</t>
  </si>
  <si>
    <t>The Pride Center at Equality Park, 2040 North Dixie Highway, Wilton Manors, FL, 33328</t>
  </si>
  <si>
    <t>Nicholas Rossoletti</t>
  </si>
  <si>
    <t>Bilu Law</t>
  </si>
  <si>
    <t>The Pride Center at Equality Park, 2040 North Dixie Highway, Wilton Manors, FL, 33329</t>
  </si>
  <si>
    <t>Pamela Criado</t>
  </si>
  <si>
    <t>Roofing Reina</t>
  </si>
  <si>
    <t>The Pride Center at Equality Park, 2040 North Dixie Highway, Wilton Manors, FL, 33330</t>
  </si>
  <si>
    <t>Rebecca D'Amico</t>
  </si>
  <si>
    <t>The Pride Center at Equality Park</t>
  </si>
  <si>
    <t>954-463-9005</t>
  </si>
  <si>
    <t>The Pride Center at Equality Park, 2040 North Dixie Highway, Wilton Manors, FL, 33331</t>
  </si>
  <si>
    <t>STEPHAN VAN LOGGERENBERG</t>
  </si>
  <si>
    <t>The Pride Center at Equality Park, 2040 North Dixie Highway, Wilton Manors, FL, 33332</t>
  </si>
  <si>
    <t>Steven Rodriguez</t>
  </si>
  <si>
    <t>Elegant Parties</t>
  </si>
  <si>
    <t>Event Rentals</t>
  </si>
  <si>
    <t>The Pride Center at Equality Park, 2040 North Dixie Highway, Wilton Manors, FL, 33333</t>
  </si>
  <si>
    <t>Thomas Flewellyn</t>
  </si>
  <si>
    <t>Vector Security</t>
  </si>
  <si>
    <t>Security Systems</t>
  </si>
  <si>
    <t>The Pride Center at Equality Park, 2040 North Dixie Highway, Wilton Manors, FL, 33334</t>
  </si>
  <si>
    <t>Will Knote</t>
  </si>
  <si>
    <t>Corporal Maintenence Services</t>
  </si>
  <si>
    <t>Agriculture (Other)</t>
  </si>
  <si>
    <t>BNI Gold Coast</t>
  </si>
  <si>
    <t>Gulf Stream Brewing, 1105 NE 13th St, Fort Lauderdale, FL, 33304</t>
  </si>
  <si>
    <t>Andres Manjarres</t>
  </si>
  <si>
    <t>954-303-8682</t>
  </si>
  <si>
    <t>Gulf Stream Brewing, 1105 NE 13th St, Fort Lauderdale, FL, 33305</t>
  </si>
  <si>
    <t>Andrew Novak</t>
  </si>
  <si>
    <t>Gulf Stream Brewing, 1105 NE 13th St, Fort Lauderdale, FL, 33306</t>
  </si>
  <si>
    <t>Charles Bell</t>
  </si>
  <si>
    <t>Bell &amp; Bell</t>
  </si>
  <si>
    <t>Gulf Stream Brewing, 1105 NE 13th St, Fort Lauderdale, FL, 33307</t>
  </si>
  <si>
    <t>Dana DuBois</t>
  </si>
  <si>
    <t>Pines Insurance</t>
  </si>
  <si>
    <t>954-278-8228</t>
  </si>
  <si>
    <t>Gulf Stream Brewing, 1105 NE 13th St, Fort Lauderdale, FL, 33308</t>
  </si>
  <si>
    <t>Kate Zhurko</t>
  </si>
  <si>
    <t>954-734-5980</t>
  </si>
  <si>
    <t>Gulf Stream Brewing, 1105 NE 13th St, Fort Lauderdale, FL, 33309</t>
  </si>
  <si>
    <t>Mike Robinson</t>
  </si>
  <si>
    <t>Professional Prep and Paint</t>
  </si>
  <si>
    <t>Gulf Stream Brewing, 1105 NE 13th St, Fort Lauderdale, FL, 33310</t>
  </si>
  <si>
    <t>Paige Mitchell</t>
  </si>
  <si>
    <t>Gulf Stream Brewing, 1105 NE 13th St, Fort Lauderdale, FL, 33311</t>
  </si>
  <si>
    <t>Stephane Olivero</t>
  </si>
  <si>
    <t>CEL CONSTRUCTION MANAGEMENT</t>
  </si>
  <si>
    <t>Gulf Stream Brewing, 1105 NE 13th St, Fort Lauderdale, FL, 33312</t>
  </si>
  <si>
    <t>Tadeu Szpoganicz</t>
  </si>
  <si>
    <t>ClearWave Dental &amp; Aesthetics</t>
  </si>
  <si>
    <t>954-345-5200</t>
  </si>
  <si>
    <t>Gulf Stream Brewing, 1105 NE 13th St, Fort Lauderdale, FL, 33313</t>
  </si>
  <si>
    <t>Teofani Trajchevska</t>
  </si>
  <si>
    <t>Gulf Stream Brewing, 1105 NE 13th St, Fort Lauderdale, FL, 33314</t>
  </si>
  <si>
    <t>Tim Davis</t>
  </si>
  <si>
    <t>New City Players</t>
  </si>
  <si>
    <t>+19545910818</t>
  </si>
  <si>
    <t>Gulf Stream Brewing, 1105 NE 13th St, Fort Lauderdale, FL, 33315</t>
  </si>
  <si>
    <t>Victor Arocho</t>
  </si>
  <si>
    <t>SolvoGlobal</t>
  </si>
  <si>
    <t>Offshore Company Set up</t>
  </si>
  <si>
    <t>Gulf Stream Brewing, 1105 NE 13th St, Fort Lauderdale, FL, 33316</t>
  </si>
  <si>
    <t>Viota Louis-Senghor</t>
  </si>
  <si>
    <t>FIT Financial</t>
  </si>
  <si>
    <t>Gulf Stream Brewing, 1105 NE 13th St, Fort Lauderdale, FL, 33317</t>
  </si>
  <si>
    <t>Yana Hajtol</t>
  </si>
  <si>
    <t>BDO USA</t>
  </si>
  <si>
    <t>+19547073716</t>
  </si>
  <si>
    <t>BNI Elite</t>
  </si>
  <si>
    <t>Annie Roa</t>
  </si>
  <si>
    <t>Concierge Title Agency</t>
  </si>
  <si>
    <t>Ariana Ortega</t>
  </si>
  <si>
    <t>AR MORTGAGE TEAM</t>
  </si>
  <si>
    <t>Bria Harris</t>
  </si>
  <si>
    <t>Impress Tax Service</t>
  </si>
  <si>
    <t>754-900-9142</t>
  </si>
  <si>
    <t>Christopher Velasquez</t>
  </si>
  <si>
    <t>Velasquez Dolan Soler</t>
  </si>
  <si>
    <t>Eduardo Briones</t>
  </si>
  <si>
    <t>Karen Cardinale-Sneed</t>
  </si>
  <si>
    <t>COLDWELL BANKER</t>
  </si>
  <si>
    <t>Maryam Sharifi</t>
  </si>
  <si>
    <t>Global Enlightenment Academy Inc.</t>
  </si>
  <si>
    <t>Matthew Peon</t>
  </si>
  <si>
    <t>MCMG Tax</t>
  </si>
  <si>
    <t>954-228-3374</t>
  </si>
  <si>
    <t>Nicholas Almeida</t>
  </si>
  <si>
    <t>Onsight Property Inspection</t>
  </si>
  <si>
    <t>Paul Lattibeaudaire</t>
  </si>
  <si>
    <t>Stacey Meyerson</t>
  </si>
  <si>
    <t>BNI Luxury</t>
  </si>
  <si>
    <t>Chad Scott</t>
  </si>
  <si>
    <t>The Truth About Lending</t>
  </si>
  <si>
    <t>(954) 275-1563</t>
  </si>
  <si>
    <t>Charles Chaplin</t>
  </si>
  <si>
    <t>Kanenbley-Chaplin</t>
  </si>
  <si>
    <t>Harold Batista</t>
  </si>
  <si>
    <t>Insurance Answers Inc.</t>
  </si>
  <si>
    <t>954-325-7611</t>
  </si>
  <si>
    <t>JOSE COMPANIONI</t>
  </si>
  <si>
    <t>Companioni-Castellanos</t>
  </si>
  <si>
    <t>Joseph Sexton</t>
  </si>
  <si>
    <t>citizenshealthplans.com</t>
  </si>
  <si>
    <t>Michael McLaughlin</t>
  </si>
  <si>
    <t>Premier Associates Realty</t>
  </si>
  <si>
    <t>+19546541457</t>
  </si>
  <si>
    <t>Paul Taubman</t>
  </si>
  <si>
    <t>Digital Maestro</t>
  </si>
  <si>
    <t>908 219-8018</t>
  </si>
  <si>
    <t>Raul Andres</t>
  </si>
  <si>
    <t>Rise Above Home Inspections</t>
  </si>
  <si>
    <t>+1(561)806-9444</t>
  </si>
  <si>
    <t>BNI Abundance</t>
  </si>
  <si>
    <t>Tower Club, 100 S.E. 3rd Avenue, 28th Floor, Fort Lauderdale, FL, 33394</t>
  </si>
  <si>
    <t>Austin Bergman</t>
  </si>
  <si>
    <t>Lauderdale ONE</t>
  </si>
  <si>
    <t>954-913-5357</t>
  </si>
  <si>
    <t>Tower Club, 100 S.E. 3rd Avenue, 28th Floor, Fort Lauderdale, FL, 33395</t>
  </si>
  <si>
    <t>Bobby Bolling</t>
  </si>
  <si>
    <t>Asc Advisors LLC</t>
  </si>
  <si>
    <t>954-937-2277</t>
  </si>
  <si>
    <t>Tower Club, 100 S.E. 3rd Avenue, 28th Floor, Fort Lauderdale, FL, 33396</t>
  </si>
  <si>
    <t>Briana Dyer</t>
  </si>
  <si>
    <t>Art of Drawers</t>
  </si>
  <si>
    <t>Tower Club, 100 S.E. 3rd Avenue, 28th Floor, Fort Lauderdale, FL, 33397</t>
  </si>
  <si>
    <t>Chantal Kaelbel</t>
  </si>
  <si>
    <t>Tower Club, 100 S.E. 3rd Avenue, 28th Floor, Fort Lauderdale, FL, 33398</t>
  </si>
  <si>
    <t>Cole Barr</t>
  </si>
  <si>
    <t>Tower Club, 100 S.E. 3rd Avenue, 28th Floor, Fort Lauderdale, FL, 33399</t>
  </si>
  <si>
    <t>David Armas Jr</t>
  </si>
  <si>
    <t>Lending Haus LLC</t>
  </si>
  <si>
    <t>786-897-4703</t>
  </si>
  <si>
    <t>Tower Club, 100 S.E. 3rd Avenue, 28th Floor, Fort Lauderdale, FL, 33400</t>
  </si>
  <si>
    <t>David DePietro</t>
  </si>
  <si>
    <t>Fuss Free AC</t>
  </si>
  <si>
    <t>Tower Club, 100 S.E. 3rd Avenue, 28th Floor, Fort Lauderdale, FL, 33401</t>
  </si>
  <si>
    <t>David Lopez-Robles</t>
  </si>
  <si>
    <t>Express Life Family Chiropractic</t>
  </si>
  <si>
    <t>954-769-1585</t>
  </si>
  <si>
    <t>Tower Club, 100 S.E. 3rd Avenue, 28th Floor, Fort Lauderdale, FL, 33402</t>
  </si>
  <si>
    <t>Donovan Quick</t>
  </si>
  <si>
    <t>The MRI Guys</t>
  </si>
  <si>
    <t>Tower Club, 100 S.E. 3rd Avenue, 28th Floor, Fort Lauderdale, FL, 33403</t>
  </si>
  <si>
    <t>Emilio Lenzi</t>
  </si>
  <si>
    <t>Attorney's Key Title</t>
  </si>
  <si>
    <t>Tower Club, 100 S.E. 3rd Avenue, 28th Floor, Fort Lauderdale, FL, 33404</t>
  </si>
  <si>
    <t>Gabriel Ocanto</t>
  </si>
  <si>
    <t>PatchMaster Fort Lauderdale</t>
  </si>
  <si>
    <t>Drywall</t>
  </si>
  <si>
    <t>Tower Club, 100 S.E. 3rd Avenue, 28th Floor, Fort Lauderdale, FL, 33405</t>
  </si>
  <si>
    <t>Hesham Abdel-Salam</t>
  </si>
  <si>
    <t>Theracave Physical Therapy</t>
  </si>
  <si>
    <t>Tower Club, 100 S.E. 3rd Avenue, 28th Floor, Fort Lauderdale, FL, 33406</t>
  </si>
  <si>
    <t>Jared Mendez</t>
  </si>
  <si>
    <t>We Insure Davie</t>
  </si>
  <si>
    <t>Tower Club, 100 S.E. 3rd Avenue, 28th Floor, Fort Lauderdale, FL, 33407</t>
  </si>
  <si>
    <t>Jessica Garcia</t>
  </si>
  <si>
    <t>Jesselectric Outsourcing Corporation</t>
  </si>
  <si>
    <t>Tower Club, 100 S.E. 3rd Avenue, 28th Floor, Fort Lauderdale, FL, 33408</t>
  </si>
  <si>
    <t>Joshua Osborn</t>
  </si>
  <si>
    <t>Rosenberg &amp; Cummings PLLC</t>
  </si>
  <si>
    <t>Tower Club, 100 S.E. 3rd Avenue, 28th Floor, Fort Lauderdale, FL, 33409</t>
  </si>
  <si>
    <t>Juan Ortega</t>
  </si>
  <si>
    <t>Juan P Ortega</t>
  </si>
  <si>
    <t>Online Marketing</t>
  </si>
  <si>
    <t>954-716-8740</t>
  </si>
  <si>
    <t>Tower Club, 100 S.E. 3rd Avenue, 28th Floor, Fort Lauderdale, FL, 33410</t>
  </si>
  <si>
    <t>Kelly Shepard</t>
  </si>
  <si>
    <t>All Weather Tite Roofing</t>
  </si>
  <si>
    <t>754-332-8282</t>
  </si>
  <si>
    <t>Tower Club, 100 S.E. 3rd Avenue, 28th Floor, Fort Lauderdale, FL, 33411</t>
  </si>
  <si>
    <t>Kevin Guerrero</t>
  </si>
  <si>
    <t>954-751-9363</t>
  </si>
  <si>
    <t>Tower Club, 100 S.E. 3rd Avenue, 28th Floor, Fort Lauderdale, FL, 33412</t>
  </si>
  <si>
    <t>Kyle Spence</t>
  </si>
  <si>
    <t>All Dry Services</t>
  </si>
  <si>
    <t>330-219-3990</t>
  </si>
  <si>
    <t>Tower Club, 100 S.E. 3rd Avenue, 28th Floor, Fort Lauderdale, FL, 33413</t>
  </si>
  <si>
    <t>Lady Cueva</t>
  </si>
  <si>
    <t>Adjust It Right</t>
  </si>
  <si>
    <t>Tower Club, 100 S.E. 3rd Avenue, 28th Floor, Fort Lauderdale, FL, 33414</t>
  </si>
  <si>
    <t>Lewis Reif</t>
  </si>
  <si>
    <t>Allied Kitchen and Bath</t>
  </si>
  <si>
    <t>954-564-1611</t>
  </si>
  <si>
    <t>Tower Club, 100 S.E. 3rd Avenue, 28th Floor, Fort Lauderdale, FL, 33415</t>
  </si>
  <si>
    <t>Luis de la Guardia</t>
  </si>
  <si>
    <t>Teknnika Network Solutions</t>
  </si>
  <si>
    <t>954-667-9481</t>
  </si>
  <si>
    <t>Tower Club, 100 S.E. 3rd Avenue, 28th Floor, Fort Lauderdale, FL, 33416</t>
  </si>
  <si>
    <t>Megan McCall</t>
  </si>
  <si>
    <t>MC Family Law Firm</t>
  </si>
  <si>
    <t>Tower Club, 100 S.E. 3rd Avenue, 28th Floor, Fort Lauderdale, FL, 33417</t>
  </si>
  <si>
    <t>Roberto Perez</t>
  </si>
  <si>
    <t>Umbrella General Solutions</t>
  </si>
  <si>
    <t>Tower Club, 100 S.E. 3rd Avenue, 28th Floor, Fort Lauderdale, FL, 33418</t>
  </si>
  <si>
    <t>Saranjeet Singh</t>
  </si>
  <si>
    <t>Financial Investments</t>
  </si>
  <si>
    <t>(716) 275-3806</t>
  </si>
  <si>
    <t>BNI Tower Club</t>
  </si>
  <si>
    <t>Abe Ruiz</t>
  </si>
  <si>
    <t>PAjOE.com Public Adjusters</t>
  </si>
  <si>
    <t>561-843-6618</t>
  </si>
  <si>
    <t>Alec Berizzi</t>
  </si>
  <si>
    <t>Sentinel Insurance</t>
  </si>
  <si>
    <t>+19547564929</t>
  </si>
  <si>
    <t>Ashleigh McKenzie</t>
  </si>
  <si>
    <t>Attorney</t>
  </si>
  <si>
    <t>(954) 247-1297</t>
  </si>
  <si>
    <t>Ashley Alderette</t>
  </si>
  <si>
    <t>Alderette Therapeutic Services</t>
  </si>
  <si>
    <t>Beth Jerry</t>
  </si>
  <si>
    <t>Rustic Pencil Marketing &amp; Branding</t>
  </si>
  <si>
    <t>Bill Kinirons</t>
  </si>
  <si>
    <t>BMK Media Outsourced IT Solutions</t>
  </si>
  <si>
    <t>Brian Richman</t>
  </si>
  <si>
    <t>Progen Capital</t>
  </si>
  <si>
    <t>Brittany Hoffman</t>
  </si>
  <si>
    <t>Daniel Bell</t>
  </si>
  <si>
    <t>The Witty Wealth Workshop</t>
  </si>
  <si>
    <t>Derrick Flitcroft</t>
  </si>
  <si>
    <t>Castle Tournaments</t>
  </si>
  <si>
    <t>Guy Monticello</t>
  </si>
  <si>
    <t>Tinzi</t>
  </si>
  <si>
    <t>Jake Tobin</t>
  </si>
  <si>
    <t>Transworld Business Advisor</t>
  </si>
  <si>
    <t>Jenny Chapter</t>
  </si>
  <si>
    <t>Quality Termite and Insulation</t>
  </si>
  <si>
    <t>Jonathan Simpson</t>
  </si>
  <si>
    <t>Max Fisch Branch - Revolution Mortgage</t>
  </si>
  <si>
    <t>Jordan Wright</t>
  </si>
  <si>
    <t>Hersh Kirtman Injury Lawyers</t>
  </si>
  <si>
    <t>Justin Nepola</t>
  </si>
  <si>
    <t>Peoples Title of South Florida</t>
  </si>
  <si>
    <t>Kennedy Guerra</t>
  </si>
  <si>
    <t>Fred Astaire Imperial Point</t>
  </si>
  <si>
    <t>Art &amp; Entertainment (Other)</t>
  </si>
  <si>
    <t>+1 (512) 934-4424</t>
  </si>
  <si>
    <t>Madison Gianchetta</t>
  </si>
  <si>
    <t>Icon Realty</t>
  </si>
  <si>
    <t>MariaJose Villavicencio</t>
  </si>
  <si>
    <t>Family Central</t>
  </si>
  <si>
    <t>Mario Mihalik</t>
  </si>
  <si>
    <t>Mr. Paw Portraits</t>
  </si>
  <si>
    <t>754-240-9059</t>
  </si>
  <si>
    <t>Matthew Bridges</t>
  </si>
  <si>
    <t>All-Ways Inspections LLC</t>
  </si>
  <si>
    <t>Melissa Jazmine Pabon PA</t>
  </si>
  <si>
    <t>Deja Blue Retreat LLC</t>
  </si>
  <si>
    <t>Moshe Aronov</t>
  </si>
  <si>
    <t>Greener Path Retirement Planning</t>
  </si>
  <si>
    <t>Nancy Zamor</t>
  </si>
  <si>
    <t>954-01-1115</t>
  </si>
  <si>
    <t>Paul Brecher</t>
  </si>
  <si>
    <t>Stellar Payments Systems</t>
  </si>
  <si>
    <t>845-558-7255</t>
  </si>
  <si>
    <t>Tower Club, 100 S.E. 3rd Avenue, 28th Floor, Fort Lauderdale, FL, 33419</t>
  </si>
  <si>
    <t>Pierre Smith</t>
  </si>
  <si>
    <t>Information Consultants Inc</t>
  </si>
  <si>
    <t>954-802-0636</t>
  </si>
  <si>
    <t>Tower Club, 100 S.E. 3rd Avenue, 28th Floor, Fort Lauderdale, FL, 33420</t>
  </si>
  <si>
    <t>Robert "Bob" Diaz</t>
  </si>
  <si>
    <t>500Law</t>
  </si>
  <si>
    <t>Tower Club, 100 S.E. 3rd Avenue, 28th Floor, Fort Lauderdale, FL, 33421</t>
  </si>
  <si>
    <t>Sean McHenry</t>
  </si>
  <si>
    <t>Avalon Builders</t>
  </si>
  <si>
    <t>Tower Club, 100 S.E. 3rd Avenue, 28th Floor, Fort Lauderdale, FL, 33422</t>
  </si>
  <si>
    <t>Steven Thompson</t>
  </si>
  <si>
    <t>Fairway Insurance Group</t>
  </si>
  <si>
    <t>954-772-9819</t>
  </si>
  <si>
    <t>Tower Club, 100 S.E. 3rd Avenue, 28th Floor, Fort Lauderdale, FL, 33423</t>
  </si>
  <si>
    <t>Steven Bates</t>
  </si>
  <si>
    <t>Jamco Services LLC</t>
  </si>
  <si>
    <t>941-368-8442</t>
  </si>
  <si>
    <t>Tower Club, 100 S.E. 3rd Avenue, 28th Floor, Fort Lauderdale, FL, 33424</t>
  </si>
  <si>
    <t>Tamoy Thelwell</t>
  </si>
  <si>
    <t>Luxury Travel Concierge - LuxeStyle Travel</t>
  </si>
  <si>
    <t>1-888-905-7366</t>
  </si>
  <si>
    <t>Tower Club, 100 S.E. 3rd Avenue, 28th Floor, Fort Lauderdale, FL, 33425</t>
  </si>
  <si>
    <t>TIMOTHY GIPE</t>
  </si>
  <si>
    <t>EE&amp;G Construction &amp; Restoration</t>
  </si>
  <si>
    <t>Tower Club, 100 S.E. 3rd Avenue, 28th Floor, Fort Lauderdale, FL, 33426</t>
  </si>
  <si>
    <t>Veronica Robinson</t>
  </si>
  <si>
    <t>Law Offices of E. F. Robinson</t>
  </si>
  <si>
    <t>Tower Club, 100 S.E. 3rd Avenue, 28th Floor, Fort Lauderdale, FL, 33427</t>
  </si>
  <si>
    <t>Yimeidy González</t>
  </si>
  <si>
    <t>The Cleaning Kingdom</t>
  </si>
  <si>
    <t>BNI Unidos</t>
  </si>
  <si>
    <t>Plantation Preserve Restaurant, 7050 W Broward Blvd., Plantation, FL, 33317</t>
  </si>
  <si>
    <t>Alberto Perdomo</t>
  </si>
  <si>
    <t>North Star Adjusters</t>
  </si>
  <si>
    <t>Plantation Preserve Restaurant, 7050 W Broward Blvd., Plantation, FL, 33318</t>
  </si>
  <si>
    <t>Alejandro Gonzalez</t>
  </si>
  <si>
    <t>Plantation Preserve Restaurant, 7050 W Broward Blvd., Plantation, FL, 33319</t>
  </si>
  <si>
    <t>Alvaro Nino</t>
  </si>
  <si>
    <t>Mind Twister Media</t>
  </si>
  <si>
    <t>Plantation Preserve Restaurant, 7050 W Broward Blvd., Plantation, FL, 33320</t>
  </si>
  <si>
    <t>Ashton Medina</t>
  </si>
  <si>
    <t>GradePoint Financial Group</t>
  </si>
  <si>
    <t>+1 (786) 282-8154</t>
  </si>
  <si>
    <t>Plantation Preserve Restaurant, 7050 W Broward Blvd., Plantation, FL, 33321</t>
  </si>
  <si>
    <t>Belkis Camacho</t>
  </si>
  <si>
    <t>EstateQuest Realty LLC</t>
  </si>
  <si>
    <t>954-438-8803</t>
  </si>
  <si>
    <t>Plantation Preserve Restaurant, 7050 W Broward Blvd., Plantation, FL, 33322</t>
  </si>
  <si>
    <t>Cristian Hernandez</t>
  </si>
  <si>
    <t>ProHealth Chiropractic &amp; Injury Center</t>
  </si>
  <si>
    <t>954-842-2384</t>
  </si>
  <si>
    <t>Plantation Preserve Restaurant, 7050 W Broward Blvd., Plantation, FL, 33323</t>
  </si>
  <si>
    <t>Daniel Ferreira</t>
  </si>
  <si>
    <t>Advocate Health</t>
  </si>
  <si>
    <t>(305) 798.0889</t>
  </si>
  <si>
    <t>Plantation Preserve Restaurant, 7050 W Broward Blvd., Plantation, FL, 33324</t>
  </si>
  <si>
    <t>David Nunez</t>
  </si>
  <si>
    <t>Plantation Preserve Restaurant, 7050 W Broward Blvd., Plantation, FL, 33325</t>
  </si>
  <si>
    <t>Enrique Alvarez</t>
  </si>
  <si>
    <t>Sentripoint Lending Solutions</t>
  </si>
  <si>
    <t>+17873680124</t>
  </si>
  <si>
    <t>Plantation Preserve Restaurant, 7050 W Broward Blvd., Plantation, FL, 33326</t>
  </si>
  <si>
    <t>Fiorella Del Aguila</t>
  </si>
  <si>
    <t>One for Law Group</t>
  </si>
  <si>
    <t>Plantation Preserve Restaurant, 7050 W Broward Blvd., Plantation, FL, 33327</t>
  </si>
  <si>
    <t>Gabriel Perez</t>
  </si>
  <si>
    <t>Zelaya &amp; Perez</t>
  </si>
  <si>
    <t>Plantation Preserve Restaurant, 7050 W Broward Blvd., Plantation, FL, 33328</t>
  </si>
  <si>
    <t>Isaul Gonzalez</t>
  </si>
  <si>
    <t>365 Property Restoration</t>
  </si>
  <si>
    <t>305-775-1325</t>
  </si>
  <si>
    <t>Plantation Preserve Restaurant, 7050 W Broward Blvd., Plantation, FL, 33329</t>
  </si>
  <si>
    <t>Jessy Allain</t>
  </si>
  <si>
    <t>Kids In Distress</t>
  </si>
  <si>
    <t>Plantation Preserve Restaurant, 7050 W Broward Blvd., Plantation, FL, 33330</t>
  </si>
  <si>
    <t>Laura Genoni</t>
  </si>
  <si>
    <t>Next Goal Management</t>
  </si>
  <si>
    <t>Plantation Preserve Restaurant, 7050 W Broward Blvd., Plantation, FL, 33331</t>
  </si>
  <si>
    <t>Luis Aguilera</t>
  </si>
  <si>
    <t>Paramount Tax &amp; Accounting</t>
  </si>
  <si>
    <t>Plantation Preserve Restaurant, 7050 W Broward Blvd., Plantation, FL, 33332</t>
  </si>
  <si>
    <t>Maria Recondo</t>
  </si>
  <si>
    <t>JMM Fix &amp; Remodel</t>
  </si>
  <si>
    <t>Plantation Preserve Restaurant, 7050 W Broward Blvd., Plantation, FL, 33333</t>
  </si>
  <si>
    <t>Monique A Low</t>
  </si>
  <si>
    <t>South Florida Litigation Group</t>
  </si>
  <si>
    <t>Plantation Preserve Restaurant, 7050 W Broward Blvd., Plantation, FL, 33334</t>
  </si>
  <si>
    <t>Nicolas Guevara</t>
  </si>
  <si>
    <t>Kover Solutions</t>
  </si>
  <si>
    <t>954-770-1987</t>
  </si>
  <si>
    <t>Plantation Preserve Restaurant, 7050 W Broward Blvd., Plantation, FL, 33335</t>
  </si>
  <si>
    <t>Patricia Tomassino</t>
  </si>
  <si>
    <t>Magnolia Flowers LLC</t>
  </si>
  <si>
    <t>Florist</t>
  </si>
  <si>
    <t>954-675-4402</t>
  </si>
  <si>
    <t>Plantation Preserve Restaurant, 7050 W Broward Blvd., Plantation, FL, 33336</t>
  </si>
  <si>
    <t>Ramon Heredia</t>
  </si>
  <si>
    <t>Postnet</t>
  </si>
  <si>
    <t>Plantation Preserve Restaurant, 7050 W Broward Blvd., Plantation, FL, 33337</t>
  </si>
  <si>
    <t>Rosenny Burgos</t>
  </si>
  <si>
    <t>Rosenny Burgos Lawyer</t>
  </si>
  <si>
    <t>305-392-7475</t>
  </si>
  <si>
    <t>Plantation Preserve Restaurant, 7050 W Broward Blvd., Plantation, FL, 33338</t>
  </si>
  <si>
    <t>Allied Insurance Group</t>
  </si>
  <si>
    <t>+19544758886</t>
  </si>
  <si>
    <t>Plantation Preserve Restaurant, 7050 W Broward Blvd., Plantation, FL, 33339</t>
  </si>
  <si>
    <t>William Soler</t>
  </si>
  <si>
    <t>Velasquez</t>
  </si>
  <si>
    <t>954-382-0533</t>
  </si>
  <si>
    <t>BNI Millionaires</t>
  </si>
  <si>
    <t>Renaissance Hotel, 1230 South Pine Island Road, Plantation, FL, 33324</t>
  </si>
  <si>
    <t>Anthony DeCerbo</t>
  </si>
  <si>
    <t>Merrill</t>
  </si>
  <si>
    <t>Renaissance Hotel, 1230 South Pine Island Road, Plantation, FL, 33325</t>
  </si>
  <si>
    <t>Arthur Palermo Jr</t>
  </si>
  <si>
    <t>Renaissance Hotel, 1230 South Pine Island Road, Plantation, FL, 33326</t>
  </si>
  <si>
    <t>Augusto (Gus) TheCaptain</t>
  </si>
  <si>
    <t>The Captains.General Contractors</t>
  </si>
  <si>
    <t>Renaissance Hotel, 1230 South Pine Island Road, Plantation, FL, 33327</t>
  </si>
  <si>
    <t>Brandon Hochman</t>
  </si>
  <si>
    <t>Med Plus Centers</t>
  </si>
  <si>
    <t>954-430-4210</t>
  </si>
  <si>
    <t>Renaissance Hotel, 1230 South Pine Island Road, Plantation, FL, 33328</t>
  </si>
  <si>
    <t>Camille Burns</t>
  </si>
  <si>
    <t>Camille Burns/REMAX</t>
  </si>
  <si>
    <t>Renaissance Hotel, 1230 South Pine Island Road, Plantation, FL, 33329</t>
  </si>
  <si>
    <t>Carlos De Gannes</t>
  </si>
  <si>
    <t>Cedenos Comfort Cooling.</t>
  </si>
  <si>
    <t>954-473-2722</t>
  </si>
  <si>
    <t>Renaissance Hotel, 1230 South Pine Island Road, Plantation, FL, 33330</t>
  </si>
  <si>
    <t>Crystal Shelton</t>
  </si>
  <si>
    <t>Renaissance Hotel, 1230 South Pine Island Road, Plantation, FL, 33331</t>
  </si>
  <si>
    <t>Daniel Fleischer</t>
  </si>
  <si>
    <t>Daniel T. Fleischer</t>
  </si>
  <si>
    <t>Renaissance Hotel, 1230 South Pine Island Road, Plantation, FL, 33332</t>
  </si>
  <si>
    <t>Daniel Garcia</t>
  </si>
  <si>
    <t>FixCleanFL</t>
  </si>
  <si>
    <t>954-224-2683</t>
  </si>
  <si>
    <t>Renaissance Hotel, 1230 South Pine Island Road, Plantation, FL, 33333</t>
  </si>
  <si>
    <t>Dominica Horvath</t>
  </si>
  <si>
    <t>Pro Tech Roofing and Construction LLC</t>
  </si>
  <si>
    <t>954-593-8240</t>
  </si>
  <si>
    <t>Renaissance Hotel, 1230 South Pine Island Road, Plantation, FL, 33334</t>
  </si>
  <si>
    <t>Elvis Quiroz</t>
  </si>
  <si>
    <t>Pitbull Claim Adjusters</t>
  </si>
  <si>
    <t>954-465-1507</t>
  </si>
  <si>
    <t>Renaissance Hotel, 1230 South Pine Island Road, Plantation, FL, 33335</t>
  </si>
  <si>
    <t>Hanit Simon</t>
  </si>
  <si>
    <t>Kon + Braverman</t>
  </si>
  <si>
    <t>Renaissance Hotel, 1230 South Pine Island Road, Plantation, FL, 33336</t>
  </si>
  <si>
    <t>Ignacio Escondon</t>
  </si>
  <si>
    <t>Capital prime Lending</t>
  </si>
  <si>
    <t>954-832-8574</t>
  </si>
  <si>
    <t>Renaissance Hotel, 1230 South Pine Island Road, Plantation, FL, 33337</t>
  </si>
  <si>
    <t>Jeisson Gil Duque</t>
  </si>
  <si>
    <t>Renaissance Hotel, 1230 South Pine Island Road, Plantation, FL, 33338</t>
  </si>
  <si>
    <t>Joey Padilla</t>
  </si>
  <si>
    <t>Padilla Law P.A.</t>
  </si>
  <si>
    <t>(954) 756-3844</t>
  </si>
  <si>
    <t>Renaissance Hotel, 1230 South Pine Island Road, Plantation, FL, 33339</t>
  </si>
  <si>
    <t>Jon Hinden</t>
  </si>
  <si>
    <t>McLean &amp; Arbeiter</t>
  </si>
  <si>
    <t>954-587-3058</t>
  </si>
  <si>
    <t>Renaissance Hotel, 1230 South Pine Island Road, Plantation, FL, 33340</t>
  </si>
  <si>
    <t>Joseph Desanti</t>
  </si>
  <si>
    <t>Renaissance Hotel, 1230 South Pine Island Road, Plantation, FL, 33341</t>
  </si>
  <si>
    <t>Joshua Frachtman</t>
  </si>
  <si>
    <t>Zimmerman &amp; Frachtman</t>
  </si>
  <si>
    <t>954-509-1900</t>
  </si>
  <si>
    <t>Renaissance Hotel, 1230 South Pine Island Road, Plantation, FL, 33342</t>
  </si>
  <si>
    <t>Juan Zafra</t>
  </si>
  <si>
    <t>Comcast Business</t>
  </si>
  <si>
    <t>Renaissance Hotel, 1230 South Pine Island Road, Plantation, FL, 33343</t>
  </si>
  <si>
    <t>Juliana Cabal</t>
  </si>
  <si>
    <t>Paint EZ of Pembroke Pines</t>
  </si>
  <si>
    <t>+5616473466</t>
  </si>
  <si>
    <t>Renaissance Hotel, 1230 South Pine Island Road, Plantation, FL, 33344</t>
  </si>
  <si>
    <t>Justin Harris</t>
  </si>
  <si>
    <t>RH Realty</t>
  </si>
  <si>
    <t>Renaissance Hotel, 1230 South Pine Island Road, Plantation, FL, 33345</t>
  </si>
  <si>
    <t>Leighton Campbell</t>
  </si>
  <si>
    <t>1st Allegiant Insurance</t>
  </si>
  <si>
    <t>954-378-3235</t>
  </si>
  <si>
    <t>Renaissance Hotel, 1230 South Pine Island Road, Plantation, FL, 33346</t>
  </si>
  <si>
    <t>Plinio Vargas</t>
  </si>
  <si>
    <t>Professional Negotiators</t>
  </si>
  <si>
    <t>305-493-1900</t>
  </si>
  <si>
    <t>Renaissance Hotel, 1230 South Pine Island Road, Plantation, FL, 33347</t>
  </si>
  <si>
    <t>Rami Smidi</t>
  </si>
  <si>
    <t>The CPU Squad</t>
  </si>
  <si>
    <t>Renaissance Hotel, 1230 South Pine Island Road, Plantation, FL, 33348</t>
  </si>
  <si>
    <t>Randy Petron</t>
  </si>
  <si>
    <t>Gary's Auto Body West</t>
  </si>
  <si>
    <t>Auto/Car Body Shop</t>
  </si>
  <si>
    <t>Renaissance Hotel, 1230 South Pine Island Road, Plantation, FL, 33349</t>
  </si>
  <si>
    <t>Raynel Pérez</t>
  </si>
  <si>
    <t>Big Bang Detailing LLC</t>
  </si>
  <si>
    <t>Vehicle Cleaning/Car Wash</t>
  </si>
  <si>
    <t>Renaissance Hotel, 1230 South Pine Island Road, Plantation, FL, 33350</t>
  </si>
  <si>
    <t>Richard Petryk</t>
  </si>
  <si>
    <t>Richard C Petryk</t>
  </si>
  <si>
    <t>954-763-3120</t>
  </si>
  <si>
    <t>Renaissance Hotel, 1230 South Pine Island Road, Plantation, FL, 33351</t>
  </si>
  <si>
    <t>Robert Bigge</t>
  </si>
  <si>
    <t>Bigge &amp; Rodriguez</t>
  </si>
  <si>
    <t>Renaissance Hotel, 1230 South Pine Island Road, Plantation, FL, 33352</t>
  </si>
  <si>
    <t>Steve Rodgers</t>
  </si>
  <si>
    <t>Absolute Property Inspections</t>
  </si>
  <si>
    <t>954-348-1337</t>
  </si>
  <si>
    <t>Renaissance Hotel, 1230 South Pine Island Road, Plantation, FL, 33353</t>
  </si>
  <si>
    <t>Theodore Swaebe</t>
  </si>
  <si>
    <t>Theodore A. Swaebe P.A.</t>
  </si>
  <si>
    <t>305-905-1797</t>
  </si>
  <si>
    <t>Renaissance Hotel, 1230 South Pine Island Road, Plantation, FL, 33354</t>
  </si>
  <si>
    <t>Xuan Thuy Nguyen</t>
  </si>
  <si>
    <t>Jazzy Eyes</t>
  </si>
  <si>
    <t>BNI Manhattan 62 - Elevate</t>
  </si>
  <si>
    <t>A. Chris Eslami</t>
  </si>
  <si>
    <t>ADT</t>
  </si>
  <si>
    <t>+16467031699</t>
  </si>
  <si>
    <t>Aaron Pierce</t>
  </si>
  <si>
    <t>The Law Offices of Aaron H. Pierce</t>
  </si>
  <si>
    <t>212 882 1752</t>
  </si>
  <si>
    <t>Adam Winokur</t>
  </si>
  <si>
    <t>ABW Compliance Services</t>
  </si>
  <si>
    <t>347 525 1107</t>
  </si>
  <si>
    <t>Adam Brett Kapner</t>
  </si>
  <si>
    <t>NYC Apartment Management</t>
  </si>
  <si>
    <t>212 787 1214</t>
  </si>
  <si>
    <t>Alexandra Cohen</t>
  </si>
  <si>
    <t>ANC Consult</t>
  </si>
  <si>
    <t>646 889 8405</t>
  </si>
  <si>
    <t>Amy Noelle</t>
  </si>
  <si>
    <t>Lend a Hand Uganda-USA</t>
  </si>
  <si>
    <t>Anatoliy Chistov</t>
  </si>
  <si>
    <t>Pay 4 Performance SEO</t>
  </si>
  <si>
    <t>908 463 0133</t>
  </si>
  <si>
    <t>Andrew Kahner</t>
  </si>
  <si>
    <t>UBS</t>
  </si>
  <si>
    <t>212 626-8853</t>
  </si>
  <si>
    <t>Billy Joe Young</t>
  </si>
  <si>
    <t>Personal Fitness Concierge</t>
  </si>
  <si>
    <t>917-494-6300</t>
  </si>
  <si>
    <t>Bobbie Sauter</t>
  </si>
  <si>
    <t>518 225 7958</t>
  </si>
  <si>
    <t>Brett Semenetz</t>
  </si>
  <si>
    <t>Ultimate Promo</t>
  </si>
  <si>
    <t>347 834 7360</t>
  </si>
  <si>
    <t>Briana Elledge</t>
  </si>
  <si>
    <t>Divine Light Photography</t>
  </si>
  <si>
    <t>Brittany Greer</t>
  </si>
  <si>
    <t>ZZ Driggs</t>
  </si>
  <si>
    <t>Office Services</t>
  </si>
  <si>
    <t>973-919-8831</t>
  </si>
  <si>
    <t>Carmela Bennett</t>
  </si>
  <si>
    <t>Carmela Bennett Consulting</t>
  </si>
  <si>
    <t>Carol Offman</t>
  </si>
  <si>
    <t>Inner Expressions</t>
  </si>
  <si>
    <t>914 671 8612</t>
  </si>
  <si>
    <t>Charles Rosenbaum</t>
  </si>
  <si>
    <t>Rad Hires</t>
  </si>
  <si>
    <t>211-634-7180</t>
  </si>
  <si>
    <t>Christoffer Brodhead</t>
  </si>
  <si>
    <t>B6 Real Estate Advisors</t>
  </si>
  <si>
    <t>646 933 2616</t>
  </si>
  <si>
    <t>Christopher White</t>
  </si>
  <si>
    <t>Computer &amp; Programming (Other)</t>
  </si>
  <si>
    <t>609 440 5507</t>
  </si>
  <si>
    <t>Cliff Schneider</t>
  </si>
  <si>
    <t>Cohen Schneider &amp; O'Neil</t>
  </si>
  <si>
    <t>212 365 8600</t>
  </si>
  <si>
    <t>Conrad Strabone</t>
  </si>
  <si>
    <t>E9 Digital</t>
  </si>
  <si>
    <t>646-694-0359</t>
  </si>
  <si>
    <t>Corey Anker</t>
  </si>
  <si>
    <t>Ankerline</t>
  </si>
  <si>
    <t>917 488 7699</t>
  </si>
  <si>
    <t>Dani Nodelman</t>
  </si>
  <si>
    <t>Nodelman Law</t>
  </si>
  <si>
    <t>212-710-2789</t>
  </si>
  <si>
    <t>Daniel Ruke</t>
  </si>
  <si>
    <t>Game Changers</t>
  </si>
  <si>
    <t>Daniel Weber</t>
  </si>
  <si>
    <t>Tower Copy East</t>
  </si>
  <si>
    <t>917 957 0541</t>
  </si>
  <si>
    <t>Danya Rogers Cohan</t>
  </si>
  <si>
    <t>Gotham Telecom</t>
  </si>
  <si>
    <t>845 304 5505</t>
  </si>
  <si>
    <t>David Davino</t>
  </si>
  <si>
    <t>Entertainer</t>
  </si>
  <si>
    <t>David Ofenloch</t>
  </si>
  <si>
    <t>Tarter</t>
  </si>
  <si>
    <t>212-574-0340</t>
  </si>
  <si>
    <t>Diego Lares</t>
  </si>
  <si>
    <t>Playground Studio</t>
  </si>
  <si>
    <t>Dominic Barletta</t>
  </si>
  <si>
    <t>A-Team Investigative Consultants</t>
  </si>
  <si>
    <t>914 772 6207</t>
  </si>
  <si>
    <t>Edward Varricchio</t>
  </si>
  <si>
    <t>VGC NYC inc</t>
  </si>
  <si>
    <t>212-580-6900</t>
  </si>
  <si>
    <t>Eric Lorenzo</t>
  </si>
  <si>
    <t>Mukamal &amp; Kleiner</t>
  </si>
  <si>
    <t>212 686 3838</t>
  </si>
  <si>
    <t>Esti Winkler</t>
  </si>
  <si>
    <t>Compass Westchester</t>
  </si>
  <si>
    <t>917 584 6986</t>
  </si>
  <si>
    <t>Frank Curcio</t>
  </si>
  <si>
    <t>Transworld Business Advisors</t>
  </si>
  <si>
    <t>845-288-4733</t>
  </si>
  <si>
    <t>Frank Galgano</t>
  </si>
  <si>
    <t>Brainstorm Live Entertainment</t>
  </si>
  <si>
    <t>Event &amp; Business-Service (Other)</t>
  </si>
  <si>
    <t>Guy Aboutboul</t>
  </si>
  <si>
    <t>Guaranteed Rate</t>
  </si>
  <si>
    <t>347 631 0804</t>
  </si>
  <si>
    <t>Harriet Zaffoni</t>
  </si>
  <si>
    <t>Harkiss Designs</t>
  </si>
  <si>
    <t>Heshy Feldman</t>
  </si>
  <si>
    <t>Amtrust Title</t>
  </si>
  <si>
    <t>201 320 6456</t>
  </si>
  <si>
    <t>Jackie Siracuse</t>
  </si>
  <si>
    <t>Absolute Real Estate of NY</t>
  </si>
  <si>
    <t>845-294-1220</t>
  </si>
  <si>
    <t>Jamie Morris</t>
  </si>
  <si>
    <t>Ninelight Media</t>
  </si>
  <si>
    <t>Video</t>
  </si>
  <si>
    <t>917-757-5541</t>
  </si>
  <si>
    <t>Jason Lefkowitz</t>
  </si>
  <si>
    <t>CFO Strategies LLC</t>
  </si>
  <si>
    <t>732-991-7974</t>
  </si>
  <si>
    <t>Jason Linde</t>
  </si>
  <si>
    <t>Sentient Design Works</t>
  </si>
  <si>
    <t>Jay Wright</t>
  </si>
  <si>
    <t>Precision Sprinkler Services LLC</t>
  </si>
  <si>
    <t>Transport &amp; Shipping (Other)</t>
  </si>
  <si>
    <t>914 261 2737</t>
  </si>
  <si>
    <t>Jeanie Engelbach</t>
  </si>
  <si>
    <t>apartmentjeanie</t>
  </si>
  <si>
    <t>Personal Services (Other)</t>
  </si>
  <si>
    <t>917 553 8600</t>
  </si>
  <si>
    <t>Jeffrey Anderson</t>
  </si>
  <si>
    <t>Atlantic Environmental Solutions Inc.</t>
  </si>
  <si>
    <t>Environmental Services</t>
  </si>
  <si>
    <t>201 876 9400</t>
  </si>
  <si>
    <t>Jeffrey Bernard</t>
  </si>
  <si>
    <t>The Rampart Insurance Group</t>
  </si>
  <si>
    <t>516 390 3778</t>
  </si>
  <si>
    <t>Jeffrey Pasternack</t>
  </si>
  <si>
    <t>NYC Extermination.com LLC</t>
  </si>
  <si>
    <t>917 337 3202</t>
  </si>
  <si>
    <t>Jeffrey Weiskopf</t>
  </si>
  <si>
    <t>Halperin &amp; Weiskopf</t>
  </si>
  <si>
    <t>212 935 2600</t>
  </si>
  <si>
    <t>Jesse Halliburton</t>
  </si>
  <si>
    <t>Prime Real Estate Group</t>
  </si>
  <si>
    <t>201 218 2685</t>
  </si>
  <si>
    <t>Jim Mills</t>
  </si>
  <si>
    <t>EnCompass Background Screening Solutions</t>
  </si>
  <si>
    <t>Security (Other)</t>
  </si>
  <si>
    <t>(606) 775-0489</t>
  </si>
  <si>
    <t>John Cipollone</t>
  </si>
  <si>
    <t>LM Cohen &amp; Company</t>
  </si>
  <si>
    <t>212-967-2300</t>
  </si>
  <si>
    <t>Jordan Knitzer</t>
  </si>
  <si>
    <t>347-268-3110</t>
  </si>
  <si>
    <t>Jordan Metzger</t>
  </si>
  <si>
    <t>Cole Schotz Meisel Forman &amp; Leonard</t>
  </si>
  <si>
    <t>646-563-8941</t>
  </si>
  <si>
    <t>Josh Doyle</t>
  </si>
  <si>
    <t>212 913 9062</t>
  </si>
  <si>
    <t>Joshua Perlman</t>
  </si>
  <si>
    <t>NYC Smile Spa</t>
  </si>
  <si>
    <t>212 838 2900</t>
  </si>
  <si>
    <t>Julia Mack</t>
  </si>
  <si>
    <t>Julia Mack Design</t>
  </si>
  <si>
    <t>Interior Architecture</t>
  </si>
  <si>
    <t>646 763 1898</t>
  </si>
  <si>
    <t>Katya Sverdlov</t>
  </si>
  <si>
    <t>Sverdlov Law PLLC</t>
  </si>
  <si>
    <t>Laura Deutsch</t>
  </si>
  <si>
    <t>Keller Williams</t>
  </si>
  <si>
    <t>908 273 2991</t>
  </si>
  <si>
    <t>Leo Young</t>
  </si>
  <si>
    <t>Cornell Communities</t>
  </si>
  <si>
    <t>Real Estate Investments</t>
  </si>
  <si>
    <t>917 860 3503</t>
  </si>
  <si>
    <t>Maura Bogardus</t>
  </si>
  <si>
    <t>Hudson Vallyer Career Development</t>
  </si>
  <si>
    <t>845 641 0484</t>
  </si>
  <si>
    <t>Michael Nerenberg</t>
  </si>
  <si>
    <t>Gorlick</t>
  </si>
  <si>
    <t>212-269-2500</t>
  </si>
  <si>
    <t>Michiko Yoshifuji</t>
  </si>
  <si>
    <t>Roots-mindful acupuncture</t>
  </si>
  <si>
    <t>Natalie Micale</t>
  </si>
  <si>
    <t>Natalie Micale Coaching</t>
  </si>
  <si>
    <t>828 772 5175</t>
  </si>
  <si>
    <t>Nathan Minett</t>
  </si>
  <si>
    <t>WAKE design development</t>
  </si>
  <si>
    <t>201-919-2914</t>
  </si>
  <si>
    <t>Nathaniel Schuetz</t>
  </si>
  <si>
    <t>Schuetz Property Development</t>
  </si>
  <si>
    <t>201 675 2628</t>
  </si>
  <si>
    <t>O Zhang</t>
  </si>
  <si>
    <t>Shine by O Portraits</t>
  </si>
  <si>
    <t>646 595 9876</t>
  </si>
  <si>
    <t>Paul Radu</t>
  </si>
  <si>
    <t>Glimpse | Performance Insights</t>
  </si>
  <si>
    <t>Food &amp; Beverage (Other)</t>
  </si>
  <si>
    <t>786-292-2373</t>
  </si>
  <si>
    <t>Penny Mcnerney</t>
  </si>
  <si>
    <t>totalcirclehr</t>
  </si>
  <si>
    <t>917 881 5172</t>
  </si>
  <si>
    <t>Peter Dressel</t>
  </si>
  <si>
    <t>Peter Dressel Photography</t>
  </si>
  <si>
    <t>917-536-7277</t>
  </si>
  <si>
    <t>Ryan Giuliani</t>
  </si>
  <si>
    <t>Way Management</t>
  </si>
  <si>
    <t>Seth Kamens</t>
  </si>
  <si>
    <t>973 979 1421</t>
  </si>
  <si>
    <t>Sharon Becker</t>
  </si>
  <si>
    <t>SB Beauty</t>
  </si>
  <si>
    <t>Simone Assboeck</t>
  </si>
  <si>
    <t>DanceTogetherNYC</t>
  </si>
  <si>
    <t>917 459 3990</t>
  </si>
  <si>
    <t>Stan Aleshin</t>
  </si>
  <si>
    <t>Loan Depot.com LLC</t>
  </si>
  <si>
    <t>Susanne Gutermuth</t>
  </si>
  <si>
    <t>Douglas Elliman Real Estate</t>
  </si>
  <si>
    <t>917-225-5196</t>
  </si>
  <si>
    <t>Todd Neuhaus</t>
  </si>
  <si>
    <t>Moore Family Law</t>
  </si>
  <si>
    <t>646-503-1430</t>
  </si>
  <si>
    <t>Tom Georges</t>
  </si>
  <si>
    <t>Stan Johnson Company</t>
  </si>
  <si>
    <t>646 778 5560</t>
  </si>
  <si>
    <t>Tony Boehm</t>
  </si>
  <si>
    <t>Morris Moving &amp; Storage</t>
  </si>
  <si>
    <t>914-699-0049</t>
  </si>
  <si>
    <t>Tony Margiota</t>
  </si>
  <si>
    <t>Gladiator Wine Distribution</t>
  </si>
  <si>
    <t>Wine Merchant/Wine</t>
  </si>
  <si>
    <t>646 560 3241</t>
  </si>
  <si>
    <t>Victoria Dorsano</t>
  </si>
  <si>
    <t>Be Victorious Coaching</t>
  </si>
  <si>
    <t>Health Coach</t>
  </si>
  <si>
    <t>Vince Corbisiero</t>
  </si>
  <si>
    <t>TJ Corporate Credit</t>
  </si>
  <si>
    <t>Zion Shmuel</t>
  </si>
  <si>
    <t>Preston Window &amp; Doors Inc.</t>
  </si>
  <si>
    <t>929 900 5712</t>
  </si>
  <si>
    <t>BNI Manhattan 12 - The Flagship Chapte</t>
  </si>
  <si>
    <t>Adrien Allred</t>
  </si>
  <si>
    <t>Amalgam Architecture</t>
  </si>
  <si>
    <t>347 277 1757</t>
  </si>
  <si>
    <t>Aga Sydor</t>
  </si>
  <si>
    <t>Albert D'Angelo</t>
  </si>
  <si>
    <t>Melaleuca</t>
  </si>
  <si>
    <t>Health &amp; Wellness Products</t>
  </si>
  <si>
    <t>914-573-2785</t>
  </si>
  <si>
    <t>Alex Agosta</t>
  </si>
  <si>
    <t>203 489 6499</t>
  </si>
  <si>
    <t>Alex Drake</t>
  </si>
  <si>
    <t>Adjustify Solutions LLC</t>
  </si>
  <si>
    <t>631 514 9851</t>
  </si>
  <si>
    <t>Andrea Braunstein</t>
  </si>
  <si>
    <t>914 557 4490</t>
  </si>
  <si>
    <t>Brian Dusseau</t>
  </si>
  <si>
    <t>917 596 3139</t>
  </si>
  <si>
    <t>Christina Ippolito</t>
  </si>
  <si>
    <t>Ippolito Chiropractic &amp; Acupuncture</t>
  </si>
  <si>
    <t>917-719-0267</t>
  </si>
  <si>
    <t>Christine Thorpe</t>
  </si>
  <si>
    <t>Stronger Tomorrow</t>
  </si>
  <si>
    <t>201-701-0982</t>
  </si>
  <si>
    <t>Claudia Hernández</t>
  </si>
  <si>
    <t>Innovate Online Marketing Group Inc.</t>
  </si>
  <si>
    <t>347-320-0846</t>
  </si>
  <si>
    <t>Concetta Raz</t>
  </si>
  <si>
    <t>Upward On</t>
  </si>
  <si>
    <t>(917) 420-1515</t>
  </si>
  <si>
    <t>Craig Faller</t>
  </si>
  <si>
    <t>EF Gem</t>
  </si>
  <si>
    <t>(404) 229-1399</t>
  </si>
  <si>
    <t>Daniel VanHall</t>
  </si>
  <si>
    <t>VanHall Interiors</t>
  </si>
  <si>
    <t>Danielle Diaz</t>
  </si>
  <si>
    <t>Update Legal</t>
  </si>
  <si>
    <t>212 993 2225</t>
  </si>
  <si>
    <t>Deborah Blumenfield</t>
  </si>
  <si>
    <t>Graubard &amp; Blumenfield</t>
  </si>
  <si>
    <t>212 5979400</t>
  </si>
  <si>
    <t>Deborah Donenfeld</t>
  </si>
  <si>
    <t>Photosynthesis Coaching</t>
  </si>
  <si>
    <t>Deborah Liljegren</t>
  </si>
  <si>
    <t>Veraqua</t>
  </si>
  <si>
    <t>617 899 9284</t>
  </si>
  <si>
    <t>Dennis Riley</t>
  </si>
  <si>
    <t>Goals To Results</t>
  </si>
  <si>
    <t>Business Consultant - Small Business</t>
  </si>
  <si>
    <t>781-254-0469</t>
  </si>
  <si>
    <t>Diane Rooney</t>
  </si>
  <si>
    <t>917-847-6615</t>
  </si>
  <si>
    <t>Elizabeth Eiss</t>
  </si>
  <si>
    <t>ResultsResourcing</t>
  </si>
  <si>
    <t>212 709 8063</t>
  </si>
  <si>
    <t>Gary McNally</t>
  </si>
  <si>
    <t>GMC Insurance Brokers Inc</t>
  </si>
  <si>
    <t>Gerrit Vooren</t>
  </si>
  <si>
    <t>Vooren Productions</t>
  </si>
  <si>
    <t>Technicians - Audio</t>
  </si>
  <si>
    <t>Gina Williams</t>
  </si>
  <si>
    <t>Mobility Health Physical Therapy</t>
  </si>
  <si>
    <t>Jac Zagoory</t>
  </si>
  <si>
    <t>JZswag: curated and creative swag</t>
  </si>
  <si>
    <t>Jacob Wolkenfeld</t>
  </si>
  <si>
    <t>Norman Bobrow &amp; Co.</t>
  </si>
  <si>
    <t>212 682 8848</t>
  </si>
  <si>
    <t>Jacqueline Frank</t>
  </si>
  <si>
    <t>RATE</t>
  </si>
  <si>
    <t>917 405 6661</t>
  </si>
  <si>
    <t>Janine Sarna-Jones</t>
  </si>
  <si>
    <t>Organize Me</t>
  </si>
  <si>
    <t>212-842-8301</t>
  </si>
  <si>
    <t>Jason Barash</t>
  </si>
  <si>
    <t>Events Hospitality Group</t>
  </si>
  <si>
    <t>Jeffrey Lender</t>
  </si>
  <si>
    <t>WorldWide Land Transfer</t>
  </si>
  <si>
    <t>917-397-7290</t>
  </si>
  <si>
    <t>Jess Prichard</t>
  </si>
  <si>
    <t>Platinum Properties</t>
  </si>
  <si>
    <t>Real Estate Rentals</t>
  </si>
  <si>
    <t>917 456 6804</t>
  </si>
  <si>
    <t>Joe Fernando</t>
  </si>
  <si>
    <t>Limitless NYC</t>
  </si>
  <si>
    <t>(917) 887-1731</t>
  </si>
  <si>
    <t>Joey Zimet</t>
  </si>
  <si>
    <t>Postural Therapy</t>
  </si>
  <si>
    <t>(917) 589-5446</t>
  </si>
  <si>
    <t>John McClellan</t>
  </si>
  <si>
    <t>Clayton and Lee</t>
  </si>
  <si>
    <t>917-743-0913</t>
  </si>
  <si>
    <t>+16466274115</t>
  </si>
  <si>
    <t>Joshua Spiegel</t>
  </si>
  <si>
    <t>Spiegel &amp; Associates</t>
  </si>
  <si>
    <t>212 710-9510</t>
  </si>
  <si>
    <t>Keith Emmer</t>
  </si>
  <si>
    <t>Startegix</t>
  </si>
  <si>
    <t>Public Relations</t>
  </si>
  <si>
    <t>(212) 920-9205</t>
  </si>
  <si>
    <t>Kelley Joyce</t>
  </si>
  <si>
    <t>The Truth at Work</t>
  </si>
  <si>
    <t>917 566 0808</t>
  </si>
  <si>
    <t>Kim Rusich</t>
  </si>
  <si>
    <t>TransWorld Business Advisors</t>
  </si>
  <si>
    <t>845-320-5779</t>
  </si>
  <si>
    <t>Laura Fischer</t>
  </si>
  <si>
    <t>Fischer Harbage &amp; Associates</t>
  </si>
  <si>
    <t>(718) 624-0546</t>
  </si>
  <si>
    <t>Laura Wall</t>
  </si>
  <si>
    <t>American Cancer Society</t>
  </si>
  <si>
    <t>732 292 4247</t>
  </si>
  <si>
    <t>Mark D. Friedman</t>
  </si>
  <si>
    <t>The Friedman Rosenthal Team at Brown Harris Stevens</t>
  </si>
  <si>
    <t>212 381 2379</t>
  </si>
  <si>
    <t>Melanie Fox</t>
  </si>
  <si>
    <t>Speech Fox</t>
  </si>
  <si>
    <t>Communication Coach</t>
  </si>
  <si>
    <t>Melissa Rapoport</t>
  </si>
  <si>
    <t>Melissa Rapoport Health Consulting</t>
  </si>
  <si>
    <t>718 496 6623</t>
  </si>
  <si>
    <t>Meredith Verona</t>
  </si>
  <si>
    <t>Bookkeeping Go</t>
  </si>
  <si>
    <t>Merritt Minnemeyer</t>
  </si>
  <si>
    <t>Master of One Coaching</t>
  </si>
  <si>
    <t>Mile Square Insurance Agency</t>
  </si>
  <si>
    <t>Michael Muchnij</t>
  </si>
  <si>
    <t>Home &amp; Hearth Productions</t>
  </si>
  <si>
    <t>602-295-0160</t>
  </si>
  <si>
    <t>Morgan Pepper</t>
  </si>
  <si>
    <t>Morgan Pepper LCSW</t>
  </si>
  <si>
    <t>718 930 9362</t>
  </si>
  <si>
    <t>Muhammad S. Junaid</t>
  </si>
  <si>
    <t>BrilTax Advisors LLC</t>
  </si>
  <si>
    <t>929-603-7283</t>
  </si>
  <si>
    <t>Peter Gordon</t>
  </si>
  <si>
    <t>New York Financial Organizaers</t>
  </si>
  <si>
    <t>Senior Service Provider</t>
  </si>
  <si>
    <t>917 279 3972</t>
  </si>
  <si>
    <t>Randi L. Karmel</t>
  </si>
  <si>
    <t>212 755-0224</t>
  </si>
  <si>
    <t>Raphi Salem</t>
  </si>
  <si>
    <t>SalemGlobal Digital Marketing</t>
  </si>
  <si>
    <t>212 222 3292</t>
  </si>
  <si>
    <t>Rashika Mandal</t>
  </si>
  <si>
    <t>CMIT Solutions of JCMCH</t>
  </si>
  <si>
    <t>Riitta Schoenfeld</t>
  </si>
  <si>
    <t>Hafetz &amp; Associates</t>
  </si>
  <si>
    <t>Medicare</t>
  </si>
  <si>
    <t>516 331 4833</t>
  </si>
  <si>
    <t>Robert Rawdin</t>
  </si>
  <si>
    <t>Gallery 57 Dental</t>
  </si>
  <si>
    <t>212 246 8700</t>
  </si>
  <si>
    <t>Robert Weinberg</t>
  </si>
  <si>
    <t>DM Pros</t>
  </si>
  <si>
    <t>646-872-3930</t>
  </si>
  <si>
    <t>Robert A. Weinstein</t>
  </si>
  <si>
    <t>Forest Hills Financial Group</t>
  </si>
  <si>
    <t>646 638 9848</t>
  </si>
  <si>
    <t>Sara Nanchanatt</t>
  </si>
  <si>
    <t>S.N. Forensics LLC</t>
  </si>
  <si>
    <t>Sharon Crowley</t>
  </si>
  <si>
    <t>Horticultural Creations INC</t>
  </si>
  <si>
    <t>Shawn Leventhal</t>
  </si>
  <si>
    <t>Showplace Fine Art &amp; Estate Buyers</t>
  </si>
  <si>
    <t>212 741 8520</t>
  </si>
  <si>
    <t>Stacy Francis</t>
  </si>
  <si>
    <t>Francis Financial</t>
  </si>
  <si>
    <t>212-374-9008</t>
  </si>
  <si>
    <t>Todd Hallinger</t>
  </si>
  <si>
    <t>Manhattan BNI Executive Director</t>
  </si>
  <si>
    <t>Givers Gain®</t>
  </si>
  <si>
    <t>941 355 5127</t>
  </si>
  <si>
    <t>Vincent McDade</t>
  </si>
  <si>
    <t>Upstairs Downstairs Moving</t>
  </si>
  <si>
    <t>212 932 7912</t>
  </si>
  <si>
    <t>Wei Jiang Huang</t>
  </si>
  <si>
    <t>Clear Sight Inspections LLC</t>
  </si>
  <si>
    <t>BNI CAPITAL CONNECTORS</t>
  </si>
  <si>
    <t>Aika Yusubali</t>
  </si>
  <si>
    <t>Party Muse Entertainment</t>
  </si>
  <si>
    <t>512-887-8797</t>
  </si>
  <si>
    <t>Alexis Morgan</t>
  </si>
  <si>
    <t>Ambiance Solutions - Professional Organizer</t>
  </si>
  <si>
    <t>Professional Organizer</t>
  </si>
  <si>
    <t>Andrew Rincon</t>
  </si>
  <si>
    <t>CraigO's Lakeway</t>
  </si>
  <si>
    <t>512-402-1600</t>
  </si>
  <si>
    <t>Aria Tempest</t>
  </si>
  <si>
    <t>AriaCore</t>
  </si>
  <si>
    <t>Artist</t>
  </si>
  <si>
    <t>602-531-1135</t>
  </si>
  <si>
    <t>Bill Solominsky</t>
  </si>
  <si>
    <t>Reluctant Executor</t>
  </si>
  <si>
    <t>Brooke Koeppel</t>
  </si>
  <si>
    <t>The Brothers That Just Do Gutters</t>
  </si>
  <si>
    <t>Caden Louthan</t>
  </si>
  <si>
    <t>Caleb Hastings</t>
  </si>
  <si>
    <t>Key Lime Construction</t>
  </si>
  <si>
    <t>Caleb Seegers</t>
  </si>
  <si>
    <t>Exceptional Business Advisors</t>
  </si>
  <si>
    <t>+1 (915) 255-8718</t>
  </si>
  <si>
    <t>CARLY MAZUR</t>
  </si>
  <si>
    <t>Shaklee</t>
  </si>
  <si>
    <t>Nutritional Supplements</t>
  </si>
  <si>
    <t>773-330-9984</t>
  </si>
  <si>
    <t>CHRIS SAPSTEAD</t>
  </si>
  <si>
    <t>LAW OFFICE OF CHRIS SAPSTEAD PC</t>
  </si>
  <si>
    <t>512-626-4778</t>
  </si>
  <si>
    <t>CODY FIETZ</t>
  </si>
  <si>
    <t>FAST FIETZ MOVING</t>
  </si>
  <si>
    <t>512-938-9956</t>
  </si>
  <si>
    <t>Daniel Monplaisir</t>
  </si>
  <si>
    <t>Good BBQ Company</t>
  </si>
  <si>
    <t>Restaurant</t>
  </si>
  <si>
    <t>DAVID SHEEHAN</t>
  </si>
  <si>
    <t>SHEEHAN FARMERS INSURANCE</t>
  </si>
  <si>
    <t>512-812-3000</t>
  </si>
  <si>
    <t>Dawn Wagner</t>
  </si>
  <si>
    <t>Maniacal Beauty</t>
  </si>
  <si>
    <t>Perfume</t>
  </si>
  <si>
    <t>309-212-6011</t>
  </si>
  <si>
    <t>DENNIS COONEY</t>
  </si>
  <si>
    <t>Keyrenter Property Management</t>
  </si>
  <si>
    <t>1-512-980-8412</t>
  </si>
  <si>
    <t>EDDIE WILLIS</t>
  </si>
  <si>
    <t>BIRD CREEK ROOFING &amp; CONSTRUCTION</t>
  </si>
  <si>
    <t>512-710-7663</t>
  </si>
  <si>
    <t>Enrique Hernandez</t>
  </si>
  <si>
    <t>HVR Cloud Managed IT Services</t>
  </si>
  <si>
    <t>+15123771428</t>
  </si>
  <si>
    <t>Ian Noble</t>
  </si>
  <si>
    <t>RunSteady Investments</t>
  </si>
  <si>
    <t>(512) 963-2020</t>
  </si>
  <si>
    <t>Jake Erickson</t>
  </si>
  <si>
    <t>Dreamside Financial</t>
  </si>
  <si>
    <t>+14143060844</t>
  </si>
  <si>
    <t>JANICE KAPP</t>
  </si>
  <si>
    <t>JKapp Consulting</t>
  </si>
  <si>
    <t>512-827-8117</t>
  </si>
  <si>
    <t>Jennifer Johnson</t>
  </si>
  <si>
    <t>Stewart Title</t>
  </si>
  <si>
    <t>979-595-5204</t>
  </si>
  <si>
    <t>Jeremy Self</t>
  </si>
  <si>
    <t>Cedarwood Financial Partners</t>
  </si>
  <si>
    <t>737-443-4300</t>
  </si>
  <si>
    <t>Jessica Nixon</t>
  </si>
  <si>
    <t>JNID Studios</t>
  </si>
  <si>
    <t>Justin Thomas</t>
  </si>
  <si>
    <t>Junkluggers of Austin</t>
  </si>
  <si>
    <t>Waste Disposal</t>
  </si>
  <si>
    <t>Karen Jansen</t>
  </si>
  <si>
    <t>doTERRA</t>
  </si>
  <si>
    <t>Essential Oils</t>
  </si>
  <si>
    <t>(646) 761-8621</t>
  </si>
  <si>
    <t>KATRINA SCOTT</t>
  </si>
  <si>
    <t>FLOHR</t>
  </si>
  <si>
    <t>512-458-4900 X3</t>
  </si>
  <si>
    <t>Kelly Toye</t>
  </si>
  <si>
    <t>Inspired Closets</t>
  </si>
  <si>
    <t>KENT VESTAL BLAZIER CHRISTENSEN BROWDER &amp; VIRR</t>
  </si>
  <si>
    <t>PC</t>
  </si>
  <si>
    <t>512-476-2622</t>
  </si>
  <si>
    <t>KEVIN WILMORE</t>
  </si>
  <si>
    <t>Lone Star Local</t>
  </si>
  <si>
    <t>512-610-7827</t>
  </si>
  <si>
    <t>KYLE MORGAN</t>
  </si>
  <si>
    <t>CARE PEST PROS</t>
  </si>
  <si>
    <t>LAUREL BELFIORE</t>
  </si>
  <si>
    <t>AUSTEX WELLNESS &amp; MEDICAL SPA</t>
  </si>
  <si>
    <t>512-524-9602</t>
  </si>
  <si>
    <t>Marc P Summers</t>
  </si>
  <si>
    <t>AI App Builders</t>
  </si>
  <si>
    <t>App Developer</t>
  </si>
  <si>
    <t>MARIPAT POWERS</t>
  </si>
  <si>
    <t>EASTCREEK DESIGNS</t>
  </si>
  <si>
    <t>512-858-2858</t>
  </si>
  <si>
    <t>Mark Annabelli</t>
  </si>
  <si>
    <t>Simply Clean</t>
  </si>
  <si>
    <t>MARK WILKERSON</t>
  </si>
  <si>
    <t>Loan People LLC</t>
  </si>
  <si>
    <t>512-294-4599</t>
  </si>
  <si>
    <t>MARK WOODRUFF</t>
  </si>
  <si>
    <t>WOODY CREATIVE</t>
  </si>
  <si>
    <t>512-785-4483</t>
  </si>
  <si>
    <t>Marshall McGowan</t>
  </si>
  <si>
    <t>ServiceMaster Restore</t>
  </si>
  <si>
    <t>Martin Frey</t>
  </si>
  <si>
    <t>MedicareATX</t>
  </si>
  <si>
    <t>Megan Tull</t>
  </si>
  <si>
    <t>Buono Cello</t>
  </si>
  <si>
    <t>(512) 663-6689</t>
  </si>
  <si>
    <t>MICHAEL DAVENPORT</t>
  </si>
  <si>
    <t>MD CONCRETE CREATIONS</t>
  </si>
  <si>
    <t>512-496-4978</t>
  </si>
  <si>
    <t>Michael T. Davis</t>
  </si>
  <si>
    <t>Michael T Davis Photography</t>
  </si>
  <si>
    <t>Monica Gelinas</t>
  </si>
  <si>
    <t>CC4C</t>
  </si>
  <si>
    <t>+1 (505) 401-0037</t>
  </si>
  <si>
    <t>Nick Riseman</t>
  </si>
  <si>
    <t>DDM Marketing &amp; Consulting LLC</t>
  </si>
  <si>
    <t>RANDY IMHOFF</t>
  </si>
  <si>
    <t>SPEEDPRO AUSTIN</t>
  </si>
  <si>
    <t>512-444-4421</t>
  </si>
  <si>
    <t>Ransom Taylor</t>
  </si>
  <si>
    <t>OnSite Repairs and Renovations</t>
  </si>
  <si>
    <t>(512) 909-1096</t>
  </si>
  <si>
    <t>Raye Lopez</t>
  </si>
  <si>
    <t>Freshora &amp; Co LLC</t>
  </si>
  <si>
    <t>SARAH ROSS</t>
  </si>
  <si>
    <t>FRESHCOAT PAINTERS</t>
  </si>
  <si>
    <t>512-787-2379</t>
  </si>
  <si>
    <t>Shawn Blazek</t>
  </si>
  <si>
    <t>Blazek Landscapes</t>
  </si>
  <si>
    <t>Sheryl Nemec</t>
  </si>
  <si>
    <t>Powerhouse Promotions</t>
  </si>
  <si>
    <t>+1 (281) 797-3627</t>
  </si>
  <si>
    <t>SKY STREETY</t>
  </si>
  <si>
    <t>SKY</t>
  </si>
  <si>
    <t>512-923-1802</t>
  </si>
  <si>
    <t>Susan Rao</t>
  </si>
  <si>
    <t>Rao Family Chiropractic &amp; Wellness Center</t>
  </si>
  <si>
    <t>Tiffany Ibarra</t>
  </si>
  <si>
    <t>4 PAWS PLUMBING</t>
  </si>
  <si>
    <t>512-494-4761</t>
  </si>
  <si>
    <t>Todd Hanzelka</t>
  </si>
  <si>
    <t>Higginbotham</t>
  </si>
  <si>
    <t>Toni Hanson</t>
  </si>
  <si>
    <t>Prevail on Wings of Hope</t>
  </si>
  <si>
    <t>(760)681-8233</t>
  </si>
  <si>
    <t>Tyler Roberts</t>
  </si>
  <si>
    <t>Flat Top Accounting Solutions</t>
  </si>
  <si>
    <t>512-879-4608</t>
  </si>
  <si>
    <t>WENDY ELDER</t>
  </si>
  <si>
    <t>COMPASS REAL ESTATE</t>
  </si>
  <si>
    <t>512-784-0962</t>
  </si>
  <si>
    <t>Wes Webb</t>
  </si>
  <si>
    <t>Hill Country Exterior Restoration</t>
  </si>
  <si>
    <t>BNI Capital Business Alliance</t>
  </si>
  <si>
    <t>Alfred Otoo</t>
  </si>
  <si>
    <t>Blue Kangaroo Packoutz of Annapolis/Frederick</t>
  </si>
  <si>
    <t>Repair (Other)</t>
  </si>
  <si>
    <t>Amit Motwani</t>
  </si>
  <si>
    <t>Motwani Law</t>
  </si>
  <si>
    <t>Andrew Hochberger</t>
  </si>
  <si>
    <t>Impact Home Remodeling</t>
  </si>
  <si>
    <t>301-408-9346</t>
  </si>
  <si>
    <t>Aprylle Wallace</t>
  </si>
  <si>
    <t>AW Squared Advisors</t>
  </si>
  <si>
    <t>Ashrut Rode</t>
  </si>
  <si>
    <t>XenonPrime LLC</t>
  </si>
  <si>
    <t>+17037987666</t>
  </si>
  <si>
    <t>Austin Sandler</t>
  </si>
  <si>
    <t>Pulse</t>
  </si>
  <si>
    <t>Ben Dross</t>
  </si>
  <si>
    <t>Betsy Schuman Dodek</t>
  </si>
  <si>
    <t>Washington Fine Properties</t>
  </si>
  <si>
    <t>301-996-8700</t>
  </si>
  <si>
    <t>Bill Harris</t>
  </si>
  <si>
    <t>Schooley Mitchell of Germantown</t>
  </si>
  <si>
    <t>+12408503219</t>
  </si>
  <si>
    <t>Bob Lange</t>
  </si>
  <si>
    <t>Revv Partners</t>
  </si>
  <si>
    <t>(240)606-8063</t>
  </si>
  <si>
    <t>Brian Loebig</t>
  </si>
  <si>
    <t>Loebig Ink</t>
  </si>
  <si>
    <t>301-244-8324</t>
  </si>
  <si>
    <t>Byron &amp; Jeanette Bustos</t>
  </si>
  <si>
    <t>360 Painting of Frederick &amp; Gathersburg</t>
  </si>
  <si>
    <t>973-722-9008</t>
  </si>
  <si>
    <t>Carmen Sneed</t>
  </si>
  <si>
    <t>Culinart Photography</t>
  </si>
  <si>
    <t>240-605-7732</t>
  </si>
  <si>
    <t>Cat Orsini</t>
  </si>
  <si>
    <t>Action Incubator</t>
  </si>
  <si>
    <t>202-487-9480</t>
  </si>
  <si>
    <t>Cheri Dorfman</t>
  </si>
  <si>
    <t>Charming Movers Inc</t>
  </si>
  <si>
    <t>301-738-2202</t>
  </si>
  <si>
    <t>Chris Valunas</t>
  </si>
  <si>
    <t>CVLLC Exterior</t>
  </si>
  <si>
    <t>443-765-1483</t>
  </si>
  <si>
    <t>Clay Shaw</t>
  </si>
  <si>
    <t>Clay Shaw State Farm Agency</t>
  </si>
  <si>
    <t>443-305-2228</t>
  </si>
  <si>
    <t>Daniel Garedew</t>
  </si>
  <si>
    <t>Merchant Services United</t>
  </si>
  <si>
    <t>240-449-4029</t>
  </si>
  <si>
    <t>Danielle Lee-Breedy</t>
  </si>
  <si>
    <t>Lee-Breedy Insurance Group</t>
  </si>
  <si>
    <t>Dave Roe</t>
  </si>
  <si>
    <t>3DR Communications</t>
  </si>
  <si>
    <t>202-369-1455</t>
  </si>
  <si>
    <t>Debbie Gomes</t>
  </si>
  <si>
    <t>Keyrenter Washington</t>
  </si>
  <si>
    <t>202-838-6000</t>
  </si>
  <si>
    <t>Dennis Peters</t>
  </si>
  <si>
    <t>ZHERO Solar</t>
  </si>
  <si>
    <t>Diamond Chaflawee</t>
  </si>
  <si>
    <t>Prudential Advisors</t>
  </si>
  <si>
    <t>Dominiqua Eldridge</t>
  </si>
  <si>
    <t>uniik Creatives LLC</t>
  </si>
  <si>
    <t>240-883-1515</t>
  </si>
  <si>
    <t>Erin August</t>
  </si>
  <si>
    <t>Shulman Rogers</t>
  </si>
  <si>
    <t>301-230-6576</t>
  </si>
  <si>
    <t>Evan Langert</t>
  </si>
  <si>
    <t>The Langert Commercial Group</t>
  </si>
  <si>
    <t>Frank Goodman</t>
  </si>
  <si>
    <t>ROI Pros LLC</t>
  </si>
  <si>
    <t>Gabriel Guzman</t>
  </si>
  <si>
    <t>PowHer Chiropractic &amp; Wellness center</t>
  </si>
  <si>
    <t>Gerald Scheinman</t>
  </si>
  <si>
    <t>BluePoint Financial</t>
  </si>
  <si>
    <t>Gina Goldring</t>
  </si>
  <si>
    <t>Our Neighborhood Deli</t>
  </si>
  <si>
    <t>240 912-4816</t>
  </si>
  <si>
    <t>Harold Quinones</t>
  </si>
  <si>
    <t>Another Plumber</t>
  </si>
  <si>
    <t>240-421-9469</t>
  </si>
  <si>
    <t>Hema Patel</t>
  </si>
  <si>
    <t>Wisteria Dental Care</t>
  </si>
  <si>
    <t>India Hall</t>
  </si>
  <si>
    <t>HomeSmart</t>
  </si>
  <si>
    <t>301-717-8280</t>
  </si>
  <si>
    <t>Jack Smith</t>
  </si>
  <si>
    <t>240-688-5139</t>
  </si>
  <si>
    <t>Jae Han</t>
  </si>
  <si>
    <t>OMNINET Plus</t>
  </si>
  <si>
    <t>Jamie Hamelburg</t>
  </si>
  <si>
    <t>Hamelburg Law</t>
  </si>
  <si>
    <t>(301) 913-5200</t>
  </si>
  <si>
    <t>Jason Maccado</t>
  </si>
  <si>
    <t>Colonial Life</t>
  </si>
  <si>
    <t>Supplemental Insurance</t>
  </si>
  <si>
    <t>Jen Dorsey</t>
  </si>
  <si>
    <t>Triple Track Smoking &amp; Vaping Cessation</t>
  </si>
  <si>
    <t>Jennifer Gularson</t>
  </si>
  <si>
    <t>Osteopathic Center for Healing</t>
  </si>
  <si>
    <t>Jon Hernandez</t>
  </si>
  <si>
    <t>Aventa Tax LLC</t>
  </si>
  <si>
    <t>(301) 235-2724</t>
  </si>
  <si>
    <t>Joseph Haycock</t>
  </si>
  <si>
    <t>Fresh Air Concepts</t>
  </si>
  <si>
    <t>410-789-7800</t>
  </si>
  <si>
    <t>Kay Loughrey</t>
  </si>
  <si>
    <t>Sweet Life Wellness</t>
  </si>
  <si>
    <t>Nutritionist</t>
  </si>
  <si>
    <t>301-869-1787</t>
  </si>
  <si>
    <t>Keith Bonds</t>
  </si>
  <si>
    <t>BSG Technology Solutions</t>
  </si>
  <si>
    <t>Cloud Services</t>
  </si>
  <si>
    <t>+1 (443) 812-5807</t>
  </si>
  <si>
    <t>Keston De Coteau</t>
  </si>
  <si>
    <t>Keystone Productions</t>
  </si>
  <si>
    <t>Laire Bourne</t>
  </si>
  <si>
    <t>1-800 Water Damage</t>
  </si>
  <si>
    <t>301-215-0500</t>
  </si>
  <si>
    <t>Leslie Klein</t>
  </si>
  <si>
    <t>Minuteman Press Bethesda</t>
  </si>
  <si>
    <t>301-656-1188</t>
  </si>
  <si>
    <t>Malcolm Brown</t>
  </si>
  <si>
    <t>Marta Bohorquez</t>
  </si>
  <si>
    <t>The Treatment And Learning Centers</t>
  </si>
  <si>
    <t>301-379-5169</t>
  </si>
  <si>
    <t>Michael Coombs</t>
  </si>
  <si>
    <t>Cornwall Business Advisory</t>
  </si>
  <si>
    <t>Mike Baumstark</t>
  </si>
  <si>
    <t>571-3834588</t>
  </si>
  <si>
    <t>Minata Saddy</t>
  </si>
  <si>
    <t>NYS Diagnostics &amp; Supply</t>
  </si>
  <si>
    <t>Naheed Oberfeld</t>
  </si>
  <si>
    <t>Oberfeld Coaching</t>
  </si>
  <si>
    <t>(301) 633-0305</t>
  </si>
  <si>
    <t>Nick Marks</t>
  </si>
  <si>
    <t>Plush Marketing</t>
  </si>
  <si>
    <t>Social Media</t>
  </si>
  <si>
    <t>(301) 750-2628</t>
  </si>
  <si>
    <t>Nick Swearingen</t>
  </si>
  <si>
    <t>Fully Promoted Arbutus</t>
  </si>
  <si>
    <t>410-744-6974</t>
  </si>
  <si>
    <t>Okinyi Ayungo</t>
  </si>
  <si>
    <t>FitnessWise</t>
  </si>
  <si>
    <t>301-986-9473</t>
  </si>
  <si>
    <t>Patricia Watts</t>
  </si>
  <si>
    <t>WEModel USA LLC</t>
  </si>
  <si>
    <t>Peter Barkanic</t>
  </si>
  <si>
    <t>The Estates At Laytonsville</t>
  </si>
  <si>
    <t>+1 (301) 648-7001</t>
  </si>
  <si>
    <t>Rachael Shackelford Dussuau</t>
  </si>
  <si>
    <t>Mission &amp; Story</t>
  </si>
  <si>
    <t>(240) 457-9833</t>
  </si>
  <si>
    <t>Rachel Needle</t>
  </si>
  <si>
    <t>Atlantic Coast Mortgage</t>
  </si>
  <si>
    <t>Robert Kircher</t>
  </si>
  <si>
    <t>RRK Associates</t>
  </si>
  <si>
    <t>202-237-8703</t>
  </si>
  <si>
    <t>Samreen Sadiq</t>
  </si>
  <si>
    <t>Neff &amp; Associates</t>
  </si>
  <si>
    <t>(301) 294-1100</t>
  </si>
  <si>
    <t>Sasha LeFlore</t>
  </si>
  <si>
    <t>Scott SALOVICH</t>
  </si>
  <si>
    <t>PestX</t>
  </si>
  <si>
    <t>301-947-0384</t>
  </si>
  <si>
    <t>Shebna Garcon</t>
  </si>
  <si>
    <t>Shebna Garcon at LuxRally Travel</t>
  </si>
  <si>
    <t>+13017283455</t>
  </si>
  <si>
    <t>Taj Jacobs</t>
  </si>
  <si>
    <t>Riticulous Detail Company</t>
  </si>
  <si>
    <t>443-786-0228</t>
  </si>
  <si>
    <t>Vivian Ziwe</t>
  </si>
  <si>
    <t>Maid Right of Montgomery County</t>
  </si>
  <si>
    <t>Walter Flores</t>
  </si>
  <si>
    <t>Sandy Spring Bank</t>
  </si>
  <si>
    <t>Yvonne Turner</t>
  </si>
  <si>
    <t>Copywriter/Writer</t>
  </si>
  <si>
    <t>202-494-9060</t>
  </si>
  <si>
    <t>Karen Garcia</t>
  </si>
  <si>
    <t>BNI Manhattan 53 - Worth Waking up For</t>
  </si>
  <si>
    <t>Adam Allen</t>
  </si>
  <si>
    <t>LeaseMyMarketing</t>
  </si>
  <si>
    <t>888-738-9902</t>
  </si>
  <si>
    <t>Afrin Huq</t>
  </si>
  <si>
    <t>HERD VENTURES LLC</t>
  </si>
  <si>
    <t>Alex Mahgoub</t>
  </si>
  <si>
    <t>347 575 3344</t>
  </si>
  <si>
    <t>Alexandra Tseitlin</t>
  </si>
  <si>
    <t>Tseitlin Law Firm P.C.</t>
  </si>
  <si>
    <t>212-944-7434</t>
  </si>
  <si>
    <t>Anand Kapasi</t>
  </si>
  <si>
    <t>Wolf &amp; Kapasi</t>
  </si>
  <si>
    <t>646-459-7971</t>
  </si>
  <si>
    <t>Andreas Shyta</t>
  </si>
  <si>
    <t>Anna (Ania) Gula</t>
  </si>
  <si>
    <t>COMPASS</t>
  </si>
  <si>
    <t>Asya Blue</t>
  </si>
  <si>
    <t>Asya Blue Design</t>
  </si>
  <si>
    <t>Graphic Designer</t>
  </si>
  <si>
    <t>917 847 4266</t>
  </si>
  <si>
    <t>Bhavesh Shah</t>
  </si>
  <si>
    <t>Open Studio</t>
  </si>
  <si>
    <t>Brian Murphy</t>
  </si>
  <si>
    <t>Murph Consulting</t>
  </si>
  <si>
    <t>917-924-4084</t>
  </si>
  <si>
    <t>Brigitte Zeitlin</t>
  </si>
  <si>
    <t>BZ Nutrition</t>
  </si>
  <si>
    <t>516-459-3977</t>
  </si>
  <si>
    <t>Carolina Siqueira</t>
  </si>
  <si>
    <t>EiRA fitness</t>
  </si>
  <si>
    <t>+19175006346</t>
  </si>
  <si>
    <t>David Welling</t>
  </si>
  <si>
    <t>Citibank</t>
  </si>
  <si>
    <t>David Adler</t>
  </si>
  <si>
    <t>Midtown Projects LLC</t>
  </si>
  <si>
    <t>+19175685025</t>
  </si>
  <si>
    <t>Dawn Spaulding</t>
  </si>
  <si>
    <t>Hither Hive</t>
  </si>
  <si>
    <t>917-277-4177</t>
  </si>
  <si>
    <t>Eric Mendelsohn</t>
  </si>
  <si>
    <t>Transworld Business Advisors of NY</t>
  </si>
  <si>
    <t>516-840-3516</t>
  </si>
  <si>
    <t>Francesco Nocerino</t>
  </si>
  <si>
    <t>Italian Design Workshop LLC</t>
  </si>
  <si>
    <t>+1 (914) 625-1312</t>
  </si>
  <si>
    <t>Hannah Rosenblum</t>
  </si>
  <si>
    <t>Rosey Social</t>
  </si>
  <si>
    <t>Heather Jacobs</t>
  </si>
  <si>
    <t>Court Street Abstract</t>
  </si>
  <si>
    <t>914-328-6206</t>
  </si>
  <si>
    <t>Ioana Popescu</t>
  </si>
  <si>
    <t>io.design</t>
  </si>
  <si>
    <t>Architecture &amp; Engineering (Other)</t>
  </si>
  <si>
    <t>Jaclyn Ionin</t>
  </si>
  <si>
    <t>Ionin Law</t>
  </si>
  <si>
    <t>Joe Dec</t>
  </si>
  <si>
    <t>All Print Resources</t>
  </si>
  <si>
    <t>201 994 0600</t>
  </si>
  <si>
    <t>John Pinzon</t>
  </si>
  <si>
    <t>E&amp;J Cleaning Corp</t>
  </si>
  <si>
    <t>516-312-1943</t>
  </si>
  <si>
    <t>John Sweeny</t>
  </si>
  <si>
    <t>Pilot House Payments</t>
  </si>
  <si>
    <t>Jonathan Taylor</t>
  </si>
  <si>
    <t>347-723-7428</t>
  </si>
  <si>
    <t>Joseph Jones</t>
  </si>
  <si>
    <t>Kris Nejat</t>
  </si>
  <si>
    <t>Gropper &amp; Nejat</t>
  </si>
  <si>
    <t>856 297 3086</t>
  </si>
  <si>
    <t>Kristen Myers</t>
  </si>
  <si>
    <t>United Corporate Services</t>
  </si>
  <si>
    <t>212-683-4120 x624</t>
  </si>
  <si>
    <t>Lana Wear</t>
  </si>
  <si>
    <t>HomeWear Designs NY LLC</t>
  </si>
  <si>
    <t>917-932-4797</t>
  </si>
  <si>
    <t>Linzy Frank</t>
  </si>
  <si>
    <t>Sitka Insurance Agency</t>
  </si>
  <si>
    <t>Marc Bochner</t>
  </si>
  <si>
    <t>Bochner Chiropractic Care</t>
  </si>
  <si>
    <t>212-688-5770</t>
  </si>
  <si>
    <t>Marc Isaacs</t>
  </si>
  <si>
    <t>Isaacs &amp; Assciates PLLC</t>
  </si>
  <si>
    <t>212.751.5444 x1420</t>
  </si>
  <si>
    <t>Mark Haft</t>
  </si>
  <si>
    <t>Bookkeeping and Beyond</t>
  </si>
  <si>
    <t>(973) 714-1582</t>
  </si>
  <si>
    <t>Matthew J. Korman</t>
  </si>
  <si>
    <t>Prudential Douglas Elliman Real Estate</t>
  </si>
  <si>
    <t>Michelle Thompson</t>
  </si>
  <si>
    <t>Resistant Vision Coaching and Consulting</t>
  </si>
  <si>
    <t>Mitko Panov</t>
  </si>
  <si>
    <t>Blue Moving</t>
  </si>
  <si>
    <t>212 432 2132</t>
  </si>
  <si>
    <t>Monica Capellan</t>
  </si>
  <si>
    <t>Prominent Properties Sotheby's International Realtors</t>
  </si>
  <si>
    <t>Nandar Matari</t>
  </si>
  <si>
    <t>Matari International Training</t>
  </si>
  <si>
    <t>Nathan Sykes</t>
  </si>
  <si>
    <t>The People Company</t>
  </si>
  <si>
    <t>Administrative Services</t>
  </si>
  <si>
    <t>(860) 560-1934</t>
  </si>
  <si>
    <t>Noa Lessing</t>
  </si>
  <si>
    <t>Noa Lessing Fusco</t>
  </si>
  <si>
    <t>Rachel Green</t>
  </si>
  <si>
    <t>ReSolutions Mediation &amp; Collaborative Divorce Services</t>
  </si>
  <si>
    <t>718-965-9236</t>
  </si>
  <si>
    <t>Ramsey Mellette</t>
  </si>
  <si>
    <t>Dam + West Media</t>
  </si>
  <si>
    <t>Safiya Swan</t>
  </si>
  <si>
    <t>Keller Williams Realty Group</t>
  </si>
  <si>
    <t>Sanford Miller</t>
  </si>
  <si>
    <t>Stephen M. Smith &amp; Co.</t>
  </si>
  <si>
    <t>212 750 8161</t>
  </si>
  <si>
    <t>Sara Glancy</t>
  </si>
  <si>
    <t>Speak Masterfully</t>
  </si>
  <si>
    <t>443 562 6160</t>
  </si>
  <si>
    <t>Sean A. Farrow</t>
  </si>
  <si>
    <t>Joseph &amp; Norinsberg LLC</t>
  </si>
  <si>
    <t>Employment Law Consultant</t>
  </si>
  <si>
    <t>609-304-1147</t>
  </si>
  <si>
    <t>Serge Lazarev</t>
  </si>
  <si>
    <t>Green Tree</t>
  </si>
  <si>
    <t>Sergio Aguirre</t>
  </si>
  <si>
    <t>ICC</t>
  </si>
  <si>
    <t>Home Automation</t>
  </si>
  <si>
    <t>Sherene Strausberg</t>
  </si>
  <si>
    <t>87th Street Creative</t>
  </si>
  <si>
    <t>917 923 0559</t>
  </si>
  <si>
    <t>Starr Densford</t>
  </si>
  <si>
    <t>Douglas Elliman</t>
  </si>
  <si>
    <t>Steven Simicich</t>
  </si>
  <si>
    <t>SL Law Group</t>
  </si>
  <si>
    <t>646-429-3467</t>
  </si>
  <si>
    <t>Timothy Ryan-Young</t>
  </si>
  <si>
    <t>Synergy Squared Inc.</t>
  </si>
  <si>
    <t>646-649-1580</t>
  </si>
  <si>
    <t>Tom Hayes</t>
  </si>
  <si>
    <t>Tom Hayes Photography</t>
  </si>
  <si>
    <t>347 308 4430</t>
  </si>
  <si>
    <t>Tori Kelly</t>
  </si>
  <si>
    <t>Eastern Public</t>
  </si>
  <si>
    <t>William Bolls</t>
  </si>
  <si>
    <t>646 285 8197</t>
  </si>
  <si>
    <t>William Clanton</t>
  </si>
  <si>
    <t>Precise Managemnet</t>
  </si>
  <si>
    <t>877 635 6468</t>
  </si>
  <si>
    <t>BNI Producers</t>
  </si>
  <si>
    <t>Renaissance Fort Lauderdale West Hotel, 1230 S Pine Island Rd. Plantation, FL, 33324</t>
  </si>
  <si>
    <t>Aaron Rothenberg</t>
  </si>
  <si>
    <t>Rothenberg Law</t>
  </si>
  <si>
    <t>305-302-7260</t>
  </si>
  <si>
    <t>Jonathan Oliveira</t>
  </si>
  <si>
    <t>Renaissance Fort Lauderdale West Hotel, 1230 S Pine Island Rd. Plantation, FL, 33325</t>
  </si>
  <si>
    <t>Alan Cohn</t>
  </si>
  <si>
    <t>Greenspoon Marder LLP</t>
  </si>
  <si>
    <t>954-491-1120 x1025</t>
  </si>
  <si>
    <t>Renaissance Fort Lauderdale West Hotel, 1230 S Pine Island Rd. Plantation, FL, 33326</t>
  </si>
  <si>
    <t>Allen Levin</t>
  </si>
  <si>
    <t>Smarty Pantz Marketing</t>
  </si>
  <si>
    <t>561-926-4525</t>
  </si>
  <si>
    <t>Renaissance Fort Lauderdale West Hotel, 1230 S Pine Island Rd. Plantation, FL, 33327</t>
  </si>
  <si>
    <t>Barbara Flynn</t>
  </si>
  <si>
    <t>People First</t>
  </si>
  <si>
    <t>954-587-6100</t>
  </si>
  <si>
    <t>Renaissance Fort Lauderdale West Hotel, 1230 S Pine Island Rd. Plantation, FL, 33328</t>
  </si>
  <si>
    <t>Candy Coleman</t>
  </si>
  <si>
    <t>Dynamic Professional Assistance Inc.</t>
  </si>
  <si>
    <t>954-333-8808</t>
  </si>
  <si>
    <t>Renaissance Fort Lauderdale West Hotel, 1230 S Pine Island Rd. Plantation, FL, 33329</t>
  </si>
  <si>
    <t>Celicia Gaynor</t>
  </si>
  <si>
    <t>J&amp;R Care finders INC</t>
  </si>
  <si>
    <t>(754) 246-1920</t>
  </si>
  <si>
    <t>Renaissance Fort Lauderdale West Hotel, 1230 S Pine Island Rd. Plantation, FL, 33330</t>
  </si>
  <si>
    <t>Craig Packer</t>
  </si>
  <si>
    <t>Wallace &amp; Packer /Firm Title Corporation</t>
  </si>
  <si>
    <t>954-236-0492</t>
  </si>
  <si>
    <t>Renaissance Fort Lauderdale West Hotel, 1230 S Pine Island Rd. Plantation, FL, 33331</t>
  </si>
  <si>
    <t>Demarco Quant</t>
  </si>
  <si>
    <t>Renaissance Fort Lauderdale West Hotel, 1230 S Pine Island Rd. Plantation, FL, 33332</t>
  </si>
  <si>
    <t>Dwayne Wolfe</t>
  </si>
  <si>
    <t>The Greater Ft. Lauderdale Diaper Bank</t>
  </si>
  <si>
    <t>Renaissance Fort Lauderdale West Hotel, 1230 S Pine Island Rd. Plantation, FL, 33333</t>
  </si>
  <si>
    <t>Hugo Tabares</t>
  </si>
  <si>
    <t>Color World Painting of Ft Lauderdale</t>
  </si>
  <si>
    <t>+19546510839</t>
  </si>
  <si>
    <t>Renaissance Fort Lauderdale West Hotel, 1230 S Pine Island Rd. Plantation, FL, 33334</t>
  </si>
  <si>
    <t>Husam Mohammed</t>
  </si>
  <si>
    <t>Insurance Medics</t>
  </si>
  <si>
    <t>866-396-9140</t>
  </si>
  <si>
    <t>Renaissance Fort Lauderdale West Hotel, 1230 S Pine Island Rd. Plantation, FL, 33335</t>
  </si>
  <si>
    <t>Juan Jaramillo</t>
  </si>
  <si>
    <t>Expert Cool AC Services</t>
  </si>
  <si>
    <t>954-326-3466</t>
  </si>
  <si>
    <t>Renaissance Fort Lauderdale West Hotel, 1230 S Pine Island Rd. Plantation, FL, 33336</t>
  </si>
  <si>
    <t>Ken Zorovich</t>
  </si>
  <si>
    <t>NFM Lending</t>
  </si>
  <si>
    <t>Renaissance Fort Lauderdale West Hotel, 1230 S Pine Island Rd. Plantation, FL, 33337</t>
  </si>
  <si>
    <t>Leonard Desir Jr.</t>
  </si>
  <si>
    <t>The Desir Law Firm</t>
  </si>
  <si>
    <t>Renaissance Fort Lauderdale West Hotel, 1230 S Pine Island Rd. Plantation, FL, 33338</t>
  </si>
  <si>
    <t>Lucia Williams</t>
  </si>
  <si>
    <t>LMS Premier Services</t>
  </si>
  <si>
    <t>Renaissance Fort Lauderdale West Hotel, 1230 S Pine Island Rd. Plantation, FL, 33339</t>
  </si>
  <si>
    <t>Michael Hymowitz</t>
  </si>
  <si>
    <t>Hymowitz Law Firm</t>
  </si>
  <si>
    <t>954-228-3002</t>
  </si>
  <si>
    <t>Renaissance Fort Lauderdale West Hotel, 1230 S Pine Island Rd. Plantation, FL, 33340</t>
  </si>
  <si>
    <t>Patrick Eloi</t>
  </si>
  <si>
    <t>Complete Care IT</t>
  </si>
  <si>
    <t>305-333-4487</t>
  </si>
  <si>
    <t>Renaissance Fort Lauderdale West Hotel, 1230 S Pine Island Rd. Plantation, FL, 33341</t>
  </si>
  <si>
    <t>Patty Accorto</t>
  </si>
  <si>
    <t>Keller Williams Central</t>
  </si>
  <si>
    <t>954-804-3149</t>
  </si>
  <si>
    <t>Renaissance Fort Lauderdale West Hotel, 1230 S Pine Island Rd. Plantation, FL, 33342</t>
  </si>
  <si>
    <t>Raymond Cahill</t>
  </si>
  <si>
    <t>Raymond C. Cahill</t>
  </si>
  <si>
    <t>Renaissance Fort Lauderdale West Hotel, 1230 S Pine Island Rd. Plantation, FL, 33343</t>
  </si>
  <si>
    <t>Riad Shanawany</t>
  </si>
  <si>
    <t>Myriad Capital</t>
  </si>
  <si>
    <t>Renaissance Fort Lauderdale West Hotel, 1230 S Pine Island Rd. Plantation, FL, 33344</t>
  </si>
  <si>
    <t>Rolande Allen</t>
  </si>
  <si>
    <t>Renaissance Fort Lauderdale West Hotel, 1230 S Pine Island Rd. Plantation, FL, 33345</t>
  </si>
  <si>
    <t>Vincent Fusco</t>
  </si>
  <si>
    <t>Fusco General Contracting</t>
  </si>
  <si>
    <t>BNI Profit Partners</t>
  </si>
  <si>
    <t>Gateway Insurance, 1607 NW 136 Ave, B200, Sunrise, FL, 33323</t>
  </si>
  <si>
    <t>Alan Reinfeld</t>
  </si>
  <si>
    <t>RCT Attorneys</t>
  </si>
  <si>
    <t>Gateway Insurance, 1607 NW 136 Ave, B200, Sunrise, FL, 33324</t>
  </si>
  <si>
    <t>Anthony Medina</t>
  </si>
  <si>
    <t>Acentria Insurance Group</t>
  </si>
  <si>
    <t>954-520-8423</t>
  </si>
  <si>
    <t>Gateway Insurance, 1607 NW 136 Ave, B200, Sunrise, FL, 33325</t>
  </si>
  <si>
    <t>Connie Booth</t>
  </si>
  <si>
    <t>LDL Benefit Options</t>
  </si>
  <si>
    <t>954-651-3777</t>
  </si>
  <si>
    <t>Gateway Insurance, 1607 NW 136 Ave, B200, Sunrise, FL, 33326</t>
  </si>
  <si>
    <t>Darlene DiMarco</t>
  </si>
  <si>
    <t>Fairway Home Mortgage</t>
  </si>
  <si>
    <t>954-253-8670</t>
  </si>
  <si>
    <t>Gateway Insurance, 1607 NW 136 Ave, B200, Sunrise, FL, 33327</t>
  </si>
  <si>
    <t>David Evanosky</t>
  </si>
  <si>
    <t>ServiceMaster Remediation Services</t>
  </si>
  <si>
    <t>Gateway Insurance, 1607 NW 136 Ave, B200, Sunrise, FL, 33328</t>
  </si>
  <si>
    <t>Dean Ehrlich</t>
  </si>
  <si>
    <t>954-643-2944</t>
  </si>
  <si>
    <t>Gateway Insurance, 1607 NW 136 Ave, B200, Sunrise, FL, 33329</t>
  </si>
  <si>
    <t>Efrain Rivera</t>
  </si>
  <si>
    <t>NxtMove Inspections</t>
  </si>
  <si>
    <t>Gateway Insurance, 1607 NW 136 Ave, B200, Sunrise, FL, 33330</t>
  </si>
  <si>
    <t>Evangeline Clarke</t>
  </si>
  <si>
    <t>Serving With Grace</t>
  </si>
  <si>
    <t>Gateway Insurance, 1607 NW 136 Ave, B200, Sunrise, FL, 33331</t>
  </si>
  <si>
    <t>Gregory Charlot</t>
  </si>
  <si>
    <t>A.G.P./ Alliance Global Partners</t>
  </si>
  <si>
    <t>561-763-1803</t>
  </si>
  <si>
    <t>Gateway Insurance, 1607 NW 136 Ave, B200, Sunrise, FL, 33332</t>
  </si>
  <si>
    <t>Jean Francius</t>
  </si>
  <si>
    <t>Reference Electric</t>
  </si>
  <si>
    <t>754-281-0094</t>
  </si>
  <si>
    <t>Gateway Insurance, 1607 NW 136 Ave, B200, Sunrise, FL, 33333</t>
  </si>
  <si>
    <t>Jimmie Johnson</t>
  </si>
  <si>
    <t>New Era Printing</t>
  </si>
  <si>
    <t>Gateway Insurance, 1607 NW 136 Ave, B200, Sunrise, FL, 33334</t>
  </si>
  <si>
    <t>Luis Golondrino</t>
  </si>
  <si>
    <t>Lafrance Golondrino Law</t>
  </si>
  <si>
    <t>954-998-4567</t>
  </si>
  <si>
    <t>Gateway Insurance, 1607 NW 136 Ave, B200, Sunrise, FL, 33335</t>
  </si>
  <si>
    <t>Olivier Maes</t>
  </si>
  <si>
    <t>Llandaff Professional Services</t>
  </si>
  <si>
    <t>561-324-1616</t>
  </si>
  <si>
    <t>Gateway Insurance, 1607 NW 136 Ave, B200, Sunrise, FL, 33336</t>
  </si>
  <si>
    <t>Rockilee Warren</t>
  </si>
  <si>
    <t>Maid in a Minute 1 LLC</t>
  </si>
  <si>
    <t>855-646-8835</t>
  </si>
  <si>
    <t>Gateway Insurance, 1607 NW 136 Ave, B200, Sunrise, FL, 33337</t>
  </si>
  <si>
    <t>Todd Victor</t>
  </si>
  <si>
    <t>Levi &amp; Associates Insurance</t>
  </si>
  <si>
    <t>BNI Champions</t>
  </si>
  <si>
    <t>Cooper Diner, 10076 Griffin Rd, Cooper City, FL, 33328</t>
  </si>
  <si>
    <t>Aamir Saeed</t>
  </si>
  <si>
    <t>Cooper Diner, 10076 Griffin Rd, Cooper City, FL, 33329</t>
  </si>
  <si>
    <t>Abe Canaan</t>
  </si>
  <si>
    <t>Central Nexus IT</t>
  </si>
  <si>
    <t>786-585-3226</t>
  </si>
  <si>
    <t>Cooper Diner, 10076 Griffin Rd, Cooper City, FL, 33330</t>
  </si>
  <si>
    <t>Ali Cordoves Miller</t>
  </si>
  <si>
    <t>305-805-1990</t>
  </si>
  <si>
    <t>Cooper Diner, 10076 Griffin Rd, Cooper City, FL, 33331</t>
  </si>
  <si>
    <t>Angel Corchado</t>
  </si>
  <si>
    <t>CarMe</t>
  </si>
  <si>
    <t>Auto/Car Sales</t>
  </si>
  <si>
    <t>Cooper Diner, 10076 Griffin Rd, Cooper City, FL, 33332</t>
  </si>
  <si>
    <t>Brian S Hunt</t>
  </si>
  <si>
    <t>Plantation Health and Wellness</t>
  </si>
  <si>
    <t>(954) 321-9501</t>
  </si>
  <si>
    <t>Cooper Diner, 10076 Griffin Rd, Cooper City, FL, 33333</t>
  </si>
  <si>
    <t>Christy Brigman</t>
  </si>
  <si>
    <t>ADR Partners</t>
  </si>
  <si>
    <t>(954) 465-3170</t>
  </si>
  <si>
    <t>Cooper Diner, 10076 Griffin Rd, Cooper City, FL, 33334</t>
  </si>
  <si>
    <t>Dana Ressler</t>
  </si>
  <si>
    <t>First Trust Mortgage</t>
  </si>
  <si>
    <t>561-400-4621</t>
  </si>
  <si>
    <t>Cooper Diner, 10076 Griffin Rd, Cooper City, FL, 33335</t>
  </si>
  <si>
    <t>DARRELL SHELTON</t>
  </si>
  <si>
    <t>DARRELL SHELTON STATE FARM</t>
  </si>
  <si>
    <t>954-603-3187</t>
  </si>
  <si>
    <t>Cooper Diner, 10076 Griffin Rd, Cooper City, FL, 33336</t>
  </si>
  <si>
    <t>Ilan Lewinger</t>
  </si>
  <si>
    <t>Keyes Commercial Realtor</t>
  </si>
  <si>
    <t>305-785-6097</t>
  </si>
  <si>
    <t>Cooper Diner, 10076 Griffin Rd, Cooper City, FL, 33337</t>
  </si>
  <si>
    <t>Johnny Madriz</t>
  </si>
  <si>
    <t>Serhant</t>
  </si>
  <si>
    <t>Cooper Diner, 10076 Griffin Rd, Cooper City, FL, 33338</t>
  </si>
  <si>
    <t>Justin Cohen</t>
  </si>
  <si>
    <t>Galsterer &amp; Abromowitz</t>
  </si>
  <si>
    <t>Cooper Diner, 10076 Griffin Rd, Cooper City, FL, 33339</t>
  </si>
  <si>
    <t>Marleen Applebaum</t>
  </si>
  <si>
    <t>MA Construction Group LLC</t>
  </si>
  <si>
    <t>Cooper Diner, 10076 Griffin Rd, Cooper City, FL, 33340</t>
  </si>
  <si>
    <t>Massimo Reboa</t>
  </si>
  <si>
    <t>Reboa Law Firm</t>
  </si>
  <si>
    <t>(954) 530 - 9781</t>
  </si>
  <si>
    <t>Cooper Diner, 10076 Griffin Rd, Cooper City, FL, 33341</t>
  </si>
  <si>
    <t>Morris Esquenazi</t>
  </si>
  <si>
    <t>Morris Financial - Northwestern Mutual</t>
  </si>
  <si>
    <t>786-797-1989</t>
  </si>
  <si>
    <t>Cooper Diner, 10076 Griffin Rd, Cooper City, FL, 33342</t>
  </si>
  <si>
    <t>Sean OHalloran</t>
  </si>
  <si>
    <t>954-289-9000</t>
  </si>
  <si>
    <t>Cooper Diner, 10076 Griffin Rd, Cooper City, FL, 33343</t>
  </si>
  <si>
    <t>Staci Parrish</t>
  </si>
  <si>
    <t>954-485-5788</t>
  </si>
  <si>
    <t>BNI Wealth Builders</t>
  </si>
  <si>
    <t>Adam S. Zipper</t>
  </si>
  <si>
    <t>Strock &amp; Cohen</t>
  </si>
  <si>
    <t>954-617-9676</t>
  </si>
  <si>
    <t>Bobby Fountain</t>
  </si>
  <si>
    <t>Cross Country Mortgage</t>
  </si>
  <si>
    <t>Chris Malkin</t>
  </si>
  <si>
    <t>Edward Jones Investments</t>
  </si>
  <si>
    <t>703-795-7558</t>
  </si>
  <si>
    <t>Christopher Sune</t>
  </si>
  <si>
    <t>Thermascape</t>
  </si>
  <si>
    <t>754-715-6361</t>
  </si>
  <si>
    <t>Claudia Capriles</t>
  </si>
  <si>
    <t>Colleen Laurent</t>
  </si>
  <si>
    <t>Board &amp; Brush - Sunrise</t>
  </si>
  <si>
    <t>954-258-1845</t>
  </si>
  <si>
    <t>Ian Laganiere</t>
  </si>
  <si>
    <t>Lags Home Inspections</t>
  </si>
  <si>
    <t>954-551-6146</t>
  </si>
  <si>
    <t>Michael Cherry</t>
  </si>
  <si>
    <t>AMC FL Roof Consultants</t>
  </si>
  <si>
    <t>Michee Gustin</t>
  </si>
  <si>
    <t>Heat transfer ac services</t>
  </si>
  <si>
    <t>954-901-0325</t>
  </si>
  <si>
    <t>Roberto Gutierrez</t>
  </si>
  <si>
    <t>Sunny Florida Group</t>
  </si>
  <si>
    <t>Stephen Benson</t>
  </si>
  <si>
    <t>Coldwell Banker Realty</t>
  </si>
  <si>
    <t>BNI Legacy</t>
  </si>
  <si>
    <t>Weston Hills Country Club, 2600 Country Club Way, Weston FL, 33332</t>
  </si>
  <si>
    <t>Alex Capiato</t>
  </si>
  <si>
    <t>All Dry Services of Broward &amp; Doral</t>
  </si>
  <si>
    <t>954-744-0644</t>
  </si>
  <si>
    <t>Weston Hills Country Club, 2600 Country Club Way, Weston FL, 33333</t>
  </si>
  <si>
    <t>Alfredo Atencio</t>
  </si>
  <si>
    <t>Central Lawn Maintance</t>
  </si>
  <si>
    <t>754-209-9487</t>
  </si>
  <si>
    <t>Weston Hills Country Club, 2600 Country Club Way, Weston FL, 33334</t>
  </si>
  <si>
    <t>Alfredo Carmona</t>
  </si>
  <si>
    <t>Aldan Plumbing Inc</t>
  </si>
  <si>
    <t>Weston Hills Country Club, 2600 Country Club Way, Weston FL, 33335</t>
  </si>
  <si>
    <t>Amanda Sanford</t>
  </si>
  <si>
    <t>Eyes on 3rd</t>
  </si>
  <si>
    <t>954-908-3937</t>
  </si>
  <si>
    <t>Weston Hills Country Club, 2600 Country Club Way, Weston FL, 33336</t>
  </si>
  <si>
    <t>Ana Paula Pinheiro</t>
  </si>
  <si>
    <t>AMT Reliable Cleaning Services</t>
  </si>
  <si>
    <t>Weston Hills Country Club, 2600 Country Club Way, Weston FL, 33337</t>
  </si>
  <si>
    <t>April Evans</t>
  </si>
  <si>
    <t>Mary Kay Cosmetics</t>
  </si>
  <si>
    <t>954-873-5457</t>
  </si>
  <si>
    <t>Weston Hills Country Club, 2600 Country Club Way, Weston FL, 33338</t>
  </si>
  <si>
    <t>Carlton Morgan</t>
  </si>
  <si>
    <t>C 1 Inspections</t>
  </si>
  <si>
    <t>561-290-0240</t>
  </si>
  <si>
    <t>Weston Hills Country Club, 2600 Country Club Way, Weston FL, 33339</t>
  </si>
  <si>
    <t>Chris Eilers</t>
  </si>
  <si>
    <t>954-900-4330</t>
  </si>
  <si>
    <t>Weston Hills Country Club, 2600 Country Club Way, Weston FL, 33340</t>
  </si>
  <si>
    <t>Denise Panariello</t>
  </si>
  <si>
    <t>Bit-By-Bit Medical Therapeutic Riding Center</t>
  </si>
  <si>
    <t>Weston Hills Country Club, 2600 Country Club Way, Weston FL, 33341</t>
  </si>
  <si>
    <t>Diane Dunkley</t>
  </si>
  <si>
    <t>Jusmax Blinds</t>
  </si>
  <si>
    <t>Weston Hills Country Club, 2600 Country Club Way, Weston FL, 33342</t>
  </si>
  <si>
    <t>Gary Grass</t>
  </si>
  <si>
    <t>Ivy Development Corp</t>
  </si>
  <si>
    <t>954-862-1752</t>
  </si>
  <si>
    <t>Weston Hills Country Club, 2600 Country Club Way, Weston FL, 33343</t>
  </si>
  <si>
    <t>Gerald Culp</t>
  </si>
  <si>
    <t>SOS Air Conditioning</t>
  </si>
  <si>
    <t>954-861-9635</t>
  </si>
  <si>
    <t>Weston Hills Country Club, 2600 Country Club Way, Weston FL, 33344</t>
  </si>
  <si>
    <t>Jerry Nieves</t>
  </si>
  <si>
    <t>GSnow Creative Branding &amp; Design Agency</t>
  </si>
  <si>
    <t>(954)300-6110</t>
  </si>
  <si>
    <t>Weston Hills Country Club, 2600 Country Club Way, Weston FL, 33345</t>
  </si>
  <si>
    <t>Jimmy Moncada</t>
  </si>
  <si>
    <t>Scorpion fire and safety</t>
  </si>
  <si>
    <t>Weston Hills Country Club, 2600 Country Club Way, Weston FL, 33346</t>
  </si>
  <si>
    <t>John Benevento</t>
  </si>
  <si>
    <t>Fix It Physical Therapy</t>
  </si>
  <si>
    <t>954-368-4598</t>
  </si>
  <si>
    <t>Weston Hills Country Club, 2600 Country Club Way, Weston FL, 33347</t>
  </si>
  <si>
    <t>John Peña</t>
  </si>
  <si>
    <t>MotorBreeze</t>
  </si>
  <si>
    <t>305 525 2217</t>
  </si>
  <si>
    <t>Weston Hills Country Club, 2600 Country Club Way, Weston FL, 33348</t>
  </si>
  <si>
    <t>John "JR" Pisula</t>
  </si>
  <si>
    <t>C &amp; C Insurance</t>
  </si>
  <si>
    <t>954-804-4606</t>
  </si>
  <si>
    <t>Weston Hills Country Club, 2600 Country Club Way, Weston FL, 33349</t>
  </si>
  <si>
    <t>Juan Mendiri</t>
  </si>
  <si>
    <t>Zumak Construction LLC</t>
  </si>
  <si>
    <t>Weston Hills Country Club, 2600 Country Club Way, Weston FL, 33350</t>
  </si>
  <si>
    <t>Juan Daniel Tomasini Marin</t>
  </si>
  <si>
    <t>The Trusty Handyman</t>
  </si>
  <si>
    <t>(954) 477-7148</t>
  </si>
  <si>
    <t>Weston Hills Country Club, 2600 Country Club Way, Weston FL, 33351</t>
  </si>
  <si>
    <t>Julie Cohen</t>
  </si>
  <si>
    <t>Cohen &amp; Zipper Law Firm</t>
  </si>
  <si>
    <t>954-634-1771</t>
  </si>
  <si>
    <t>Weston Hills Country Club, 2600 Country Club Way, Weston FL, 33352</t>
  </si>
  <si>
    <t>Kevin Donato</t>
  </si>
  <si>
    <t>Apple Printing &amp; Advertising Specialities</t>
  </si>
  <si>
    <t>Weston Hills Country Club, 2600 Country Club Way, Weston FL, 33353</t>
  </si>
  <si>
    <t>Lauren Machin</t>
  </si>
  <si>
    <t>Weston Hills Country Club, 2600 Country Club Way, Weston FL, 33354</t>
  </si>
  <si>
    <t>Lawrence Klitzman</t>
  </si>
  <si>
    <t>Klitzman Law Group</t>
  </si>
  <si>
    <t>954-384-4421</t>
  </si>
  <si>
    <t>Weston Hills Country Club, 2600 Country Club Way, Weston FL, 33355</t>
  </si>
  <si>
    <t>Lorenzo Martinez</t>
  </si>
  <si>
    <t>786-985-3720</t>
  </si>
  <si>
    <t>Weston Hills Country Club, 2600 Country Club Way, Weston FL, 33356</t>
  </si>
  <si>
    <t>Luis Vicioso</t>
  </si>
  <si>
    <t>SOLE HEALTH MEDICAL CENTER</t>
  </si>
  <si>
    <t>954-534-7696</t>
  </si>
  <si>
    <t>Weston Hills Country Club, 2600 Country Club Way, Weston FL, 33357</t>
  </si>
  <si>
    <t>Marilyn Mazzara</t>
  </si>
  <si>
    <t>Mazzara Personal Life Coaching</t>
  </si>
  <si>
    <t>Weston Hills Country Club, 2600 Country Club Way, Weston FL, 33358</t>
  </si>
  <si>
    <t>Matthew Bolton</t>
  </si>
  <si>
    <t>Marc O'Connor CPA</t>
  </si>
  <si>
    <t>Weston Hills Country Club, 2600 Country Club Way, Weston FL, 33359</t>
  </si>
  <si>
    <t>Matthew Harris</t>
  </si>
  <si>
    <t>Market Your Corp</t>
  </si>
  <si>
    <t>Weston Hills Country Club, 2600 Country Club Way, Weston FL, 33360</t>
  </si>
  <si>
    <t>Michael Eisner</t>
  </si>
  <si>
    <t>Remax Select Group</t>
  </si>
  <si>
    <t>Weston Hills Country Club, 2600 Country Club Way, Weston FL, 33361</t>
  </si>
  <si>
    <t>Neil Dhawan</t>
  </si>
  <si>
    <t>Dream Legal</t>
  </si>
  <si>
    <t>Weston Hills Country Club, 2600 Country Club Way, Weston FL, 33362</t>
  </si>
  <si>
    <t>Peter Vargas</t>
  </si>
  <si>
    <t>Perfect Choice Building</t>
  </si>
  <si>
    <t>Weston Hills Country Club, 2600 Country Club Way, Weston FL, 33363</t>
  </si>
  <si>
    <t>Richard Alton</t>
  </si>
  <si>
    <t>Alton Law</t>
  </si>
  <si>
    <t>Weston Hills Country Club, 2600 Country Club Way, Weston FL, 33364</t>
  </si>
  <si>
    <t>Richard Lucas</t>
  </si>
  <si>
    <t>Pest Team</t>
  </si>
  <si>
    <t>+19546515358</t>
  </si>
  <si>
    <t>Weston Hills Country Club, 2600 Country Club Way, Weston FL, 33365</t>
  </si>
  <si>
    <t>Robbi Auerbach</t>
  </si>
  <si>
    <t>Lokation Real Estate</t>
  </si>
  <si>
    <t>Weston Hills Country Club, 2600 Country Club Way, Weston FL, 33366</t>
  </si>
  <si>
    <t>Robert Livingstone</t>
  </si>
  <si>
    <t>NoRate.Com 0% Credit Card Processing</t>
  </si>
  <si>
    <t>561-319-8349</t>
  </si>
  <si>
    <t>Weston Hills Country Club, 2600 Country Club Way, Weston FL, 33367</t>
  </si>
  <si>
    <t>Sal Aleguas</t>
  </si>
  <si>
    <t>Adam's Benefits</t>
  </si>
  <si>
    <t>Weston Hills Country Club, 2600 Country Club Way, Weston FL, 33368</t>
  </si>
  <si>
    <t>Sandra King</t>
  </si>
  <si>
    <t>Elements of Design Int'l</t>
  </si>
  <si>
    <t>Weston Hills Country Club, 2600 Country Club Way, Weston FL, 33369</t>
  </si>
  <si>
    <t>Scott Meier</t>
  </si>
  <si>
    <t>M3 Contracting</t>
  </si>
  <si>
    <t>561-558-4251</t>
  </si>
  <si>
    <t>Weston Hills Country Club, 2600 Country Club Way, Weston FL, 33370</t>
  </si>
  <si>
    <t>Sean Collin</t>
  </si>
  <si>
    <t>Law Office of Sean L. Collin</t>
  </si>
  <si>
    <t>954-414-4644</t>
  </si>
  <si>
    <t>Weston Hills Country Club, 2600 Country Club Way, Weston FL, 33371</t>
  </si>
  <si>
    <t>Stephen Lombardi</t>
  </si>
  <si>
    <t>ClaimsPro Consulting</t>
  </si>
  <si>
    <t>954-394-4791</t>
  </si>
  <si>
    <t>Weston Hills Country Club, 2600 Country Club Way, Weston FL, 33372</t>
  </si>
  <si>
    <t>Steve Kaufman</t>
  </si>
  <si>
    <t>954-713-8440</t>
  </si>
  <si>
    <t>Weston Hills Country Club, 2600 Country Club Way, Weston FL, 33373</t>
  </si>
  <si>
    <t>Steven Osorio</t>
  </si>
  <si>
    <t>Smart Florida Homes</t>
  </si>
  <si>
    <t>+19543103999</t>
  </si>
  <si>
    <t>Weston Hills Country Club, 2600 Country Club Way, Weston FL, 33374</t>
  </si>
  <si>
    <t>Stuart Cohen</t>
  </si>
  <si>
    <t>Baron Herskowitz &amp; Cohen</t>
  </si>
  <si>
    <t>305-670-0101</t>
  </si>
  <si>
    <t>Weston Hills Country Club, 2600 Country Club Way, Weston FL, 33375</t>
  </si>
  <si>
    <t>Tonya Quarequio</t>
  </si>
  <si>
    <t>Celebrity Mortgage Corporation</t>
  </si>
  <si>
    <t>954-527-0253</t>
  </si>
  <si>
    <t>Weston Hills Country Club, 2600 Country Club Way, Weston FL, 33376</t>
  </si>
  <si>
    <t>Victor Zarrilli</t>
  </si>
  <si>
    <t>Family Insurance Services</t>
  </si>
  <si>
    <t>954-431-1233</t>
  </si>
  <si>
    <t>Weston Hills Country Club, 2600 Country Club Way, Weston FL, 33377</t>
  </si>
  <si>
    <t>Xavier Cimetta</t>
  </si>
  <si>
    <t>Cimetta Design</t>
  </si>
  <si>
    <t>954-680-4584</t>
  </si>
  <si>
    <t>BNI Rainmakers</t>
  </si>
  <si>
    <t>Weston Hills Country Club, 2600 Country Club Way, Weston, FL, 33332</t>
  </si>
  <si>
    <t>Alejandro Uribe</t>
  </si>
  <si>
    <t>Weston Hills Country Club, 2600 Country Club Way, Weston, FL, 33333</t>
  </si>
  <si>
    <t>Andres Arias</t>
  </si>
  <si>
    <t>AdvantaClean of Ft Lauderdale</t>
  </si>
  <si>
    <t>Weston Hills Country Club, 2600 Country Club Way, Weston, FL, 33334</t>
  </si>
  <si>
    <t>Ashley Woods</t>
  </si>
  <si>
    <t>The Woods Wellness Group</t>
  </si>
  <si>
    <t>(954) 560-8271</t>
  </si>
  <si>
    <t>Weston Hills Country Club, 2600 Country Club Way, Weston, FL, 33335</t>
  </si>
  <si>
    <t>Bray LaDow</t>
  </si>
  <si>
    <t>Pitbull Payments</t>
  </si>
  <si>
    <t>772-528-7536</t>
  </si>
  <si>
    <t>Weston Hills Country Club, 2600 Country Club Way, Weston, FL, 33336</t>
  </si>
  <si>
    <t>Camila Barrionuevo</t>
  </si>
  <si>
    <t>Key to Happy Dogs</t>
  </si>
  <si>
    <t>Animals (Other)</t>
  </si>
  <si>
    <t>954-801-4020</t>
  </si>
  <si>
    <t>Weston Hills Country Club, 2600 Country Club Way, Weston, FL, 33337</t>
  </si>
  <si>
    <t>Carolina Pedroza</t>
  </si>
  <si>
    <t>Commercial Real Estate Advisor</t>
  </si>
  <si>
    <t>+17868948000</t>
  </si>
  <si>
    <t>Weston Hills Country Club, 2600 Country Club Way, Weston, FL, 33338</t>
  </si>
  <si>
    <t>Chris Mazzara</t>
  </si>
  <si>
    <t>Chris Mazzara Success Coaching</t>
  </si>
  <si>
    <t>954-732-2453</t>
  </si>
  <si>
    <t>Weston Hills Country Club, 2600 Country Club Way, Weston, FL, 33339</t>
  </si>
  <si>
    <t>Christopher Zanyk</t>
  </si>
  <si>
    <t>InnoWave</t>
  </si>
  <si>
    <t>Weston Hills Country Club, 2600 Country Club Way, Weston, FL, 33340</t>
  </si>
  <si>
    <t>Czar Derequito</t>
  </si>
  <si>
    <t>ZQ Brand</t>
  </si>
  <si>
    <t>Weston Hills Country Club, 2600 Country Club Way, Weston, FL, 33341</t>
  </si>
  <si>
    <t>Daniel Villasmil</t>
  </si>
  <si>
    <t>The Landscaping People Inc.</t>
  </si>
  <si>
    <t>954-440-8433</t>
  </si>
  <si>
    <t>Weston Hills Country Club, 2600 Country Club Way, Weston, FL, 33342</t>
  </si>
  <si>
    <t>Danielle Stief</t>
  </si>
  <si>
    <t>Legacy Legal Group</t>
  </si>
  <si>
    <t>954-271-0120</t>
  </si>
  <si>
    <t>Weston Hills Country Club, 2600 Country Club Way, Weston, FL, 33343</t>
  </si>
  <si>
    <t>Diego Rutenberg</t>
  </si>
  <si>
    <t>Holistic Specialists</t>
  </si>
  <si>
    <t>Weston Hills Country Club, 2600 Country Club Way, Weston, FL, 33344</t>
  </si>
  <si>
    <t>Enrique Story</t>
  </si>
  <si>
    <t>TeraInsight Media</t>
  </si>
  <si>
    <t>Weston Hills Country Club, 2600 Country Club Way, Weston, FL, 33345</t>
  </si>
  <si>
    <t>Eric Falk</t>
  </si>
  <si>
    <t>Falk &amp; Falk PA</t>
  </si>
  <si>
    <t>(305) 279-0999</t>
  </si>
  <si>
    <t>Weston Hills Country Club, 2600 Country Club Way, Weston, FL, 33346</t>
  </si>
  <si>
    <t>Gabriela Thierer</t>
  </si>
  <si>
    <t>TCGC</t>
  </si>
  <si>
    <t>+1 (954) 588-7711</t>
  </si>
  <si>
    <t>Weston Hills Country Club, 2600 Country Club Way, Weston, FL, 33347</t>
  </si>
  <si>
    <t>Gilberto Mosquera</t>
  </si>
  <si>
    <t>Pure</t>
  </si>
  <si>
    <t>954-536-1048</t>
  </si>
  <si>
    <t>Weston Hills Country Club, 2600 Country Club Way, Weston, FL, 33348</t>
  </si>
  <si>
    <t>Jason Stoss</t>
  </si>
  <si>
    <t>954-349-6203</t>
  </si>
  <si>
    <t>Weston Hills Country Club, 2600 Country Club Way, Weston, FL, 33349</t>
  </si>
  <si>
    <t>Jay Ieronimo's</t>
  </si>
  <si>
    <t>5forks catering</t>
  </si>
  <si>
    <t>Weston Hills Country Club, 2600 Country Club Way, Weston, FL, 33350</t>
  </si>
  <si>
    <t>Jorge Tomasini</t>
  </si>
  <si>
    <t>954-225-0967</t>
  </si>
  <si>
    <t>Weston Hills Country Club, 2600 Country Club Way, Weston, FL, 33351</t>
  </si>
  <si>
    <t>Megan Lopez</t>
  </si>
  <si>
    <t>Hachar Law Group</t>
  </si>
  <si>
    <t>Weston Hills Country Club, 2600 Country Club Way, Weston, FL, 33352</t>
  </si>
  <si>
    <t>Meyleen Izquierdo</t>
  </si>
  <si>
    <t>Pearly White Dental Spa</t>
  </si>
  <si>
    <t>Weston Hills Country Club, 2600 Country Club Way, Weston, FL, 33353</t>
  </si>
  <si>
    <t>Michael Kopek</t>
  </si>
  <si>
    <t>MJK Health Quotes</t>
  </si>
  <si>
    <t>772-284-0081</t>
  </si>
  <si>
    <t>Weston Hills Country Club, 2600 Country Club Way, Weston, FL, 33354</t>
  </si>
  <si>
    <t>Mitchell Nowack</t>
  </si>
  <si>
    <t>Nowack &amp; Olson</t>
  </si>
  <si>
    <t>954-349-2265</t>
  </si>
  <si>
    <t>Weston Hills Country Club, 2600 Country Club Way, Weston, FL, 33355</t>
  </si>
  <si>
    <t>Nestor Di Marco</t>
  </si>
  <si>
    <t>CertaPro Painters of East Broward</t>
  </si>
  <si>
    <t>Weston Hills Country Club, 2600 Country Club Way, Weston, FL, 33356</t>
  </si>
  <si>
    <t>Pat Diaz CFE AHFI</t>
  </si>
  <si>
    <t>Pat Diaz &amp; Associates Private Investigations</t>
  </si>
  <si>
    <t>305-992-4711</t>
  </si>
  <si>
    <t>Weston Hills Country Club, 2600 Country Club Way, Weston, FL, 33357</t>
  </si>
  <si>
    <t>Paula Romo</t>
  </si>
  <si>
    <t>LeadSmith</t>
  </si>
  <si>
    <t>954-945-9706</t>
  </si>
  <si>
    <t>Weston Hills Country Club, 2600 Country Club Way, Weston, FL, 33358</t>
  </si>
  <si>
    <t>Perla Sole Calas</t>
  </si>
  <si>
    <t>305-827-0084</t>
  </si>
  <si>
    <t>Weston Hills Country Club, 2600 Country Club Way, Weston, FL, 33359</t>
  </si>
  <si>
    <t>Ramon Ortega</t>
  </si>
  <si>
    <t>Ramon Ortega CPA</t>
  </si>
  <si>
    <t>954-465-9315</t>
  </si>
  <si>
    <t>Weston Hills Country Club, 2600 Country Club Way, Weston, FL, 33360</t>
  </si>
  <si>
    <t>Raul Ascarrunz</t>
  </si>
  <si>
    <t>Kantuta Corp.</t>
  </si>
  <si>
    <t>786-368-7907</t>
  </si>
  <si>
    <t>Weston Hills Country Club, 2600 Country Club Way, Weston, FL, 33361</t>
  </si>
  <si>
    <t>Renzo Serpone</t>
  </si>
  <si>
    <t>SeaCoast Bank</t>
  </si>
  <si>
    <t>Weston Hills Country Club, 2600 Country Club Way, Weston, FL, 33362</t>
  </si>
  <si>
    <t>Robert Polito</t>
  </si>
  <si>
    <t>Level Up Technology</t>
  </si>
  <si>
    <t>Weston Hills Country Club, 2600 Country Club Way, Weston, FL, 33363</t>
  </si>
  <si>
    <t>Ruth Rutenberg</t>
  </si>
  <si>
    <t>City Group Consulting LLC</t>
  </si>
  <si>
    <t>954-709-9300</t>
  </si>
  <si>
    <t>Weston Hills Country Club, 2600 Country Club Way, Weston, FL, 33364</t>
  </si>
  <si>
    <t>Scott Hershenson</t>
  </si>
  <si>
    <t>Hershenson Immigration Law Firm</t>
  </si>
  <si>
    <t>954-990-9914</t>
  </si>
  <si>
    <t>Weston Hills Country Club, 2600 Country Club Way, Weston, FL, 33365</t>
  </si>
  <si>
    <t>Tatiana Garcia</t>
  </si>
  <si>
    <t>The Key</t>
  </si>
  <si>
    <t>Weston Hills Country Club, 2600 Country Club Way, Weston, FL, 33366</t>
  </si>
  <si>
    <t>Todd Wehn</t>
  </si>
  <si>
    <t>We Insure Inc</t>
  </si>
  <si>
    <t>954-862-3881</t>
  </si>
  <si>
    <t>Prosperity BNI</t>
  </si>
  <si>
    <t>Amanda Deering White</t>
  </si>
  <si>
    <t>Invictus Law</t>
  </si>
  <si>
    <t>949-287-5711</t>
  </si>
  <si>
    <t>Christopher Tansey</t>
  </si>
  <si>
    <t>Cerset Costa Mesa</t>
  </si>
  <si>
    <t>David E. Libman Esq. LL.M.</t>
  </si>
  <si>
    <t>Law Office of David E. Libman</t>
  </si>
  <si>
    <t>714-835-5740</t>
  </si>
  <si>
    <t>Dr. Mike Johnson</t>
  </si>
  <si>
    <t>Breakthrough Coaching Solutions</t>
  </si>
  <si>
    <t>714-257-1012</t>
  </si>
  <si>
    <t>Gary Polston</t>
  </si>
  <si>
    <t>The Law Office of Gary Polston</t>
  </si>
  <si>
    <t>Joel Clark</t>
  </si>
  <si>
    <t>Farmers Insurance</t>
  </si>
  <si>
    <t>949-250-3361</t>
  </si>
  <si>
    <t>Jonathan Obest</t>
  </si>
  <si>
    <t>Modern Woodmen of America</t>
  </si>
  <si>
    <t>949-716-5156</t>
  </si>
  <si>
    <t>Joshua Rogers</t>
  </si>
  <si>
    <t>Schlau Rogers LLP</t>
  </si>
  <si>
    <t>Kamron Nahavandi</t>
  </si>
  <si>
    <t>Lifeinsurancereview.com</t>
  </si>
  <si>
    <t>714-833-9652</t>
  </si>
  <si>
    <t>Kelly Markle</t>
  </si>
  <si>
    <t>Loans Direct</t>
  </si>
  <si>
    <t>Neha Patel</t>
  </si>
  <si>
    <t>North Orange County Chiropractic &amp; Wellness Center</t>
  </si>
  <si>
    <t>(714) 256-0411</t>
  </si>
  <si>
    <t>Priscilla Rael-Albin</t>
  </si>
  <si>
    <t>Re/Max New Dimension</t>
  </si>
  <si>
    <t>(714) 267-6094</t>
  </si>
  <si>
    <t>Ramy Abouelsood</t>
  </si>
  <si>
    <t>Abouelsood &amp; Associates</t>
  </si>
  <si>
    <t>949-417-3317</t>
  </si>
  <si>
    <t>BNI Manhattan 45 - The Breakfast of Champions</t>
  </si>
  <si>
    <t>Bowery Road, 132 Fourth Avenue, New York, NY</t>
  </si>
  <si>
    <t>Aaron Krantz</t>
  </si>
  <si>
    <t>Omni Title Agency</t>
  </si>
  <si>
    <t>Amit Deshpande</t>
  </si>
  <si>
    <t>Claritas Business Services</t>
  </si>
  <si>
    <t>Bryce Shaw</t>
  </si>
  <si>
    <t>Forge Financial</t>
  </si>
  <si>
    <t>508-821-0310</t>
  </si>
  <si>
    <t>Christian Nguyen</t>
  </si>
  <si>
    <t>Citizens Bank</t>
  </si>
  <si>
    <t>Daniel Schneider</t>
  </si>
  <si>
    <t>Offit Kurman</t>
  </si>
  <si>
    <t>David Zahabian</t>
  </si>
  <si>
    <t>Rockbridge Property Management</t>
  </si>
  <si>
    <t>646 856-1188</t>
  </si>
  <si>
    <t>Elliot Warren</t>
  </si>
  <si>
    <t>917-757-4877</t>
  </si>
  <si>
    <t>Emilian Koka</t>
  </si>
  <si>
    <t>Koka-Tech HVAC Inc</t>
  </si>
  <si>
    <t>Giovanni Inga</t>
  </si>
  <si>
    <t>82-3519405</t>
  </si>
  <si>
    <t>Jeff Nolan</t>
  </si>
  <si>
    <t>The Corcoran Group</t>
  </si>
  <si>
    <t>(212) 260-0562</t>
  </si>
  <si>
    <t>Jonathan Feinsilver</t>
  </si>
  <si>
    <t>Jonathan S. Feinsilver</t>
  </si>
  <si>
    <t>Joshua Goldstein</t>
  </si>
  <si>
    <t>Goldstein Mauer PLLC</t>
  </si>
  <si>
    <t>Lazer Gjini</t>
  </si>
  <si>
    <t>M&amp;E Painting LLC</t>
  </si>
  <si>
    <t>Leo Sguera</t>
  </si>
  <si>
    <t>LOSAI Studio</t>
  </si>
  <si>
    <t>Leo Sumbang</t>
  </si>
  <si>
    <t>Metropolitan Coffee House</t>
  </si>
  <si>
    <t>650-238-4348</t>
  </si>
  <si>
    <t>Lisa Pigeon</t>
  </si>
  <si>
    <t>Zaremba Brown PLLC</t>
  </si>
  <si>
    <t>Marc Reichel</t>
  </si>
  <si>
    <t>Qnary LLC</t>
  </si>
  <si>
    <t>Michael Herz</t>
  </si>
  <si>
    <t>Cresa</t>
  </si>
  <si>
    <t>212 389 2367</t>
  </si>
  <si>
    <t>Natasa Tuohy</t>
  </si>
  <si>
    <t>Pierre Janssen</t>
  </si>
  <si>
    <t>LUSHmedia</t>
  </si>
  <si>
    <t>212 213 6558</t>
  </si>
  <si>
    <t>Robert McDonagh</t>
  </si>
  <si>
    <t>RMD floors Inc</t>
  </si>
  <si>
    <t>917 796 7954</t>
  </si>
  <si>
    <t>BNI Success</t>
  </si>
  <si>
    <t>Fairfield Inn and Suites, 1650 SW 145th Avenue, Pembroke Pines, FL, 33027</t>
  </si>
  <si>
    <t>Ed Spallone</t>
  </si>
  <si>
    <t>Bad Dog Home Inspections</t>
  </si>
  <si>
    <t>Fairfield Inn and Suites, 1650 SW 145th Avenue, Pembroke Pines, FL, 33028</t>
  </si>
  <si>
    <t>Heidi Introcaso</t>
  </si>
  <si>
    <t>Omega National Title Agency</t>
  </si>
  <si>
    <t>954-449-7120</t>
  </si>
  <si>
    <t>Fairfield Inn and Suites, 1650 SW 145th Avenue, Pembroke Pines, FL, 33029</t>
  </si>
  <si>
    <t>Jacqueline Griffin-Howard</t>
  </si>
  <si>
    <t>Vehicle Insurance</t>
  </si>
  <si>
    <t>305-676-6768</t>
  </si>
  <si>
    <t>Fairfield Inn and Suites, 1650 SW 145th Avenue, Pembroke Pines, FL, 33030</t>
  </si>
  <si>
    <t>Jim Sayih</t>
  </si>
  <si>
    <t>Special Compass</t>
  </si>
  <si>
    <t>305-297-5328</t>
  </si>
  <si>
    <t>Fairfield Inn and Suites, 1650 SW 145th Avenue, Pembroke Pines, FL, 33031</t>
  </si>
  <si>
    <t>Luis Ugalde</t>
  </si>
  <si>
    <t>Fairfield Inn and Suites, 1650 SW 145th Avenue, Pembroke Pines, FL, 33032</t>
  </si>
  <si>
    <t>Marc Bristol</t>
  </si>
  <si>
    <t>Fairfield Inn and Suites, 1650 SW 145th Avenue, Pembroke Pines, FL, 33033</t>
  </si>
  <si>
    <t>Mark Beideman</t>
  </si>
  <si>
    <t>Fulton Steamer</t>
  </si>
  <si>
    <t>954-436-0060</t>
  </si>
  <si>
    <t>Fairfield Inn and Suites, 1650 SW 145th Avenue, Pembroke Pines, FL, 33034</t>
  </si>
  <si>
    <t>Mark Mastrarrigo</t>
  </si>
  <si>
    <t>First Legal</t>
  </si>
  <si>
    <t>954-820-8535</t>
  </si>
  <si>
    <t>Fairfield Inn and Suites, 1650 SW 145th Avenue, Pembroke Pines, FL, 33035</t>
  </si>
  <si>
    <t>Michele Williams</t>
  </si>
  <si>
    <t>Fairfield Inn and Suites, 1650 SW 145th Avenue, Pembroke Pines, FL, 33036</t>
  </si>
  <si>
    <t>Nicole &amp; Michael Chong</t>
  </si>
  <si>
    <t>Highpoint Accounting &amp; Consulting services</t>
  </si>
  <si>
    <t>(954) 242-9366</t>
  </si>
  <si>
    <t>Fairfield Inn and Suites, 1650 SW 145th Avenue, Pembroke Pines, FL, 33037</t>
  </si>
  <si>
    <t>Paul Stiber</t>
  </si>
  <si>
    <t>Stiber Insurance Services</t>
  </si>
  <si>
    <t>954-510-4706</t>
  </si>
  <si>
    <t>Fairfield Inn and Suites, 1650 SW 145th Avenue, Pembroke Pines, FL, 33038</t>
  </si>
  <si>
    <t>Richard Bennett</t>
  </si>
  <si>
    <t>Demand Influence Media</t>
  </si>
  <si>
    <t>Fairfield Inn and Suites, 1650 SW 145th Avenue, Pembroke Pines, FL, 33039</t>
  </si>
  <si>
    <t>Scott Lombard</t>
  </si>
  <si>
    <t>954-609-8996</t>
  </si>
  <si>
    <t>Fairfield Inn and Suites, 1650 SW 145th Avenue, Pembroke Pines, FL, 33040</t>
  </si>
  <si>
    <t>Solange Ritchie</t>
  </si>
  <si>
    <t>The Law Offices Of Diana Santa Maria</t>
  </si>
  <si>
    <t>Fairfield Inn and Suites, 1650 SW 145th Avenue, Pembroke Pines, FL, 33041</t>
  </si>
  <si>
    <t>Tony Worthington</t>
  </si>
  <si>
    <t>305-926-3329</t>
  </si>
  <si>
    <t>BNI Revival</t>
  </si>
  <si>
    <t>AC Hotel Aventura, 20805, Biscayne Blvd, Aventura, FL, 33180</t>
  </si>
  <si>
    <t>Alexey Ravin</t>
  </si>
  <si>
    <t>AR One A Inc</t>
  </si>
  <si>
    <t>Legal &amp; Accounting &gt; Tax Advisor</t>
  </si>
  <si>
    <t>+1 (305) 978-0556</t>
  </si>
  <si>
    <t>AC Hotel Aventura, 20805, Biscayne Blvd, Aventura, FL, 33181</t>
  </si>
  <si>
    <t>Arelis Roblejo</t>
  </si>
  <si>
    <t>ComForCare Home Care Agency</t>
  </si>
  <si>
    <t>Health &amp; Wellness &gt; In-Home Care</t>
  </si>
  <si>
    <t>AC Hotel Aventura, 20805, Biscayne Blvd, Aventura, FL, 33182</t>
  </si>
  <si>
    <t>Aviv Asoulin</t>
  </si>
  <si>
    <t>EPGD Business Law</t>
  </si>
  <si>
    <t>Legal &amp; Accounting &gt; Business Law</t>
  </si>
  <si>
    <t>786-837-6787</t>
  </si>
  <si>
    <t>AC Hotel Aventura, 20805, Biscayne Blvd, Aventura, FL, 33183</t>
  </si>
  <si>
    <t>Bianca Curticapeanu</t>
  </si>
  <si>
    <t>Klug Law Firm</t>
  </si>
  <si>
    <t>Legal &amp; Accounting &gt; Immigration Law</t>
  </si>
  <si>
    <t>AC Hotel Aventura, 20805, Biscayne Blvd, Aventura, FL, 33184</t>
  </si>
  <si>
    <t>Christian Maroni</t>
  </si>
  <si>
    <t>Maroni Law</t>
  </si>
  <si>
    <t>Legal &amp; Accounting &gt; Criminal Defense Law</t>
  </si>
  <si>
    <t>+1 (305) 315-5370</t>
  </si>
  <si>
    <t>AC Hotel Aventura, 20805, Biscayne Blvd, Aventura, FL, 33185</t>
  </si>
  <si>
    <t>Christina Echeverri</t>
  </si>
  <si>
    <t>Echeverri Law Group</t>
  </si>
  <si>
    <t>Legal &amp; Accounting &gt; Family Law</t>
  </si>
  <si>
    <t>AC Hotel Aventura, 20805, Biscayne Blvd, Aventura, FL, 33186</t>
  </si>
  <si>
    <t>Daniel Nilsen</t>
  </si>
  <si>
    <t>Hopper Electrical Contracting LLC</t>
  </si>
  <si>
    <t>Construction &gt; Electrician</t>
  </si>
  <si>
    <t>AC Hotel Aventura, 20805, Biscayne Blvd, Aventura, FL, 33187</t>
  </si>
  <si>
    <t>Daniel Tarasiuk</t>
  </si>
  <si>
    <t>Rise Home Inspections LLC</t>
  </si>
  <si>
    <t>Real Estate Services &gt; Home Inspection</t>
  </si>
  <si>
    <t>AC Hotel Aventura, 20805, Biscayne Blvd, Aventura, FL, 33188</t>
  </si>
  <si>
    <t>Danny Estremadoyro</t>
  </si>
  <si>
    <t>Weatherguard Roofing &amp; Waterproofing</t>
  </si>
  <si>
    <t>Construction &gt; Roofing &amp; Gutters</t>
  </si>
  <si>
    <t>AC Hotel Aventura, 20805, Biscayne Blvd, Aventura, FL, 33189</t>
  </si>
  <si>
    <t>David Belnap</t>
  </si>
  <si>
    <t>My IDEAL CFO</t>
  </si>
  <si>
    <t>Legal &amp; Accounting &gt; Accounting Services</t>
  </si>
  <si>
    <t>AC Hotel Aventura, 20805, Biscayne Blvd, Aventura, FL, 33190</t>
  </si>
  <si>
    <t>Dr. Jay Reubens</t>
  </si>
  <si>
    <t>Signature Real Estate Companies</t>
  </si>
  <si>
    <t>Consulting &gt; Business Broker</t>
  </si>
  <si>
    <t>AC Hotel Aventura, 20805, Biscayne Blvd, Aventura, FL, 33191</t>
  </si>
  <si>
    <t>Evgeny Rodin</t>
  </si>
  <si>
    <t>Eugene Soul Handyman INC</t>
  </si>
  <si>
    <t>Construction &gt; Handyman</t>
  </si>
  <si>
    <t>AC Hotel Aventura, 20805, Biscayne Blvd, Aventura, FL, 33192</t>
  </si>
  <si>
    <t>Feyzi Pelit</t>
  </si>
  <si>
    <t>Weichert Realty REV Group</t>
  </si>
  <si>
    <t>Real Estate Services &gt; Commercial Real Estate</t>
  </si>
  <si>
    <t>AC Hotel Aventura, 20805, Biscayne Blvd, Aventura, FL, 33193</t>
  </si>
  <si>
    <t>Francisco Blanco</t>
  </si>
  <si>
    <t>Stonebrook Wealth Partners</t>
  </si>
  <si>
    <t>Finance &amp; Insurance &gt; Financial Advisor</t>
  </si>
  <si>
    <t>AC Hotel Aventura, 20805, Biscayne Blvd, Aventura, FL, 33194</t>
  </si>
  <si>
    <t>Gabriel Grana</t>
  </si>
  <si>
    <t>PMI Aventura</t>
  </si>
  <si>
    <t>Real Estate Services &gt; Property Management</t>
  </si>
  <si>
    <t>AC Hotel Aventura, 20805, Biscayne Blvd, Aventura, FL, 33195</t>
  </si>
  <si>
    <t>Joe Steen</t>
  </si>
  <si>
    <t>Empower IT Group</t>
  </si>
  <si>
    <t>Computer &amp; Programming &gt; IT &amp; Networks</t>
  </si>
  <si>
    <t>AC Hotel Aventura, 20805, Biscayne Blvd, Aventura, FL, 33196</t>
  </si>
  <si>
    <t>Joel Arguello</t>
  </si>
  <si>
    <t>Weichert Realtors Rev Group</t>
  </si>
  <si>
    <t>Real Estate Services &gt; Residential Real Estate Agent</t>
  </si>
  <si>
    <t>AC Hotel Aventura, 20805, Biscayne Blvd, Aventura, FL, 33197</t>
  </si>
  <si>
    <t>Jonathan Keffer</t>
  </si>
  <si>
    <t>United Insurance</t>
  </si>
  <si>
    <t>Finance &amp; Insurance &gt; Property &amp; Casualty Insurance</t>
  </si>
  <si>
    <t>954-998-3360</t>
  </si>
  <si>
    <t>AC Hotel Aventura, 20805, Biscayne Blvd, Aventura, FL, 33198</t>
  </si>
  <si>
    <t>Jordana Foster</t>
  </si>
  <si>
    <t>Ready Set Go Beyond LLC</t>
  </si>
  <si>
    <t>Training &amp; Coaching &gt; Leadership Coach</t>
  </si>
  <si>
    <t>AC Hotel Aventura, 20805, Biscayne Blvd, Aventura, FL, 33199</t>
  </si>
  <si>
    <t>Liezl De Dios</t>
  </si>
  <si>
    <t>OutSta part of Zoomployee LLC</t>
  </si>
  <si>
    <t>Employment Activities &gt; Virtual Assistant</t>
  </si>
  <si>
    <t>AC Hotel Aventura, 20805, Biscayne Blvd, Aventura, FL, 33200</t>
  </si>
  <si>
    <t>Melvin Weinberg</t>
  </si>
  <si>
    <t>Aventura Dental Associates</t>
  </si>
  <si>
    <t>Health &amp; Wellness &gt; General Dentist</t>
  </si>
  <si>
    <t>305-931-1987</t>
  </si>
  <si>
    <t>AC Hotel Aventura, 20805, Biscayne Blvd, Aventura, FL, 33201</t>
  </si>
  <si>
    <t>Natanel Wainer</t>
  </si>
  <si>
    <t>Goldstein &amp; Wainer</t>
  </si>
  <si>
    <t>Legal &amp; Accounting &gt; Litigation</t>
  </si>
  <si>
    <t>AC Hotel Aventura, 20805, Biscayne Blvd, Aventura, FL, 33202</t>
  </si>
  <si>
    <t>Pablo Arevalo</t>
  </si>
  <si>
    <t>That 1 Painter</t>
  </si>
  <si>
    <t>Construction &gt; Painter &amp; Decorator</t>
  </si>
  <si>
    <t>AC Hotel Aventura, 20805, Biscayne Blvd, Aventura, FL, 33203</t>
  </si>
  <si>
    <t>Randy Narkir</t>
  </si>
  <si>
    <t>Legacy Solutions Law Firm</t>
  </si>
  <si>
    <t>Legal &amp; Accounting &gt; Estate Planning Law</t>
  </si>
  <si>
    <t>754-292-0912</t>
  </si>
  <si>
    <t>AC Hotel Aventura, 20805, Biscayne Blvd, Aventura, FL, 33204</t>
  </si>
  <si>
    <t>Raquel Raksin</t>
  </si>
  <si>
    <t>SF Local Moving Inc</t>
  </si>
  <si>
    <t>Transport &amp; Shipping &gt; Moving Company</t>
  </si>
  <si>
    <t>AC Hotel Aventura, 20805, Biscayne Blvd, Aventura, FL, 33205</t>
  </si>
  <si>
    <t>Ritch Saint Jean</t>
  </si>
  <si>
    <t>Softlink IQ</t>
  </si>
  <si>
    <t>Computer &amp; Programming &gt; Computer Software</t>
  </si>
  <si>
    <t>AC Hotel Aventura, 20805, Biscayne Blvd, Aventura, FL, 33206</t>
  </si>
  <si>
    <t>Rosana López</t>
  </si>
  <si>
    <t>Baum chiropractic</t>
  </si>
  <si>
    <t>Health &amp; Wellness &gt; Chiropractor</t>
  </si>
  <si>
    <t>+17874674067</t>
  </si>
  <si>
    <t>AC Hotel Aventura, 20805, Biscayne Blvd, Aventura, FL, 33207</t>
  </si>
  <si>
    <t>Sarah Herrero</t>
  </si>
  <si>
    <t>Bach Prep Tutors</t>
  </si>
  <si>
    <t>Training &amp; Coaching &gt; Education Services/Tutor</t>
  </si>
  <si>
    <t>AC Hotel Aventura, 20805, Biscayne Blvd, Aventura, FL, 33208</t>
  </si>
  <si>
    <t>Shraig (Shraggie) Zisman</t>
  </si>
  <si>
    <t>Finance &amp; Insurance &gt; Life and Disability Insurance</t>
  </si>
  <si>
    <t>305-434-2399</t>
  </si>
  <si>
    <t>AC Hotel Aventura, 20805, Biscayne Blvd, Aventura, FL, 33209</t>
  </si>
  <si>
    <t>Stephan Boushira</t>
  </si>
  <si>
    <t>Navidor Payment Solutions</t>
  </si>
  <si>
    <t>Finance &amp; Insurance &gt; Credit Card/Merchant Services</t>
  </si>
  <si>
    <t>(786) 863-1575</t>
  </si>
  <si>
    <t>AC Hotel Aventura, 20805, Biscayne Blvd, Aventura, FL, 33210</t>
  </si>
  <si>
    <t>Susan Golden</t>
  </si>
  <si>
    <t>Rapid Title Services Company</t>
  </si>
  <si>
    <t>Real Estate Services &gt; Title Services</t>
  </si>
  <si>
    <t>305-891-6082</t>
  </si>
  <si>
    <t>AC Hotel Aventura, 20805, Biscayne Blvd, Aventura, FL, 33211</t>
  </si>
  <si>
    <t>Tammy Gammerman</t>
  </si>
  <si>
    <t>Tammyg interiors</t>
  </si>
  <si>
    <t>Architecture &amp; Engineering &gt; Interior Architecture</t>
  </si>
  <si>
    <t>+13055280392</t>
  </si>
  <si>
    <t>AC Hotel Aventura, 20805, Biscayne Blvd, Aventura, FL, 33212</t>
  </si>
  <si>
    <t>Tatiana Chavez</t>
  </si>
  <si>
    <t>TNC Mortgage Corp.</t>
  </si>
  <si>
    <t>Finance &amp; Insurance &gt; Residential Mortgages</t>
  </si>
  <si>
    <t>AC Hotel Aventura, 20805, Biscayne Blvd, Aventura, FL, 33213</t>
  </si>
  <si>
    <t>Tetiana Banks</t>
  </si>
  <si>
    <t>JP Morgan Chase</t>
  </si>
  <si>
    <t>Finance &amp; Insurance &gt; Banking Services</t>
  </si>
  <si>
    <t>AC Hotel Aventura, 20805, Biscayne Blvd, Aventura, FL, 33214</t>
  </si>
  <si>
    <t>Travis Hoopingarner</t>
  </si>
  <si>
    <t>Cabrera Hoopingarner</t>
  </si>
  <si>
    <t>Legal &amp; Accounting &gt; Personal Injury Law</t>
  </si>
  <si>
    <t>786-733-9509</t>
  </si>
  <si>
    <t>AC Hotel Aventura, 20805, Biscayne Blvd, Aventura, FL, 33215</t>
  </si>
  <si>
    <t>Vincent Wongvalle</t>
  </si>
  <si>
    <t>Ambishus LLC</t>
  </si>
  <si>
    <t>Advertising &amp; Marketing &gt; Digital Marketing</t>
  </si>
  <si>
    <t>786-200-9689</t>
  </si>
  <si>
    <t>BNI Lakes Connects</t>
  </si>
  <si>
    <t>Chela's Beer Garden,15301 NW 67th Ave, Miami Lakes,FL 33014</t>
  </si>
  <si>
    <t>Adriana Menendez</t>
  </si>
  <si>
    <t>Growing Days childcare and Learning Center</t>
  </si>
  <si>
    <t>Training &amp; Coaching &gt; Educational Facility</t>
  </si>
  <si>
    <t>305-788-4167</t>
  </si>
  <si>
    <t>Chela's Beer Garden,15301 NW 67th Ave, Miami Lakes,FL 33015</t>
  </si>
  <si>
    <t>Alberto Davila</t>
  </si>
  <si>
    <t>Dapango Technologies</t>
  </si>
  <si>
    <t>Computer &amp; Programming &gt; IT Consultants</t>
  </si>
  <si>
    <t>Chela's Beer Garden,15301 NW 67th Ave, Miami Lakes,FL 33016</t>
  </si>
  <si>
    <t>Alicia Bloom</t>
  </si>
  <si>
    <t>Creations In Bloom</t>
  </si>
  <si>
    <t>Food &amp; Beverage &gt; Caterer</t>
  </si>
  <si>
    <t>305343-5783</t>
  </si>
  <si>
    <t>Chela's Beer Garden,15301 NW 67th Ave, Miami Lakes,FL 33017</t>
  </si>
  <si>
    <t>Anthony Gomez</t>
  </si>
  <si>
    <t>First Origin</t>
  </si>
  <si>
    <t>Chela's Beer Garden,15301 NW 67th Ave, Miami Lakes,FL 33018</t>
  </si>
  <si>
    <t>Christy Sierra</t>
  </si>
  <si>
    <t>Biomedical rehabilitation and wellness</t>
  </si>
  <si>
    <t>Health &amp; Wellness &gt; Health &amp; Wellness (Other)</t>
  </si>
  <si>
    <t>Chela's Beer Garden,15301 NW 67th Ave, Miami Lakes,FL 33019</t>
  </si>
  <si>
    <t>Gabriela Lopez</t>
  </si>
  <si>
    <t>Legal &amp; Accounting &gt; Payroll Service</t>
  </si>
  <si>
    <t>Chela's Beer Garden,15301 NW 67th Ave, Miami Lakes,FL 33020</t>
  </si>
  <si>
    <t>Gloria Garcia</t>
  </si>
  <si>
    <t>Law Office of Gloria Garcia</t>
  </si>
  <si>
    <t>Chela's Beer Garden,15301 NW 67th Ave, Miami Lakes,FL 33021</t>
  </si>
  <si>
    <t>Isabella Falcon</t>
  </si>
  <si>
    <t>Chela's Beer Garden,15301 NW 67th Ave, Miami Lakes,FL 33022</t>
  </si>
  <si>
    <t>Joey Sennett</t>
  </si>
  <si>
    <t>Western &amp; Southern Life</t>
  </si>
  <si>
    <t>Chela's Beer Garden,15301 NW 67th Ave, Miami Lakes,FL 33023</t>
  </si>
  <si>
    <t>Julio Menendez</t>
  </si>
  <si>
    <t>Global Insurance Agency</t>
  </si>
  <si>
    <t>(305) 409-3650</t>
  </si>
  <si>
    <t>Chela's Beer Garden,15301 NW 67th Ave, Miami Lakes,FL 33024</t>
  </si>
  <si>
    <t>Katherine Puig</t>
  </si>
  <si>
    <t>Sharff Wittmer</t>
  </si>
  <si>
    <t>Legal &amp; Accounting &gt; Certified Public Accountant (CPA)</t>
  </si>
  <si>
    <t>Chela's Beer Garden,15301 NW 67th Ave, Miami Lakes,FL 33025</t>
  </si>
  <si>
    <t>Laura Llanos</t>
  </si>
  <si>
    <t>Llanos Dental Group</t>
  </si>
  <si>
    <t>Chela's Beer Garden,15301 NW 67th Ave, Miami Lakes,FL 33026</t>
  </si>
  <si>
    <t>Lissette Padrón</t>
  </si>
  <si>
    <t>Competitive Edge Media</t>
  </si>
  <si>
    <t>Manufacturing &gt; Apparel</t>
  </si>
  <si>
    <t>+1 (305) 370-4478</t>
  </si>
  <si>
    <t>Chela's Beer Garden,15301 NW 67th Ave, Miami Lakes,FL 33027</t>
  </si>
  <si>
    <t>Luis Luigi González Jr</t>
  </si>
  <si>
    <t>My Xcell Network</t>
  </si>
  <si>
    <t>Chela's Beer Garden,15301 NW 67th Ave, Miami Lakes,FL 33028</t>
  </si>
  <si>
    <t>Lynn Matos</t>
  </si>
  <si>
    <t>RE/MAX Advance Realty / All Keys Real Estate</t>
  </si>
  <si>
    <t>305-790-7952</t>
  </si>
  <si>
    <t>Chela's Beer Garden,15301 NW 67th Ave, Miami Lakes,FL 33029</t>
  </si>
  <si>
    <t>Maria Carla Reyes</t>
  </si>
  <si>
    <t>Esq.Reyes</t>
  </si>
  <si>
    <t>Chela's Beer Garden,15301 NW 67th Ave, Miami Lakes,FL 33030</t>
  </si>
  <si>
    <t>Melissa Aura Martinez</t>
  </si>
  <si>
    <t>Soulates Studio</t>
  </si>
  <si>
    <t>Sports &amp; Leisure &gt; Yoga/Pilates/Qi-gong Trainer</t>
  </si>
  <si>
    <t>(305) 305-7997</t>
  </si>
  <si>
    <t>Chela's Beer Garden,15301 NW 67th Ave, Miami Lakes,FL 33031</t>
  </si>
  <si>
    <t>Michael Campos</t>
  </si>
  <si>
    <t>DeepSleep Studio</t>
  </si>
  <si>
    <t>Chela's Beer Garden,15301 NW 67th Ave, Miami Lakes,FL 33032</t>
  </si>
  <si>
    <t>Michael Quesada</t>
  </si>
  <si>
    <t>First Citizens</t>
  </si>
  <si>
    <t>Chela's Beer Garden,15301 NW 67th Ave, Miami Lakes,FL 33033</t>
  </si>
  <si>
    <t>Michael Sardina</t>
  </si>
  <si>
    <t>Dex Imaging</t>
  </si>
  <si>
    <t>Retail &gt; Office Equipment/Machines</t>
  </si>
  <si>
    <t>Chela's Beer Garden,15301 NW 67th Ave, Miami Lakes,FL 33034</t>
  </si>
  <si>
    <t>Miguel Planas</t>
  </si>
  <si>
    <t>Cangas Law</t>
  </si>
  <si>
    <t>Chela's Beer Garden,15301 NW 67th Ave, Miami Lakes,FL 33035</t>
  </si>
  <si>
    <t>Mireya Valladares</t>
  </si>
  <si>
    <t>Finance &amp; Insurance &gt; Commercial Bank Services</t>
  </si>
  <si>
    <t>Chela's Beer Garden,15301 NW 67th Ave, Miami Lakes,FL 33036</t>
  </si>
  <si>
    <t>Nexcy De La Rosa</t>
  </si>
  <si>
    <t>De La Rosa Family Law Firm</t>
  </si>
  <si>
    <t>786-594-3942</t>
  </si>
  <si>
    <t>Chela's Beer Garden,15301 NW 67th Ave, Miami Lakes,FL 33037</t>
  </si>
  <si>
    <t>Nicolas Trujillo</t>
  </si>
  <si>
    <t>Optimize Health Chiropractic</t>
  </si>
  <si>
    <t>305-972-2243</t>
  </si>
  <si>
    <t>Chela's Beer Garden,15301 NW 67th Ave, Miami Lakes,FL 33038</t>
  </si>
  <si>
    <t>Omar Perdomo</t>
  </si>
  <si>
    <t>Rockett Jett Technologies</t>
  </si>
  <si>
    <t>Chela's Beer Garden,15301 NW 67th Ave, Miami Lakes,FL 33039</t>
  </si>
  <si>
    <t>Rodney Torres</t>
  </si>
  <si>
    <t>Torres Orthodontics</t>
  </si>
  <si>
    <t>Health &amp; Wellness &gt; Orthodontist</t>
  </si>
  <si>
    <t>(786) 319-9057</t>
  </si>
  <si>
    <t>Chela's Beer Garden,15301 NW 67th Ave, Miami Lakes,FL 33040</t>
  </si>
  <si>
    <t>Roxana Tejeda</t>
  </si>
  <si>
    <t>Tejeda Law Group</t>
  </si>
  <si>
    <t>Legal &amp; Accounting &gt; Real Estate Law</t>
  </si>
  <si>
    <t>305-894-9366</t>
  </si>
  <si>
    <t>Chela's Beer Garden,15301 NW 67th Ave, Miami Lakes,FL 33041</t>
  </si>
  <si>
    <t>Ryan Noble</t>
  </si>
  <si>
    <t>4Kids MIiami</t>
  </si>
  <si>
    <t>Organizations &amp; Others &gt; Non-Profits/Fundraising Organizations</t>
  </si>
  <si>
    <t>Chela's Beer Garden,15301 NW 67th Ave, Miami Lakes,FL 33042</t>
  </si>
  <si>
    <t>Shantall Suárez</t>
  </si>
  <si>
    <t>Twyn Hypnosis</t>
  </si>
  <si>
    <t>Health &amp; Wellness &gt; Wellness Coach</t>
  </si>
  <si>
    <t>Chela's Beer Garden,15301 NW 67th Ave, Miami Lakes,FL 33043</t>
  </si>
  <si>
    <t>Suhaill Morales</t>
  </si>
  <si>
    <t>SMM Law P.A.</t>
  </si>
  <si>
    <t>Legal &amp; Accounting &gt; Employment/Labor Law</t>
  </si>
  <si>
    <t>Chela's Beer Garden,15301 NW 67th Ave, Miami Lakes,FL 33044</t>
  </si>
  <si>
    <t>Tracey Gonzalez</t>
  </si>
  <si>
    <t>MD Body Shop Inc.</t>
  </si>
  <si>
    <t>Car &amp; Motorcycle &gt; Auto/Car Body Shop</t>
  </si>
  <si>
    <t>Chela's Beer Garden,15301 NW 67th Ave, Miami Lakes,FL 33045</t>
  </si>
  <si>
    <t>Vonna Smith</t>
  </si>
  <si>
    <t>Weinstein &amp; Cohen</t>
  </si>
  <si>
    <t>Chela's Beer Garden,15301 NW 67th Ave, Miami Lakes,FL 33046</t>
  </si>
  <si>
    <t>Wayne Louk</t>
  </si>
  <si>
    <t>Chela's Beer Garden,15301 NW 67th Ave, Miami Lakes,FL 33047</t>
  </si>
  <si>
    <t>Yanilei Valdes</t>
  </si>
  <si>
    <t>Lakes Family Eye Care</t>
  </si>
  <si>
    <t>Health &amp; Wellness &gt; Optician/Eye Care</t>
  </si>
  <si>
    <t>305-456-7313</t>
  </si>
  <si>
    <t>Chela's Beer Garden,15301 NW 67th Ave, Miami Lakes,FL 33048</t>
  </si>
  <si>
    <t>Yasser Guardarrama</t>
  </si>
  <si>
    <t>Water and Fire Contracting Services</t>
  </si>
  <si>
    <t>Construction &gt; Restoration</t>
  </si>
  <si>
    <t>Chela's Beer Garden,15301 NW 67th Ave, Miami Lakes,FL 33049</t>
  </si>
  <si>
    <t>Yisel Fernandez</t>
  </si>
  <si>
    <t>Mind &amp; Body Integrative Counseling Center</t>
  </si>
  <si>
    <t>Health &amp; Wellness &gt; Counselor/Psychotherapist</t>
  </si>
  <si>
    <t>BNI Miami Lakes</t>
  </si>
  <si>
    <t>Miami Lakes Hotel, 6842 Main Street, Miami Lakes, FL 33014</t>
  </si>
  <si>
    <t>A.J. Garcia</t>
  </si>
  <si>
    <t>Ireland Pay</t>
  </si>
  <si>
    <t>Miami Lakes Hotel, 6842 Main Street, Miami Lakes, FL 33015</t>
  </si>
  <si>
    <t>Aaron Madan</t>
  </si>
  <si>
    <t>Madan Wash &amp; Detail</t>
  </si>
  <si>
    <t>Car &amp; Motorcycle &gt; Auto/Car Detailing</t>
  </si>
  <si>
    <t>Miami Lakes Hotel, 6842 Main Street, Miami Lakes, FL 33016</t>
  </si>
  <si>
    <t>Adry Polo</t>
  </si>
  <si>
    <t>Polo Law Firm</t>
  </si>
  <si>
    <t>786-367-6236</t>
  </si>
  <si>
    <t>Miami Lakes Hotel, 6842 Main Street, Miami Lakes, FL 33017</t>
  </si>
  <si>
    <t>Alan Gonzalez</t>
  </si>
  <si>
    <t>Car &amp; Motorcycle &gt; Auto/Car Sales</t>
  </si>
  <si>
    <t>844 444 5059</t>
  </si>
  <si>
    <t>Miami Lakes Hotel, 6842 Main Street, Miami Lakes, FL 33018</t>
  </si>
  <si>
    <t>Alejandro Miranda</t>
  </si>
  <si>
    <t>Virtrify</t>
  </si>
  <si>
    <t>Employment Activities &gt; Human Resources</t>
  </si>
  <si>
    <t>Miami Lakes Hotel, 6842 Main Street, Miami Lakes, FL 33019</t>
  </si>
  <si>
    <t>Alex Crespi</t>
  </si>
  <si>
    <t>Lakes Orthodontics</t>
  </si>
  <si>
    <t>(305) 820-6800</t>
  </si>
  <si>
    <t>Miami Lakes Hotel, 6842 Main Street, Miami Lakes, FL 33020</t>
  </si>
  <si>
    <t>Ana Hevia</t>
  </si>
  <si>
    <t>Forme Pilates</t>
  </si>
  <si>
    <t>Miami Lakes Hotel, 6842 Main Street, Miami Lakes, FL 33021</t>
  </si>
  <si>
    <t>Annie Gonzalez</t>
  </si>
  <si>
    <t>Vista</t>
  </si>
  <si>
    <t>Personal Services &gt; Funeral Planning/Services</t>
  </si>
  <si>
    <t>Miami Lakes Hotel, 6842 Main Street, Miami Lakes, FL 33022</t>
  </si>
  <si>
    <t>Brant Vogt</t>
  </si>
  <si>
    <t>PRIMERICA FINANCIAL SERVICES</t>
  </si>
  <si>
    <t>305 510 7451</t>
  </si>
  <si>
    <t>Miami Lakes Hotel, 6842 Main Street, Miami Lakes, FL 33023</t>
  </si>
  <si>
    <t>Carlos Andres</t>
  </si>
  <si>
    <t>Miami Lakes Hotel, 6842 Main Street, Miami Lakes, FL 33024</t>
  </si>
  <si>
    <t>Cecilia Rocha</t>
  </si>
  <si>
    <t>Phillip Roche Dry Cleaners</t>
  </si>
  <si>
    <t>Personal Services &gt; Dry Cleaning/Laundry</t>
  </si>
  <si>
    <t>Miami Lakes Hotel, 6842 Main Street, Miami Lakes, FL 33025</t>
  </si>
  <si>
    <t>Danay Hernandez</t>
  </si>
  <si>
    <t>Caricias Adult Daycare</t>
  </si>
  <si>
    <t>Health &amp; Wellness &gt; Health Facility/Gym/Club</t>
  </si>
  <si>
    <t>305-200-9857</t>
  </si>
  <si>
    <t>Miami Lakes Hotel, 6842 Main Street, Miami Lakes, FL 33026</t>
  </si>
  <si>
    <t>Dario Gonzalez</t>
  </si>
  <si>
    <t>MD Body Shop</t>
  </si>
  <si>
    <t>Miami Lakes Hotel, 6842 Main Street, Miami Lakes, FL 33027</t>
  </si>
  <si>
    <t>David Sotolongo</t>
  </si>
  <si>
    <t>Miami Lakes IT</t>
  </si>
  <si>
    <t>(305) 710-7765</t>
  </si>
  <si>
    <t>Miami Lakes Hotel, 6842 Main Street, Miami Lakes, FL 33028</t>
  </si>
  <si>
    <t>Dominick Maurici</t>
  </si>
  <si>
    <t>Caution Fitness INC</t>
  </si>
  <si>
    <t>Health &amp; Wellness &gt; Personal Trainer - Fitness</t>
  </si>
  <si>
    <t>305-205-6161</t>
  </si>
  <si>
    <t>Miami Lakes Hotel, 6842 Main Street, Miami Lakes, FL 33029</t>
  </si>
  <si>
    <t>Elena Mark</t>
  </si>
  <si>
    <t>Jimenez Life and Health</t>
  </si>
  <si>
    <t>Finance &amp; Insurance &gt; Health Insurance</t>
  </si>
  <si>
    <t>Miami Lakes Hotel, 6842 Main Street, Miami Lakes, FL 33030</t>
  </si>
  <si>
    <t>Erika Garcia</t>
  </si>
  <si>
    <t>EG EXPERT SOLUTIONS</t>
  </si>
  <si>
    <t>Finance &amp; Insurance &gt; Insurance Adjuster</t>
  </si>
  <si>
    <t>(305) 490-0050</t>
  </si>
  <si>
    <t>Miami Lakes Hotel, 6842 Main Street, Miami Lakes, FL 33031</t>
  </si>
  <si>
    <t>Gabriel Mena</t>
  </si>
  <si>
    <t>First Class Softwash</t>
  </si>
  <si>
    <t>Real Estate Services &gt; Commercial Cleaning</t>
  </si>
  <si>
    <t>Miami Lakes Hotel, 6842 Main Street, Miami Lakes, FL 33032</t>
  </si>
  <si>
    <t>Guillermo Torres</t>
  </si>
  <si>
    <t>The Sena Group Insurance Services</t>
  </si>
  <si>
    <t>305-823-4086</t>
  </si>
  <si>
    <t>Miami Lakes Hotel, 6842 Main Street, Miami Lakes, FL 33033</t>
  </si>
  <si>
    <t>Helen Costa</t>
  </si>
  <si>
    <t>Costa &amp; Associates</t>
  </si>
  <si>
    <t>305-827-0100</t>
  </si>
  <si>
    <t>Miami Lakes Hotel, 6842 Main Street, Miami Lakes, FL 33034</t>
  </si>
  <si>
    <t>Herberto Galicia</t>
  </si>
  <si>
    <t>FIT THERAPY</t>
  </si>
  <si>
    <t>Health &amp; Wellness &gt; Physical Therapist</t>
  </si>
  <si>
    <t>Miami Lakes Hotel, 6842 Main Street, Miami Lakes, FL 33035</t>
  </si>
  <si>
    <t>Isabella Leal</t>
  </si>
  <si>
    <t>Kid's Choice Learning Center</t>
  </si>
  <si>
    <t>+1 (786) 531-2736</t>
  </si>
  <si>
    <t>Miami Lakes Hotel, 6842 Main Street, Miami Lakes, FL 33036</t>
  </si>
  <si>
    <t>Janel Daniel</t>
  </si>
  <si>
    <t>Janel Daniel LMFT Inc</t>
  </si>
  <si>
    <t>Miami Lakes Hotel, 6842 Main Street, Miami Lakes, FL 33037</t>
  </si>
  <si>
    <t>Jessica Zaldivar</t>
  </si>
  <si>
    <t>DRIP Health &amp; MedSpa</t>
  </si>
  <si>
    <t>Health &amp; Wellness &gt; Health &amp; Wellness Services</t>
  </si>
  <si>
    <t>786-474-4447</t>
  </si>
  <si>
    <t>Miami Lakes Hotel, 6842 Main Street, Miami Lakes, FL 33038</t>
  </si>
  <si>
    <t>Jose Fuentes</t>
  </si>
  <si>
    <t>Fuentes Law Firm</t>
  </si>
  <si>
    <t>786-953-6097</t>
  </si>
  <si>
    <t>Miami Lakes Hotel, 6842 Main Street, Miami Lakes, FL 33039</t>
  </si>
  <si>
    <t>Jose Llano</t>
  </si>
  <si>
    <t>305-775-8951</t>
  </si>
  <si>
    <t>Miami Lakes Hotel, 6842 Main Street, Miami Lakes, FL 33040</t>
  </si>
  <si>
    <t>Jose Martinez</t>
  </si>
  <si>
    <t>Joluma Group Inc</t>
  </si>
  <si>
    <t>Real Estate Services &gt; Real Estate Appraisal</t>
  </si>
  <si>
    <t>+1 (305) 469-2158</t>
  </si>
  <si>
    <t>Miami Lakes Hotel, 6842 Main Street, Miami Lakes, FL 33041</t>
  </si>
  <si>
    <t>Justin Ratcliffe</t>
  </si>
  <si>
    <t>Oxi Fresh</t>
  </si>
  <si>
    <t>(305) 742-6824</t>
  </si>
  <si>
    <t>Miami Lakes Hotel, 6842 Main Street, Miami Lakes, FL 33042</t>
  </si>
  <si>
    <t>Kathy Smith Means</t>
  </si>
  <si>
    <t>Life Styled by Kathy</t>
  </si>
  <si>
    <t>Personal Services &gt; Color &amp; Style Consultant</t>
  </si>
  <si>
    <t>Miami Lakes Hotel, 6842 Main Street, Miami Lakes, FL 33043</t>
  </si>
  <si>
    <t>Kurt Stephenson</t>
  </si>
  <si>
    <t>Formulex Inc</t>
  </si>
  <si>
    <t>Construction &gt; Pest Control</t>
  </si>
  <si>
    <t>Miami Lakes Hotel, 6842 Main Street, Miami Lakes, FL 33044</t>
  </si>
  <si>
    <t>Lexi Vazquez-Maxwell</t>
  </si>
  <si>
    <t>TMT</t>
  </si>
  <si>
    <t>Telecommunications &gt; Telecommunications Products/Services</t>
  </si>
  <si>
    <t>Miami Lakes Hotel, 6842 Main Street, Miami Lakes, FL 33045</t>
  </si>
  <si>
    <t>Lilly Tudela</t>
  </si>
  <si>
    <t>Bon Vivant Charcuterie Market</t>
  </si>
  <si>
    <t>Food &amp; Beverage &gt; Restaurant</t>
  </si>
  <si>
    <t>Miami Lakes Hotel, 6842 Main Street, Miami Lakes, FL 33046</t>
  </si>
  <si>
    <t>Liudmila Labrada</t>
  </si>
  <si>
    <t>Labrada Dental</t>
  </si>
  <si>
    <t>Miami Lakes Hotel, 6842 Main Street, Miami Lakes, FL 33047</t>
  </si>
  <si>
    <t>Lorenzo Cobiella</t>
  </si>
  <si>
    <t>Gastesi Lopez and Mestre</t>
  </si>
  <si>
    <t>Legal &amp; Accounting &gt; Wills/Trusts</t>
  </si>
  <si>
    <t>305-818-9993</t>
  </si>
  <si>
    <t>Miami Lakes Hotel, 6842 Main Street, Miami Lakes, FL 33048</t>
  </si>
  <si>
    <t>Manuel Perez</t>
  </si>
  <si>
    <t>First Origin Mortgage Lenders</t>
  </si>
  <si>
    <t>305-812-6264</t>
  </si>
  <si>
    <t>Miami Lakes Hotel, 6842 Main Street, Miami Lakes, FL 33049</t>
  </si>
  <si>
    <t>Mary Mercado</t>
  </si>
  <si>
    <t>Notary Closers</t>
  </si>
  <si>
    <t>Legal &amp; Accounting &gt; Notary</t>
  </si>
  <si>
    <t>Miami Lakes Hotel, 6842 Main Street, Miami Lakes, FL 33050</t>
  </si>
  <si>
    <t>Maurice R. Costa</t>
  </si>
  <si>
    <t>Miami Lakes Hotel, 6842 Main Street, Miami Lakes, FL 33051</t>
  </si>
  <si>
    <t>Melissa Alton</t>
  </si>
  <si>
    <t>Miami Lakes Hotel, 6842 Main Street, Miami Lakes, FL 33052</t>
  </si>
  <si>
    <t>Nelson Suarez</t>
  </si>
  <si>
    <t>GREFS Roofing LLC</t>
  </si>
  <si>
    <t>Construction &gt; Construction Project Management</t>
  </si>
  <si>
    <t>Miami Lakes Hotel, 6842 Main Street, Miami Lakes, FL 33053</t>
  </si>
  <si>
    <t>Norma Lorenzo</t>
  </si>
  <si>
    <t>Hermanni Law Group</t>
  </si>
  <si>
    <t>305-640-8222</t>
  </si>
  <si>
    <t>Miami Lakes Hotel, 6842 Main Street, Miami Lakes, FL 33054</t>
  </si>
  <si>
    <t>Olga Prat</t>
  </si>
  <si>
    <t>Impressing Design &amp; Printing</t>
  </si>
  <si>
    <t>Advertising &amp; Marketing &gt; Printer</t>
  </si>
  <si>
    <t>Miami Lakes Hotel, 6842 Main Street, Miami Lakes, FL 33055</t>
  </si>
  <si>
    <t>Orlando Aguila</t>
  </si>
  <si>
    <t>Chiromedix Pain &amp; Injury Centers</t>
  </si>
  <si>
    <t>954-367-9124</t>
  </si>
  <si>
    <t>Miami Lakes Hotel, 6842 Main Street, Miami Lakes, FL 33056</t>
  </si>
  <si>
    <t>Pamela Carrera</t>
  </si>
  <si>
    <t>J P Realty Inc</t>
  </si>
  <si>
    <t>305-336-1456</t>
  </si>
  <si>
    <t>Miami Lakes Hotel, 6842 Main Street, Miami Lakes, FL 33057</t>
  </si>
  <si>
    <t>Ray Trujillo</t>
  </si>
  <si>
    <t>South Florida Building Inspections</t>
  </si>
  <si>
    <t>Miami Lakes Hotel, 6842 Main Street, Miami Lakes, FL 33058</t>
  </si>
  <si>
    <t>Raydel Enriquez</t>
  </si>
  <si>
    <t>Vivo Real Estate Group</t>
  </si>
  <si>
    <t>(786) 554 7887</t>
  </si>
  <si>
    <t>Miami Lakes Hotel, 6842 Main Street, Miami Lakes, FL 33059</t>
  </si>
  <si>
    <t>Romy Pego Remior</t>
  </si>
  <si>
    <t>BBW Consulting</t>
  </si>
  <si>
    <t>786-547-6866</t>
  </si>
  <si>
    <t>Miami Lakes Hotel, 6842 Main Street, Miami Lakes, FL 33060</t>
  </si>
  <si>
    <t>Roxana Miranda</t>
  </si>
  <si>
    <t>Vellu Laser</t>
  </si>
  <si>
    <t>Personal Services &gt; Salon/Spa</t>
  </si>
  <si>
    <t>Miami Lakes Hotel, 6842 Main Street, Miami Lakes, FL 33061</t>
  </si>
  <si>
    <t>Staci Merchant</t>
  </si>
  <si>
    <t>Merchant Insurance</t>
  </si>
  <si>
    <t>Finance &amp; Insurance &gt; Commercial Insurance</t>
  </si>
  <si>
    <t>Miami Lakes Hotel, 6842 Main Street, Miami Lakes, FL 33062</t>
  </si>
  <si>
    <t>Tico Casamayor</t>
  </si>
  <si>
    <t>AC Graphics</t>
  </si>
  <si>
    <t>Advertising &amp; Marketing &gt; Web Design</t>
  </si>
  <si>
    <t>305-691-3778</t>
  </si>
  <si>
    <t>Miami Lakes Hotel, 6842 Main Street, Miami Lakes, FL 33063</t>
  </si>
  <si>
    <t>Tony Valdes</t>
  </si>
  <si>
    <t>Major League Signs</t>
  </si>
  <si>
    <t>Advertising &amp; Marketing &gt; Sign Company</t>
  </si>
  <si>
    <t>954-600-5505</t>
  </si>
  <si>
    <t>BNI Hialeah Progress</t>
  </si>
  <si>
    <t>Florida National University, 4425 West 20th Avenue, Hialeah FL, 33012</t>
  </si>
  <si>
    <t>Aileen Martinez</t>
  </si>
  <si>
    <t>Sori Martinez LLC</t>
  </si>
  <si>
    <t>Florida National University, 4425 West 20th Avenue, Hialeah FL, 33013</t>
  </si>
  <si>
    <t>Alejandro Leiva</t>
  </si>
  <si>
    <t>Florida National University, 4425 West 20th Avenue, Hialeah FL, 33014</t>
  </si>
  <si>
    <t>Alex Anez</t>
  </si>
  <si>
    <t>Game Day Men's Health</t>
  </si>
  <si>
    <t>+1 (305) 801-8000</t>
  </si>
  <si>
    <t>Florida National University, 4425 West 20th Avenue, Hialeah FL, 33015</t>
  </si>
  <si>
    <t>Annette Sanchez</t>
  </si>
  <si>
    <t>Annette Sanchez Law</t>
  </si>
  <si>
    <t>(305)796-2273</t>
  </si>
  <si>
    <t>Florida National University, 4425 West 20th Avenue, Hialeah FL, 33016</t>
  </si>
  <si>
    <t>Arthur Santos</t>
  </si>
  <si>
    <t>Florida National University, 4425 West 20th Avenue, Hialeah FL, 33017</t>
  </si>
  <si>
    <t>Bobby Berrido CCIM</t>
  </si>
  <si>
    <t>Fausto Commercial</t>
  </si>
  <si>
    <t>786 260 7507</t>
  </si>
  <si>
    <t>Florida National University, 4425 West 20th Avenue, Hialeah FL, 33018</t>
  </si>
  <si>
    <t>Dagoberto Borbolla</t>
  </si>
  <si>
    <t>Netcom Business IT Solutions</t>
  </si>
  <si>
    <t>305-822-9055</t>
  </si>
  <si>
    <t>Florida National University, 4425 West 20th Avenue, Hialeah FL, 33019</t>
  </si>
  <si>
    <t>Daniel Seoane</t>
  </si>
  <si>
    <t>Lakes Auto Center</t>
  </si>
  <si>
    <t>Car &amp; Motorcycle &gt; Auto/Car Repair</t>
  </si>
  <si>
    <t>Florida National University, 4425 West 20th Avenue, Hialeah FL, 33020</t>
  </si>
  <si>
    <t>Denise Sainz</t>
  </si>
  <si>
    <t>786-229-2779</t>
  </si>
  <si>
    <t>Florida National University, 4425 West 20th Avenue, Hialeah FL, 33021</t>
  </si>
  <si>
    <t>Diego Machado</t>
  </si>
  <si>
    <t>Kravitz Talamo &amp; Leyton</t>
  </si>
  <si>
    <t>305-2974125</t>
  </si>
  <si>
    <t>Florida National University, 4425 West 20th Avenue, Hialeah FL, 33022</t>
  </si>
  <si>
    <t>Eliana Simon</t>
  </si>
  <si>
    <t>Estrella Insurance</t>
  </si>
  <si>
    <t>305-900-7088</t>
  </si>
  <si>
    <t>Florida National University, 4425 West 20th Avenue, Hialeah FL, 33023</t>
  </si>
  <si>
    <t>Elizabeth Fonseca</t>
  </si>
  <si>
    <t>Florida National University, 4425 West 20th Avenue, Hialeah FL, 33024</t>
  </si>
  <si>
    <t>Evelyn Capdevila</t>
  </si>
  <si>
    <t>Quality Physical Therapy</t>
  </si>
  <si>
    <t>Florida National University, 4425 West 20th Avenue, Hialeah FL, 33025</t>
  </si>
  <si>
    <t>Frank Perez-Siam</t>
  </si>
  <si>
    <t>+13057880357</t>
  </si>
  <si>
    <t>Florida National University, 4425 West 20th Avenue, Hialeah FL, 33026</t>
  </si>
  <si>
    <t>Humberto Barroso</t>
  </si>
  <si>
    <t>Elite Lending LLC</t>
  </si>
  <si>
    <t>Florida National University, 4425 West 20th Avenue, Hialeah FL, 33027</t>
  </si>
  <si>
    <t>Joel Hernandez</t>
  </si>
  <si>
    <t>SOHK LLC</t>
  </si>
  <si>
    <t>Advertising &amp; Marketing &gt; Videographer/Film Producer</t>
  </si>
  <si>
    <t>+1 (305) 302-9271</t>
  </si>
  <si>
    <t>Florida National University, 4425 West 20th Avenue, Hialeah FL, 33028</t>
  </si>
  <si>
    <t>Jorge Alvarado</t>
  </si>
  <si>
    <t>Jorge I Alvarado CPA PA</t>
  </si>
  <si>
    <t>(786) 246-0197</t>
  </si>
  <si>
    <t>Florida National University, 4425 West 20th Avenue, Hialeah FL, 33029</t>
  </si>
  <si>
    <t>Jose Diego Gonzalez</t>
  </si>
  <si>
    <t>CameronDowning</t>
  </si>
  <si>
    <t>Florida National University, 4425 West 20th Avenue, Hialeah FL, 33030</t>
  </si>
  <si>
    <t>Josselyn Sarduy</t>
  </si>
  <si>
    <t>Florida National University, 4425 West 20th Avenue, Hialeah FL, 33031</t>
  </si>
  <si>
    <t>Judy Brid</t>
  </si>
  <si>
    <t>Miami Dade College Hialeah</t>
  </si>
  <si>
    <t>Florida National University, 4425 West 20th Avenue, Hialeah FL, 33032</t>
  </si>
  <si>
    <t>Julio Salazar</t>
  </si>
  <si>
    <t>Ocean Paint &amp; Body Shop</t>
  </si>
  <si>
    <t>Florida National University, 4425 West 20th Avenue, Hialeah FL, 33033</t>
  </si>
  <si>
    <t>Larry Brossett</t>
  </si>
  <si>
    <t>Paramount Home Inspection Services</t>
  </si>
  <si>
    <t>305-401-6665</t>
  </si>
  <si>
    <t>Florida National University, 4425 West 20th Avenue, Hialeah FL, 33034</t>
  </si>
  <si>
    <t>Lina Hechevarria</t>
  </si>
  <si>
    <t>AMP Mental Health</t>
  </si>
  <si>
    <t>Health &amp; Wellness &gt; Medical Services</t>
  </si>
  <si>
    <t>305-903-5973</t>
  </si>
  <si>
    <t>Florida National University, 4425 West 20th Avenue, Hialeah FL, 33035</t>
  </si>
  <si>
    <t>Luis Garcia</t>
  </si>
  <si>
    <t>Finance &amp; Insurance &gt; Finance &amp; Insurance (Other)</t>
  </si>
  <si>
    <t>Florida National University, 4425 West 20th Avenue, Hialeah FL, 33036</t>
  </si>
  <si>
    <t>Melvin Gonzalez</t>
  </si>
  <si>
    <t>Cardtide</t>
  </si>
  <si>
    <t>Florida National University, 4425 West 20th Avenue, Hialeah FL, 33037</t>
  </si>
  <si>
    <t>Natalee Lima</t>
  </si>
  <si>
    <t>Hemisphere Title Company</t>
  </si>
  <si>
    <t>305-558-8628</t>
  </si>
  <si>
    <t>Florida National University, 4425 West 20th Avenue, Hialeah FL, 33038</t>
  </si>
  <si>
    <t>Ozzie Herrera</t>
  </si>
  <si>
    <t>Social Center Adult Daycare</t>
  </si>
  <si>
    <t>Personal Services &gt; Senior Service Provider</t>
  </si>
  <si>
    <t>Florida National University, 4425 West 20th Avenue, Hialeah FL, 33039</t>
  </si>
  <si>
    <t>Ray Bofill</t>
  </si>
  <si>
    <t>Florida National University, 4425 West 20th Avenue, Hialeah FL, 33040</t>
  </si>
  <si>
    <t>Victoria Madani</t>
  </si>
  <si>
    <t>Abogadas305</t>
  </si>
  <si>
    <t>877-305-3055</t>
  </si>
  <si>
    <t>Florida National University, 4425 West 20th Avenue, Hialeah FL, 33041</t>
  </si>
  <si>
    <t>Yanira Lopez</t>
  </si>
  <si>
    <t>Florida National University, 4425 West 20th Avenue, Hialeah FL, 33042</t>
  </si>
  <si>
    <t>Yvette La Rosa</t>
  </si>
  <si>
    <t>Specialty Smiles Orthodontics</t>
  </si>
  <si>
    <t>786-438-6356</t>
  </si>
  <si>
    <t>BNI Collaboration</t>
  </si>
  <si>
    <t>Kovens Conference Center, 3000 NE 151 Street, North Miami. FL, 33181</t>
  </si>
  <si>
    <t>Albert Morel</t>
  </si>
  <si>
    <t>A &amp; B Media Solutions</t>
  </si>
  <si>
    <t>Kovens Conference Center, 3000 NE 151 Street, North Miami. FL, 33182</t>
  </si>
  <si>
    <t>Alexander Rey Brooks</t>
  </si>
  <si>
    <t>Kovens Conference Center, 3000 NE 151 Street, North Miami. FL, 33183</t>
  </si>
  <si>
    <t>Arianna Mendez</t>
  </si>
  <si>
    <t>The Law Firm of Arianna M. Mendez PLLC</t>
  </si>
  <si>
    <t>Kovens Conference Center, 3000 NE 151 Street, North Miami. FL, 33184</t>
  </si>
  <si>
    <t>Christine Snelgrove</t>
  </si>
  <si>
    <t>Bauser's Pet Training</t>
  </si>
  <si>
    <t>Animals &gt; Dog Trainer</t>
  </si>
  <si>
    <t>Kovens Conference Center, 3000 NE 151 Street, North Miami. FL, 33185</t>
  </si>
  <si>
    <t>Christopher Bowser</t>
  </si>
  <si>
    <t>Flagstar Bank</t>
  </si>
  <si>
    <t>+13058611077</t>
  </si>
  <si>
    <t>Kovens Conference Center, 3000 NE 151 Street, North Miami. FL, 33186</t>
  </si>
  <si>
    <t>Dan Hoffman</t>
  </si>
  <si>
    <t>Kovens Conference Center, 3000 NE 151 Street, North Miami. FL, 33187</t>
  </si>
  <si>
    <t>David Teles</t>
  </si>
  <si>
    <t>NextGen Partners</t>
  </si>
  <si>
    <t>Consulting &gt; Consulting (Other)</t>
  </si>
  <si>
    <t>+14433063082</t>
  </si>
  <si>
    <t>Kovens Conference Center, 3000 NE 151 Street, North Miami. FL, 33188</t>
  </si>
  <si>
    <t>Eric Sanchez</t>
  </si>
  <si>
    <t>Eric J. Sanchez</t>
  </si>
  <si>
    <t>Kovens Conference Center, 3000 NE 151 Street, North Miami. FL, 33189</t>
  </si>
  <si>
    <t>Erick Lora</t>
  </si>
  <si>
    <t>EFL LAW</t>
  </si>
  <si>
    <t>Kovens Conference Center, 3000 NE 151 Street, North Miami. FL, 33190</t>
  </si>
  <si>
    <t>Gabriel Nerys</t>
  </si>
  <si>
    <t>Voda Cleaning and Restoration</t>
  </si>
  <si>
    <t>305-834-3014</t>
  </si>
  <si>
    <t>Kovens Conference Center, 3000 NE 151 Street, North Miami. FL, 33191</t>
  </si>
  <si>
    <t>Idalmis Rodriguez</t>
  </si>
  <si>
    <t>John Galt Insurance Agency</t>
  </si>
  <si>
    <t>954-903-4064 *108</t>
  </si>
  <si>
    <t>Kovens Conference Center, 3000 NE 151 Street, North Miami. FL, 33192</t>
  </si>
  <si>
    <t>Ire Diaz</t>
  </si>
  <si>
    <t>Advocacy Network on Disabilities</t>
  </si>
  <si>
    <t>+1 (904) 309-1911</t>
  </si>
  <si>
    <t>Kovens Conference Center, 3000 NE 151 Street, North Miami. FL, 33193</t>
  </si>
  <si>
    <t>James C. Murphy</t>
  </si>
  <si>
    <t>Murphy ETC Consulting</t>
  </si>
  <si>
    <t>305-401-6222</t>
  </si>
  <si>
    <t>Kovens Conference Center, 3000 NE 151 Street, North Miami. FL, 33194</t>
  </si>
  <si>
    <t>John Latella</t>
  </si>
  <si>
    <t>305-420-2624</t>
  </si>
  <si>
    <t>Kovens Conference Center, 3000 NE 151 Street, North Miami. FL, 33195</t>
  </si>
  <si>
    <t>Josephine Adizue</t>
  </si>
  <si>
    <t>Joyous Events and Travel. LLC</t>
  </si>
  <si>
    <t>Travel &gt; Travel Agent</t>
  </si>
  <si>
    <t>Kovens Conference Center, 3000 NE 151 Street, North Miami. FL, 33196</t>
  </si>
  <si>
    <t>Karla Flores</t>
  </si>
  <si>
    <t>KMF Professional Services</t>
  </si>
  <si>
    <t>Kovens Conference Center, 3000 NE 151 Street, North Miami. FL, 33197</t>
  </si>
  <si>
    <t>Leon Levy</t>
  </si>
  <si>
    <t>GC LEVYS INVESTMENT LLC</t>
  </si>
  <si>
    <t>Construction &gt; Builder/General Contractor</t>
  </si>
  <si>
    <t>+13054947478</t>
  </si>
  <si>
    <t>Kovens Conference Center, 3000 NE 151 Street, North Miami. FL, 33198</t>
  </si>
  <si>
    <t>Maria Guadamuz</t>
  </si>
  <si>
    <t>Avanti Way Realty</t>
  </si>
  <si>
    <t>Kovens Conference Center, 3000 NE 151 Street, North Miami. FL, 33199</t>
  </si>
  <si>
    <t>Michael Hinton</t>
  </si>
  <si>
    <t>CCIM Florida Chapter</t>
  </si>
  <si>
    <t>Kovens Conference Center, 3000 NE 151 Street, North Miami. FL, 33200</t>
  </si>
  <si>
    <t>Nelanina Fahmie</t>
  </si>
  <si>
    <t>Yacht Book Agency and Nella Nautical</t>
  </si>
  <si>
    <t>Event &amp; Business Service &gt; Events</t>
  </si>
  <si>
    <t>+13059019903</t>
  </si>
  <si>
    <t>Kovens Conference Center, 3000 NE 151 Street, North Miami. FL, 33201</t>
  </si>
  <si>
    <t>Nelson Silveira</t>
  </si>
  <si>
    <t>Kewlpads</t>
  </si>
  <si>
    <t>+17868120368</t>
  </si>
  <si>
    <t>Kovens Conference Center, 3000 NE 151 Street, North Miami. FL, 33202</t>
  </si>
  <si>
    <t>Nora Levy</t>
  </si>
  <si>
    <t>PNC Private Capital</t>
  </si>
  <si>
    <t>(305) 336-8790</t>
  </si>
  <si>
    <t>Kovens Conference Center, 3000 NE 151 Street, North Miami. FL, 33203</t>
  </si>
  <si>
    <t>Phylis W Simpkins</t>
  </si>
  <si>
    <t>Majestic's Vision Lawn &amp; Landscaping</t>
  </si>
  <si>
    <t>Architecture &amp; Engineering &gt; Garden and landscape architect</t>
  </si>
  <si>
    <t>786-443-3277</t>
  </si>
  <si>
    <t>Kovens Conference Center, 3000 NE 151 Street, North Miami. FL, 33204</t>
  </si>
  <si>
    <t>Raphael Garcia</t>
  </si>
  <si>
    <t>Kovens Conference Center, 3000 NE 151 Street, North Miami. FL, 33205</t>
  </si>
  <si>
    <t>Richard Alan Lehrman</t>
  </si>
  <si>
    <t>TrustLegacyLaw</t>
  </si>
  <si>
    <t>(305) 490-3030</t>
  </si>
  <si>
    <t>Kovens Conference Center, 3000 NE 151 Street, North Miami. FL, 33206</t>
  </si>
  <si>
    <t>Rochelle Rosen</t>
  </si>
  <si>
    <t>Health Options USA</t>
  </si>
  <si>
    <t>Kovens Conference Center, 3000 NE 151 Street, North Miami. FL, 33207</t>
  </si>
  <si>
    <t>Ronald Menjivar</t>
  </si>
  <si>
    <t>305-776-1726</t>
  </si>
  <si>
    <t>Kovens Conference Center, 3000 NE 151 Street, North Miami. FL, 33208</t>
  </si>
  <si>
    <t>W A Rudolf Derose</t>
  </si>
  <si>
    <t>Freelance</t>
  </si>
  <si>
    <t>Advertising &amp; Marketing &gt; Advertising Agency</t>
  </si>
  <si>
    <t>Kovens Conference Center, 3000 NE 151 Street, North Miami. FL, 33209</t>
  </si>
  <si>
    <t>Yonel Espinosa</t>
  </si>
  <si>
    <t>Yonels home repair and installation and services LLC</t>
  </si>
  <si>
    <t>+1 (407) 600-6923</t>
  </si>
  <si>
    <t>BNI Miami Beach</t>
  </si>
  <si>
    <t>La Gorce Country Club, 5685 Alton Rd, Miami Beach, FL, 33140</t>
  </si>
  <si>
    <t>Alan Palma</t>
  </si>
  <si>
    <t>Palma Legal Services</t>
  </si>
  <si>
    <t>305 906 1930</t>
  </si>
  <si>
    <t>La Gorce Country Club, 5685 Alton Rd, Miami Beach, FL, 33141</t>
  </si>
  <si>
    <t>Alex Castle</t>
  </si>
  <si>
    <t>La Gorce Country Club, 5685 Alton Rd, Miami Beach, FL, 33142</t>
  </si>
  <si>
    <t>Chris Sebok</t>
  </si>
  <si>
    <t>CMV Commercial Realty</t>
  </si>
  <si>
    <t>La Gorce Country Club, 5685 Alton Rd, Miami Beach, FL, 33143</t>
  </si>
  <si>
    <t>Daniel Novela</t>
  </si>
  <si>
    <t>Novela Law</t>
  </si>
  <si>
    <t>La Gorce Country Club, 5685 Alton Rd, Miami Beach, FL, 33144</t>
  </si>
  <si>
    <t>David Ward</t>
  </si>
  <si>
    <t>Blue Stream Fiber</t>
  </si>
  <si>
    <t>Telecommunications &gt; Telecommunications (Other)</t>
  </si>
  <si>
    <t>La Gorce Country Club, 5685 Alton Rd, Miami Beach, FL, 33145</t>
  </si>
  <si>
    <t>Ernesto Diaz</t>
  </si>
  <si>
    <t>La Gorce Country Club, 5685 Alton Rd, Miami Beach, FL, 33146</t>
  </si>
  <si>
    <t>Iris Segui</t>
  </si>
  <si>
    <t>Segui Financial</t>
  </si>
  <si>
    <t>305-356-4077</t>
  </si>
  <si>
    <t>La Gorce Country Club, 5685 Alton Rd, Miami Beach, FL, 33147</t>
  </si>
  <si>
    <t>Isadora Velazquez</t>
  </si>
  <si>
    <t>Isa Law PA</t>
  </si>
  <si>
    <t>La Gorce Country Club, 5685 Alton Rd, Miami Beach, FL, 33148</t>
  </si>
  <si>
    <t>Ismael Cordoba</t>
  </si>
  <si>
    <t>Florida AC Green</t>
  </si>
  <si>
    <t>Construction &gt; HVAC - Heating &amp; Air</t>
  </si>
  <si>
    <t>La Gorce Country Club, 5685 Alton Rd, Miami Beach, FL, 33149</t>
  </si>
  <si>
    <t>Jacob Fischman</t>
  </si>
  <si>
    <t>GNP Brokerage</t>
  </si>
  <si>
    <t>La Gorce Country Club, 5685 Alton Rd, Miami Beach, FL, 33150</t>
  </si>
  <si>
    <t>Jaime Aranibar</t>
  </si>
  <si>
    <t>Real Property Management Allegiance</t>
  </si>
  <si>
    <t>La Gorce Country Club, 5685 Alton Rd, Miami Beach, FL, 33151</t>
  </si>
  <si>
    <t>JB Slater</t>
  </si>
  <si>
    <t>Uptime Technologies</t>
  </si>
  <si>
    <t>305-535-0054</t>
  </si>
  <si>
    <t>La Gorce Country Club, 5685 Alton Rd, Miami Beach, FL, 33152</t>
  </si>
  <si>
    <t>Jessica Boudreaux (Stowe)</t>
  </si>
  <si>
    <t>Boudreaux Design Studio</t>
  </si>
  <si>
    <t>Construction &gt; Interior Design</t>
  </si>
  <si>
    <t>786-360-5050</t>
  </si>
  <si>
    <t>La Gorce Country Club, 5685 Alton Rd, Miami Beach, FL, 33153</t>
  </si>
  <si>
    <t>Joe Hrbek</t>
  </si>
  <si>
    <t>Servpro of Miami Beach</t>
  </si>
  <si>
    <t>La Gorce Country Club, 5685 Alton Rd, Miami Beach, FL, 33154</t>
  </si>
  <si>
    <t>JORDAN NIEFELD</t>
  </si>
  <si>
    <t>RAYMOND JAMES</t>
  </si>
  <si>
    <t>La Gorce Country Club, 5685 Alton Rd, Miami Beach, FL, 33155</t>
  </si>
  <si>
    <t>Joseph Blanco</t>
  </si>
  <si>
    <t>Poseidon Global Yachts</t>
  </si>
  <si>
    <t>Car &amp; Motorcycle &gt; Car &amp; Motorcycle (Other)</t>
  </si>
  <si>
    <t>La Gorce Country Club, 5685 Alton Rd, Miami Beach, FL, 33156</t>
  </si>
  <si>
    <t>Juan Forero</t>
  </si>
  <si>
    <t>HIGH END AUTOMATION</t>
  </si>
  <si>
    <t>Advertising &amp; Marketing &gt; Home Automation</t>
  </si>
  <si>
    <t>+17869091122</t>
  </si>
  <si>
    <t>La Gorce Country Club, 5685 Alton Rd, Miami Beach, FL, 33157</t>
  </si>
  <si>
    <t>Judson Cohen</t>
  </si>
  <si>
    <t>305-374-1011</t>
  </si>
  <si>
    <t>La Gorce Country Club, 5685 Alton Rd, Miami Beach, FL, 33158</t>
  </si>
  <si>
    <t>Karen Lungarelli</t>
  </si>
  <si>
    <t>Law Offices of Karen E. Lungarelli P.A.</t>
  </si>
  <si>
    <t>305-998-3828</t>
  </si>
  <si>
    <t>La Gorce Country Club, 5685 Alton Rd, Miami Beach, FL, 33159</t>
  </si>
  <si>
    <t>Katherine Sepulveda</t>
  </si>
  <si>
    <t>La Gorce Country Club, 5685 Alton Rd, Miami Beach, FL, 33160</t>
  </si>
  <si>
    <t>Leila Chang</t>
  </si>
  <si>
    <t>Ideal Solutions</t>
  </si>
  <si>
    <t>305-371-0077</t>
  </si>
  <si>
    <t>La Gorce Country Club, 5685 Alton Rd, Miami Beach, FL, 33161</t>
  </si>
  <si>
    <t>Loren Pearson</t>
  </si>
  <si>
    <t>Pearson IP</t>
  </si>
  <si>
    <t>Legal &amp; Accounting &gt; Intellectual Property Law</t>
  </si>
  <si>
    <t>(305) 709-0750</t>
  </si>
  <si>
    <t>La Gorce Country Club, 5685 Alton Rd, Miami Beach, FL, 33162</t>
  </si>
  <si>
    <t>Manuel Barrantes</t>
  </si>
  <si>
    <t>Floor Coverings International</t>
  </si>
  <si>
    <t>Construction &gt; Flooring</t>
  </si>
  <si>
    <t>La Gorce Country Club, 5685 Alton Rd, Miami Beach, FL, 33163</t>
  </si>
  <si>
    <t>Margaret Reach</t>
  </si>
  <si>
    <t>La Gorce Country Club, 5685 Alton Rd, Miami Beach, FL, 33164</t>
  </si>
  <si>
    <t>Margarita Parsamyan</t>
  </si>
  <si>
    <t>MP Miami Music School</t>
  </si>
  <si>
    <t>La Gorce Country Club, 5685 Alton Rd, Miami Beach, FL, 33165</t>
  </si>
  <si>
    <t>Mario Riveron</t>
  </si>
  <si>
    <t>Great Florida Services</t>
  </si>
  <si>
    <t>La Gorce Country Club, 5685 Alton Rd, Miami Beach, FL, 33166</t>
  </si>
  <si>
    <t>Matthew Wolf</t>
  </si>
  <si>
    <t>Joorney Business Plans</t>
  </si>
  <si>
    <t>786-228-8586</t>
  </si>
  <si>
    <t>La Gorce Country Club, 5685 Alton Rd, Miami Beach, FL, 33167</t>
  </si>
  <si>
    <t>Melissa Rubin</t>
  </si>
  <si>
    <t>Compass Florida</t>
  </si>
  <si>
    <t>305-984-7706</t>
  </si>
  <si>
    <t>La Gorce Country Club, 5685 Alton Rd, Miami Beach, FL, 33168</t>
  </si>
  <si>
    <t>Michael Thomas</t>
  </si>
  <si>
    <t>Mike's Custom Electric Service Inc.</t>
  </si>
  <si>
    <t>305-297-7269</t>
  </si>
  <si>
    <t>La Gorce Country Club, 5685 Alton Rd, Miami Beach, FL, 33169</t>
  </si>
  <si>
    <t>Neil Ross</t>
  </si>
  <si>
    <t>Ross Home Loans</t>
  </si>
  <si>
    <t>305-763-8023</t>
  </si>
  <si>
    <t>La Gorce Country Club, 5685 Alton Rd, Miami Beach, FL, 33170</t>
  </si>
  <si>
    <t>Peter Klock</t>
  </si>
  <si>
    <t>Bast Amron</t>
  </si>
  <si>
    <t>La Gorce Country Club, 5685 Alton Rd, Miami Beach, FL, 33171</t>
  </si>
  <si>
    <t>Rachel Streitfeld</t>
  </si>
  <si>
    <t>La Gorce Country Club, 5685 Alton Rd, Miami Beach, FL, 33172</t>
  </si>
  <si>
    <t>Rachel Weiss</t>
  </si>
  <si>
    <t>305-461-6629</t>
  </si>
  <si>
    <t>La Gorce Country Club, 5685 Alton Rd, Miami Beach, FL, 33173</t>
  </si>
  <si>
    <t>Rafael Valbuena</t>
  </si>
  <si>
    <t>DCG ROOFING</t>
  </si>
  <si>
    <t>+17866087606</t>
  </si>
  <si>
    <t>La Gorce Country Club, 5685 Alton Rd, Miami Beach, FL, 33174</t>
  </si>
  <si>
    <t>Ricardo Cuevas</t>
  </si>
  <si>
    <t>Telos Advisory Group</t>
  </si>
  <si>
    <t>La Gorce Country Club, 5685 Alton Rd, Miami Beach, FL, 33175</t>
  </si>
  <si>
    <t>Richard Pototsky</t>
  </si>
  <si>
    <t>Miami-CFO</t>
  </si>
  <si>
    <t>La Gorce Country Club, 5685 Alton Rd, Miami Beach, FL, 33176</t>
  </si>
  <si>
    <t>Russell Jacobs</t>
  </si>
  <si>
    <t>The Jacobs Law Group</t>
  </si>
  <si>
    <t>305-405-4444</t>
  </si>
  <si>
    <t>La Gorce Country Club, 5685 Alton Rd, Miami Beach, FL, 33177</t>
  </si>
  <si>
    <t>Saun Lightbourne</t>
  </si>
  <si>
    <t>USHEALTH Advisor</t>
  </si>
  <si>
    <t>305-606-1083</t>
  </si>
  <si>
    <t>La Gorce Country Club, 5685 Alton Rd, Miami Beach, FL, 33178</t>
  </si>
  <si>
    <t>Todd Narson</t>
  </si>
  <si>
    <t>Miami Beach Family &amp; Sports Chiropractic Center</t>
  </si>
  <si>
    <t>La Gorce Country Club, 5685 Alton Rd, Miami Beach, FL, 33179</t>
  </si>
  <si>
    <t>Vanessa Anne Elias</t>
  </si>
  <si>
    <t>Dowdy Dawgs Security</t>
  </si>
  <si>
    <t>Security &amp; Investigation &gt; Security (Other)</t>
  </si>
  <si>
    <t>La Gorce Country Club, 5685 Alton Rd, Miami Beach, FL, 33180</t>
  </si>
  <si>
    <t>Yuda Best</t>
  </si>
  <si>
    <t>Oasis Plumbing</t>
  </si>
  <si>
    <t>Construction &gt; Plumbing</t>
  </si>
  <si>
    <t xml:space="preserve">
BNI Miami Shores</t>
  </si>
  <si>
    <t>Keller Williams Realty, 700 NE 90th St, Miam Shores, Florida, 33138</t>
  </si>
  <si>
    <t>Abraham Benhayoun</t>
  </si>
  <si>
    <t>The Florida Business Law Firm PA</t>
  </si>
  <si>
    <t>305-434-8233</t>
  </si>
  <si>
    <t>Keller Williams Realty, 700 NE 90th St, Miam Shores, Florida, 33139</t>
  </si>
  <si>
    <t>Martinez &amp; Associates Law</t>
  </si>
  <si>
    <t>Keller Williams Realty, 700 NE 90th St, Miam Shores, Florida, 33140</t>
  </si>
  <si>
    <t>Alfred Vaca</t>
  </si>
  <si>
    <t>Strive Insights</t>
  </si>
  <si>
    <t>Keller Williams Realty, 700 NE 90th St, Miam Shores, Florida, 33141</t>
  </si>
  <si>
    <t>Andrea Curto-Randazzo</t>
  </si>
  <si>
    <t>Creative Tastes Catering &amp; Event Production</t>
  </si>
  <si>
    <t>Keller Williams Realty, 700 NE 90th St, Miam Shores, Florida, 33142</t>
  </si>
  <si>
    <t>Carlos Arguello</t>
  </si>
  <si>
    <t>Keller Williams Realty, 700 NE 90th St, Miam Shores, Florida, 33143</t>
  </si>
  <si>
    <t>Crystal Kelly</t>
  </si>
  <si>
    <t>Wanderlust Jetsetter LLC</t>
  </si>
  <si>
    <t>786-474-4343</t>
  </si>
  <si>
    <t>Keller Williams Realty, 700 NE 90th St, Miam Shores, Florida, 33144</t>
  </si>
  <si>
    <t>Daniel Alvarez</t>
  </si>
  <si>
    <t>Keller Williams Realty, 700 NE 90th St, Miam Shores, Florida, 33145</t>
  </si>
  <si>
    <t>El-Genesis Bey Bey</t>
  </si>
  <si>
    <t>EGB Wellness Solutions</t>
  </si>
  <si>
    <t>Keller Williams Realty, 700 NE 90th St, Miam Shores, Florida, 33146</t>
  </si>
  <si>
    <t>Ely Gonzalez</t>
  </si>
  <si>
    <t>Law Office of Ely Gonzalez</t>
  </si>
  <si>
    <t>+13056458971</t>
  </si>
  <si>
    <t>Keller Williams Realty, 700 NE 90th St, Miam Shores, Florida, 33147</t>
  </si>
  <si>
    <t>Eric Mathurin</t>
  </si>
  <si>
    <t>Mathurin Financial Group | LPL Financial</t>
  </si>
  <si>
    <t>Keller Williams Realty, 700 NE 90th St, Miam Shores, Florida, 33148</t>
  </si>
  <si>
    <t>GiGi Diaz</t>
  </si>
  <si>
    <t>The Seizing Happy Foundation</t>
  </si>
  <si>
    <t>Keller Williams Realty, 700 NE 90th St, Miam Shores, Florida, 33149</t>
  </si>
  <si>
    <t>Gloriane Gonzalez</t>
  </si>
  <si>
    <t>GG Salon &amp; Spa</t>
  </si>
  <si>
    <t>Keller Williams Realty, 700 NE 90th St, Miam Shores, Florida, 33150</t>
  </si>
  <si>
    <t>Gonzalo Funes</t>
  </si>
  <si>
    <t>Law Offices of Gonzalo Funes</t>
  </si>
  <si>
    <t>Keller Williams Realty, 700 NE 90th St, Miam Shores, Florida, 33151</t>
  </si>
  <si>
    <t>Hernan Gambertoglio</t>
  </si>
  <si>
    <t>HG RE ADVISORS + KELLER WILLIAMS</t>
  </si>
  <si>
    <t>Keller Williams Realty, 700 NE 90th St, Miam Shores, Florida, 33152</t>
  </si>
  <si>
    <t>Jill Carabotta</t>
  </si>
  <si>
    <t>Carabotta | Steakley</t>
  </si>
  <si>
    <t>Keller Williams Realty, 700 NE 90th St, Miam Shores, Florida, 33153</t>
  </si>
  <si>
    <t>Josias Paul</t>
  </si>
  <si>
    <t>Dreambuilders Agency- Primerica</t>
  </si>
  <si>
    <t>Keller Williams Realty, 700 NE 90th St, Miam Shores, Florida, 33154</t>
  </si>
  <si>
    <t>Julio Cabrera</t>
  </si>
  <si>
    <t>Keller Williams Realty, 700 NE 90th St, Miam Shores, Florida, 33155</t>
  </si>
  <si>
    <t>Kyle Roberts</t>
  </si>
  <si>
    <t>Berman Chiropractic Center</t>
  </si>
  <si>
    <t>Keller Williams Realty, 700 NE 90th St, Miam Shores, Florida, 33156</t>
  </si>
  <si>
    <t>Mike Kelly</t>
  </si>
  <si>
    <t>MIAndy Handyman Solutions LLC</t>
  </si>
  <si>
    <t>Keller Williams Realty, 700 NE 90th St, Miam Shores, Florida, 33157</t>
  </si>
  <si>
    <t>Rebecca Schram</t>
  </si>
  <si>
    <t>Schram Law</t>
  </si>
  <si>
    <t>(305) 798-0917</t>
  </si>
  <si>
    <t>Keller Williams Realty, 700 NE 90th St, Miam Shores, Florida, 33158</t>
  </si>
  <si>
    <t>Robert Erickson</t>
  </si>
  <si>
    <t>Reynoso Erickson Trial Law</t>
  </si>
  <si>
    <t>Keller Williams Realty, 700 NE 90th St, Miam Shores, Florida, 33159</t>
  </si>
  <si>
    <t>Rocky Cohen</t>
  </si>
  <si>
    <t>Cohen Legal Services</t>
  </si>
  <si>
    <t>+1 (718) 288-9262</t>
  </si>
  <si>
    <t>Keller Williams Realty, 700 NE 90th St, Miam Shores, Florida, 33160</t>
  </si>
  <si>
    <t>Rosangela Rodriguez</t>
  </si>
  <si>
    <t>Keller Williams Realty, 700 NE 90th St, Miam Shores, Florida, 33161</t>
  </si>
  <si>
    <t>Roy Weddle</t>
  </si>
  <si>
    <t>Maid Green</t>
  </si>
  <si>
    <t>Real Estate Services &gt; Cleaning Service</t>
  </si>
  <si>
    <t>305 757 0575</t>
  </si>
  <si>
    <t>Keller Williams Realty, 700 NE 90th St, Miam Shores, Florida, 33162</t>
  </si>
  <si>
    <t>Tomas Rozenblum</t>
  </si>
  <si>
    <t>Stellar Payment Systems</t>
  </si>
  <si>
    <t>Manhattan 23 - Grand Central Powerhouse</t>
  </si>
  <si>
    <t>Lerner, Arnold &amp; Winston, LLP, 286 Fifth Avenue - 12th Floor, New York, NY</t>
  </si>
  <si>
    <t>Amy Horowitz</t>
  </si>
  <si>
    <t>All Area Abstract</t>
  </si>
  <si>
    <t>646 448 2004</t>
  </si>
  <si>
    <t>Charles M. Arnold</t>
  </si>
  <si>
    <t>Lerner Arnold Winston</t>
  </si>
  <si>
    <t>212 686-4655</t>
  </si>
  <si>
    <t>Christian Zebicoff</t>
  </si>
  <si>
    <t>Romer Debbas LLP</t>
  </si>
  <si>
    <t>212-888-3100</t>
  </si>
  <si>
    <t>Dawn Cardi</t>
  </si>
  <si>
    <t>Cardi &amp; Edgar LLP</t>
  </si>
  <si>
    <t>212-481-7770</t>
  </si>
  <si>
    <t>Elisabeth M. Kovac</t>
  </si>
  <si>
    <t>Schumann Burghart LLP</t>
  </si>
  <si>
    <t>646 494 9452</t>
  </si>
  <si>
    <t>Elizabeth Miller</t>
  </si>
  <si>
    <t>Personal Financial Navigation</t>
  </si>
  <si>
    <t>Harry Bennett</t>
  </si>
  <si>
    <t>GoRascal</t>
  </si>
  <si>
    <t>347 916 3320</t>
  </si>
  <si>
    <t>Jolie Ann Calella</t>
  </si>
  <si>
    <t>Morgan Stanley Wealth Management</t>
  </si>
  <si>
    <t>212 603-6132</t>
  </si>
  <si>
    <t>Joseph Tremiti</t>
  </si>
  <si>
    <t>Tremiti LLC</t>
  </si>
  <si>
    <t>Kwok Man</t>
  </si>
  <si>
    <t>TyMatt Computer Solutions</t>
  </si>
  <si>
    <t>212-274-8008</t>
  </si>
  <si>
    <t>Lisa Abiraj</t>
  </si>
  <si>
    <t>Santander Bank</t>
  </si>
  <si>
    <t>212-534-0408</t>
  </si>
  <si>
    <t>Louis Fata</t>
  </si>
  <si>
    <t>Bradley &amp; Parker</t>
  </si>
  <si>
    <t>Mihal Gartenberg</t>
  </si>
  <si>
    <t>Christie's International Real Estate</t>
  </si>
  <si>
    <t>Pamela Brenner</t>
  </si>
  <si>
    <t>Cohen Partners</t>
  </si>
  <si>
    <t>201-486-5629</t>
  </si>
  <si>
    <t>Robert Link</t>
  </si>
  <si>
    <t>David A. Gallo &amp; Associates LLP</t>
  </si>
  <si>
    <t>Scott Fink</t>
  </si>
  <si>
    <t>Savitt Partners LLC</t>
  </si>
  <si>
    <t>212-452-6081</t>
  </si>
  <si>
    <t>Yvette Jain</t>
  </si>
  <si>
    <t>Wellness Coach</t>
  </si>
  <si>
    <t>973-454-7698</t>
  </si>
  <si>
    <t>Manhattan 66 - Super 66</t>
  </si>
  <si>
    <t>Pig n Whistle, 202 West 36t Street, New York, NY, 10018</t>
  </si>
  <si>
    <t>Aaron Galileo</t>
  </si>
  <si>
    <t>Peapack Private Bank and Trust</t>
  </si>
  <si>
    <t>Pig n Whistle, 202 West 36t Street, New York, NY, 10019</t>
  </si>
  <si>
    <t>Andrew Feigenbaum</t>
  </si>
  <si>
    <t>1917-362-9629</t>
  </si>
  <si>
    <t>Pig n Whistle, 202 West 36t Street, New York, NY, 10020</t>
  </si>
  <si>
    <t>Daniel Vitolo</t>
  </si>
  <si>
    <t>DV Contracting</t>
  </si>
  <si>
    <t>Construction Project Management</t>
  </si>
  <si>
    <t>646 523 2337</t>
  </si>
  <si>
    <t>Pig n Whistle, 202 West 36t Street, New York, NY, 10021</t>
  </si>
  <si>
    <t>David Fish</t>
  </si>
  <si>
    <t>Romano Law firm</t>
  </si>
  <si>
    <t>Pig n Whistle, 202 West 36t Street, New York, NY, 10022</t>
  </si>
  <si>
    <t>Ellen Kapit</t>
  </si>
  <si>
    <t>917-620-3445</t>
  </si>
  <si>
    <t>Pig n Whistle, 202 West 36t Street, New York, NY, 10023</t>
  </si>
  <si>
    <t>Eric Spring</t>
  </si>
  <si>
    <t>516-262-4351</t>
  </si>
  <si>
    <t>Pig n Whistle, 202 West 36t Street, New York, NY, 10024</t>
  </si>
  <si>
    <t>Frank Perrone</t>
  </si>
  <si>
    <t>Tarter Krinsky &amp; Drogin LLP</t>
  </si>
  <si>
    <t>(212) 216-1162</t>
  </si>
  <si>
    <t>Pig n Whistle, 202 West 36t Street, New York, NY, 10025</t>
  </si>
  <si>
    <t>Glenn Romano</t>
  </si>
  <si>
    <t>Romano &amp; Kuan</t>
  </si>
  <si>
    <t>212 274 8849</t>
  </si>
  <si>
    <t>Pig n Whistle, 202 West 36t Street, New York, NY, 10026</t>
  </si>
  <si>
    <t>John Fiorito</t>
  </si>
  <si>
    <t>Wealthcare Advisory Partners</t>
  </si>
  <si>
    <t>Pig n Whistle, 202 West 36t Street, New York, NY, 10027</t>
  </si>
  <si>
    <t>Jonathan Kane</t>
  </si>
  <si>
    <t>Law Office of Jonathan A. Kane</t>
  </si>
  <si>
    <t>(212) 589-8765</t>
  </si>
  <si>
    <t>Pig n Whistle, 202 West 36t Street, New York, NY, 10028</t>
  </si>
  <si>
    <t>Manuel Mercader</t>
  </si>
  <si>
    <t>Mercader Law PC</t>
  </si>
  <si>
    <t>Pig n Whistle, 202 West 36t Street, New York, NY, 10029</t>
  </si>
  <si>
    <t>Martina Dechevska</t>
  </si>
  <si>
    <t>Spire Group Inc</t>
  </si>
  <si>
    <t>Pig n Whistle, 202 West 36t Street, New York, NY, 10030</t>
  </si>
  <si>
    <t>Melissa Rothschild</t>
  </si>
  <si>
    <t>Purple Unicorn Enterprises</t>
  </si>
  <si>
    <t>(732) 598-5573</t>
  </si>
  <si>
    <t>Pig n Whistle, 202 West 36t Street, New York, NY, 10031</t>
  </si>
  <si>
    <t>Steven McMahon</t>
  </si>
  <si>
    <t>Chelsea Chiropractic and Massage</t>
  </si>
  <si>
    <t>212-243-6384</t>
  </si>
  <si>
    <t>Pig n Whistle, 202 West 36t Street, New York, NY, 10032</t>
  </si>
  <si>
    <t>Tony Liu</t>
  </si>
  <si>
    <t>Golden Bridge Capital LLC</t>
  </si>
  <si>
    <t>Omar Tapia</t>
  </si>
  <si>
    <t>Shire Lyon</t>
  </si>
  <si>
    <t xml:space="preserve">BNI Doral en Espanol
</t>
  </si>
  <si>
    <t>Doral Contemporary Art Museum, 3450 NW 83rd Avenue, Ste 216, Doral Florida, 33166</t>
  </si>
  <si>
    <t>Ana Navarro</t>
  </si>
  <si>
    <t>Algoritmo Agency</t>
  </si>
  <si>
    <t>+17868219725</t>
  </si>
  <si>
    <t>Doral Contemporary Art Museum, 3450 NW 83rd Avenue, Ste 216, Doral Florida, 33167</t>
  </si>
  <si>
    <t>Analay Pena del Sol</t>
  </si>
  <si>
    <t>Doral Contemporary Art Museum, 3450 NW 83rd Avenue, Ste 216, Doral Florida, 33168</t>
  </si>
  <si>
    <t>Antonio Petruzzi</t>
  </si>
  <si>
    <t>Your Financial Team</t>
  </si>
  <si>
    <t>Finance &amp; Insurance &gt; Mutual Funds</t>
  </si>
  <si>
    <t>Doral Contemporary Art Museum, 3450 NW 83rd Avenue, Ste 216, Doral Florida, 33169</t>
  </si>
  <si>
    <t>Christian Ramirez</t>
  </si>
  <si>
    <t>Top Tier Restoration Services</t>
  </si>
  <si>
    <t>Doral Contemporary Art Museum, 3450 NW 83rd Avenue, Ste 216, Doral Florida, 33170</t>
  </si>
  <si>
    <t>Diana Mazud</t>
  </si>
  <si>
    <t>Doral Contemporary Art Museum, 3450 NW 83rd Avenue, Ste 216, Doral Florida, 33171</t>
  </si>
  <si>
    <t>Elsa de Lemos</t>
  </si>
  <si>
    <t>Bambi International Foundation</t>
  </si>
  <si>
    <t>Doral Contemporary Art Museum, 3450 NW 83rd Avenue, Ste 216, Doral Florida, 33172</t>
  </si>
  <si>
    <t>Elwin Manjarres</t>
  </si>
  <si>
    <t>Emet International Insurance LLC</t>
  </si>
  <si>
    <t>786-6140217</t>
  </si>
  <si>
    <t>Doral Contemporary Art Museum, 3450 NW 83rd Avenue, Ste 216, Doral Florida, 33173</t>
  </si>
  <si>
    <t>EUFRACIO GELVES</t>
  </si>
  <si>
    <t>Elite International Consultants Inc</t>
  </si>
  <si>
    <t>Doral Contemporary Art Museum, 3450 NW 83rd Avenue, Ste 216, Doral Florida, 33174</t>
  </si>
  <si>
    <t>Fayra Holguin</t>
  </si>
  <si>
    <t>Nexus R&amp;C Llc</t>
  </si>
  <si>
    <t>Architecture &amp; Engineering &gt; Architecture &amp; Engineering (Other)</t>
  </si>
  <si>
    <t>Doral Contemporary Art Museum, 3450 NW 83rd Avenue, Ste 216, Doral Florida, 33175</t>
  </si>
  <si>
    <t>Francisco Hernadez</t>
  </si>
  <si>
    <t>Dr.Be</t>
  </si>
  <si>
    <t>+17864938102</t>
  </si>
  <si>
    <t>Doral Contemporary Art Museum, 3450 NW 83rd Avenue, Ste 216, Doral Florida, 33176</t>
  </si>
  <si>
    <t>Giselle Oviedo</t>
  </si>
  <si>
    <t>KUNAK USA LLC</t>
  </si>
  <si>
    <t>+13057732718</t>
  </si>
  <si>
    <t>Doral Contemporary Art Museum, 3450 NW 83rd Avenue, Ste 216, Doral Florida, 33177</t>
  </si>
  <si>
    <t>Gregory Saldamando</t>
  </si>
  <si>
    <t>First Stop Legal</t>
  </si>
  <si>
    <t>(786) 498-2210</t>
  </si>
  <si>
    <t>Doral Contemporary Art Museum, 3450 NW 83rd Avenue, Ste 216, Doral Florida, 33178</t>
  </si>
  <si>
    <t>Jacqueline Gonzalez</t>
  </si>
  <si>
    <t>JP Morgan private bank</t>
  </si>
  <si>
    <t>Finance &amp; Insurance &gt; Wealth Management</t>
  </si>
  <si>
    <t>Doral Contemporary Art Museum, 3450 NW 83rd Avenue, Ste 216, Doral Florida, 33179</t>
  </si>
  <si>
    <t>Jimmy Arenas</t>
  </si>
  <si>
    <t>Mkaddesh Insurance &amp; Financial Corp</t>
  </si>
  <si>
    <t>Doral Contemporary Art Museum, 3450 NW 83rd Avenue, Ste 216, Doral Florida, 33180</t>
  </si>
  <si>
    <t>Karla Lopez-Fernandez</t>
  </si>
  <si>
    <t>Law Office of Karla Lopez-Fernandez</t>
  </si>
  <si>
    <t>(305)517-1116</t>
  </si>
  <si>
    <t>Doral Contemporary Art Museum, 3450 NW 83rd Avenue, Ste 216, Doral Florida, 33181</t>
  </si>
  <si>
    <t>LORRAINE PEREZ</t>
  </si>
  <si>
    <t>INTERCONTINENTAL LAW FIRM</t>
  </si>
  <si>
    <t>+3054441272</t>
  </si>
  <si>
    <t>Doral Contemporary Art Museum, 3450 NW 83rd Avenue, Ste 216, Doral Florida, 33182</t>
  </si>
  <si>
    <t>LUZ SANCHEZ</t>
  </si>
  <si>
    <t>BUSINESS TIPS &amp; ADVISORY SERVICES INC</t>
  </si>
  <si>
    <t>Doral Contemporary Art Museum, 3450 NW 83rd Avenue, Ste 216, Doral Florida, 33183</t>
  </si>
  <si>
    <t>Moises Benoliel</t>
  </si>
  <si>
    <t>Benoliel Consulting &amp; Solutions LLC</t>
  </si>
  <si>
    <t>Real Estate Services &gt; Real Estate Inspector</t>
  </si>
  <si>
    <t>Doral Contemporary Art Museum, 3450 NW 83rd Avenue, Ste 216, Doral Florida, 33184</t>
  </si>
  <si>
    <t>Orestes Garcia</t>
  </si>
  <si>
    <t>Ayala Law</t>
  </si>
  <si>
    <t>Doral Contemporary Art Museum, 3450 NW 83rd Avenue, Ste 216, Doral Florida, 33185</t>
  </si>
  <si>
    <t>Ramón Rodríguez</t>
  </si>
  <si>
    <t>+13054975435</t>
  </si>
  <si>
    <t>Doral Contemporary Art Museum, 3450 NW 83rd Avenue, Ste 216, Doral Florida, 33186</t>
  </si>
  <si>
    <t>Ronald Dell'acqua</t>
  </si>
  <si>
    <t>Fotografo</t>
  </si>
  <si>
    <t>Advertising &amp; Marketing &gt; Photographer</t>
  </si>
  <si>
    <t>Doral Contemporary Art Museum, 3450 NW 83rd Avenue, Ste 216, Doral Florida, 33187</t>
  </si>
  <si>
    <t>Susana Grant</t>
  </si>
  <si>
    <t>Folio Title LLC</t>
  </si>
  <si>
    <t>BNI Doral Excellences</t>
  </si>
  <si>
    <t>Waterford District, 6505 Waterford District Drive, Ste 108 Miami, Florida, 33126</t>
  </si>
  <si>
    <t>Alberto Diaz</t>
  </si>
  <si>
    <t>MOR Lending</t>
  </si>
  <si>
    <t>Waterford District, 6505 Waterford District Drive, Ste 108 Miami, Florida, 33127</t>
  </si>
  <si>
    <t>Ana Paredes</t>
  </si>
  <si>
    <t>ABP Accounting</t>
  </si>
  <si>
    <t>786-477-3028</t>
  </si>
  <si>
    <t>Waterford District, 6505 Waterford District Drive, Ste 108 Miami, Florida, 33128</t>
  </si>
  <si>
    <t>Bibiana Martorell</t>
  </si>
  <si>
    <t>Estrella insurance</t>
  </si>
  <si>
    <t>Waterford District, 6505 Waterford District Drive, Ste 108 Miami, Florida, 33129</t>
  </si>
  <si>
    <t>Christopher Rivas</t>
  </si>
  <si>
    <t>T&amp;S Impact Windows &amp; Doors</t>
  </si>
  <si>
    <t>Construction &gt; Windows &amp; Doors</t>
  </si>
  <si>
    <t>786-223-5502</t>
  </si>
  <si>
    <t>Waterford District, 6505 Waterford District Drive, Ste 108 Miami, Florida, 33130</t>
  </si>
  <si>
    <t>Gabriel Quiroga</t>
  </si>
  <si>
    <t>+17862345780</t>
  </si>
  <si>
    <t>Waterford District, 6505 Waterford District Drive, Ste 108 Miami, Florida, 33131</t>
  </si>
  <si>
    <t>Jesus Lara</t>
  </si>
  <si>
    <t>Waterford District, 6505 Waterford District Drive, Ste 108 Miami, Florida, 33132</t>
  </si>
  <si>
    <t>Jose Garcia</t>
  </si>
  <si>
    <t>UBS Financial Services</t>
  </si>
  <si>
    <t>305-733-3771</t>
  </si>
  <si>
    <t>Waterford District, 6505 Waterford District Drive, Ste 108 Miami, Florida, 33133</t>
  </si>
  <si>
    <t>Kevin Spencer</t>
  </si>
  <si>
    <t>Rod Plus Technology LLC</t>
  </si>
  <si>
    <t>Waterford District, 6505 Waterford District Drive, Ste 108 Miami, Florida, 33134</t>
  </si>
  <si>
    <t>Ricardo Rodriguez</t>
  </si>
  <si>
    <t>Rodriguez Law PL</t>
  </si>
  <si>
    <t>305-262-8226</t>
  </si>
  <si>
    <t>Waterford District, 6505 Waterford District Drive, Ste 108 Miami, Florida, 33135</t>
  </si>
  <si>
    <t>Stephen Guerrero</t>
  </si>
  <si>
    <t>Guerrero Law Group PLLC</t>
  </si>
  <si>
    <t>(305) 488-6250</t>
  </si>
  <si>
    <t>Waterford District, 6505 Waterford District Drive, Ste 108 Miami, Florida, 33136</t>
  </si>
  <si>
    <t>Sunem Herrera</t>
  </si>
  <si>
    <t>The Herrera Insurance Group</t>
  </si>
  <si>
    <t>305-264-0177</t>
  </si>
  <si>
    <t>Waterford District, 6505 Waterford District Drive, Ste 108 Miami, Florida, 33137</t>
  </si>
  <si>
    <t>Tongelah Webster</t>
  </si>
  <si>
    <t>City Permit</t>
  </si>
  <si>
    <t>Construction &gt; Construction (Other)</t>
  </si>
  <si>
    <t>305-908-1142</t>
  </si>
  <si>
    <t>BNI Lux Connect</t>
  </si>
  <si>
    <t>Industrious Lincoln Road, 350 Lincoln Rd 3rd Floor, Miami Beach, Florida, 33139</t>
  </si>
  <si>
    <t>Agustina Valdovinos</t>
  </si>
  <si>
    <t>Industrious Lincoln Road, 350 Lincoln Rd 3rd Floor, Miami Beach, Florida, 33140</t>
  </si>
  <si>
    <t>Alexandra Almanza</t>
  </si>
  <si>
    <t>Socially Mavs</t>
  </si>
  <si>
    <t>Advertising &amp; Marketing &gt; Advertising &amp; Marketing (Other)</t>
  </si>
  <si>
    <t>786) 867-8861</t>
  </si>
  <si>
    <t>Industrious Lincoln Road, 350 Lincoln Rd 3rd Floor, Miami Beach, Florida, 33141</t>
  </si>
  <si>
    <t>Attila Yildiz</t>
  </si>
  <si>
    <t>786-333-3727</t>
  </si>
  <si>
    <t>Industrious Lincoln Road, 350 Lincoln Rd 3rd Floor, Miami Beach, Florida, 33142</t>
  </si>
  <si>
    <t>Bernard Cohen</t>
  </si>
  <si>
    <t>212-626-8712</t>
  </si>
  <si>
    <t>Industrious Lincoln Road, 350 Lincoln Rd 3rd Floor, Miami Beach, Florida, 33143</t>
  </si>
  <si>
    <t>Chris Cooney</t>
  </si>
  <si>
    <t>Affinity Management Services</t>
  </si>
  <si>
    <t>305-619-5663</t>
  </si>
  <si>
    <t>Industrious Lincoln Road, 350 Lincoln Rd 3rd Floor, Miami Beach, Florida, 33144</t>
  </si>
  <si>
    <t>Chris Romeu</t>
  </si>
  <si>
    <t>Prestige Audio Visual International</t>
  </si>
  <si>
    <t>Industrious Lincoln Road, 350 Lincoln Rd 3rd Floor, Miami Beach, Florida, 33145</t>
  </si>
  <si>
    <t>Christian Peter II</t>
  </si>
  <si>
    <t>Industrious Lincoln Road, 350 Lincoln Rd 3rd Floor, Miami Beach, Florida, 33146</t>
  </si>
  <si>
    <t>Christina Specos</t>
  </si>
  <si>
    <t>Specos Enterprises LLC</t>
  </si>
  <si>
    <t>Health &amp; Wellness &gt; Massage Therapist</t>
  </si>
  <si>
    <t>Industrious Lincoln Road, 350 Lincoln Rd 3rd Floor, Miami Beach, Florida, 33147</t>
  </si>
  <si>
    <t>Christopher Solis</t>
  </si>
  <si>
    <t>Industrious Lincoln Road, 350 Lincoln Rd 3rd Floor, Miami Beach, Florida, 33148</t>
  </si>
  <si>
    <t>David Nudel</t>
  </si>
  <si>
    <t>Rafuls Law Group</t>
  </si>
  <si>
    <t>Industrious Lincoln Road, 350 Lincoln Rd 3rd Floor, Miami Beach, Florida, 33149</t>
  </si>
  <si>
    <t>El-Genesis Bey</t>
  </si>
  <si>
    <t>Health &amp; Wellness &gt; Alternative Wellness</t>
  </si>
  <si>
    <t>Industrious Lincoln Road, 350 Lincoln Rd 3rd Floor, Miami Beach, Florida, 33150</t>
  </si>
  <si>
    <t>Eli Sklarin</t>
  </si>
  <si>
    <t>Alive &amp; Wealth</t>
  </si>
  <si>
    <t>Industrious Lincoln Road, 350 Lincoln Rd 3rd Floor, Miami Beach, Florida, 33151</t>
  </si>
  <si>
    <t>Emanuele Liccardo</t>
  </si>
  <si>
    <t>Puremancare.com</t>
  </si>
  <si>
    <t>Personal Services &gt; Hair Stylist</t>
  </si>
  <si>
    <t>Industrious Lincoln Road, 350 Lincoln Rd 3rd Floor, Miami Beach, Florida, 33152</t>
  </si>
  <si>
    <t>Felipe Ossana</t>
  </si>
  <si>
    <t>UP TO THE ROOF</t>
  </si>
  <si>
    <t>Industrious Lincoln Road, 350 Lincoln Rd 3rd Floor, Miami Beach, Florida, 33153</t>
  </si>
  <si>
    <t>Gabriel Alejandro Albelo</t>
  </si>
  <si>
    <t>South Beach Apostille Translation and Notary</t>
  </si>
  <si>
    <t>Industrious Lincoln Road, 350 Lincoln Rd 3rd Floor, Miami Beach, Florida, 33154</t>
  </si>
  <si>
    <t>George Milian</t>
  </si>
  <si>
    <t>Rely On Solar South Florida LLC</t>
  </si>
  <si>
    <t>Consulting &gt; Energy Consulting</t>
  </si>
  <si>
    <t>305-744-1200</t>
  </si>
  <si>
    <t>Industrious Lincoln Road, 350 Lincoln Rd 3rd Floor, Miami Beach, Florida, 33155</t>
  </si>
  <si>
    <t>Ivan Botero</t>
  </si>
  <si>
    <t>Rapid Public Adjusters</t>
  </si>
  <si>
    <t>Industrious Lincoln Road, 350 Lincoln Rd 3rd Floor, Miami Beach, Florida, 33156</t>
  </si>
  <si>
    <t>Johnny Falco</t>
  </si>
  <si>
    <t>Biomonde</t>
  </si>
  <si>
    <t>Real Estate Services &gt; Window Cleaning</t>
  </si>
  <si>
    <t>728-500-9070</t>
  </si>
  <si>
    <t>Industrious Lincoln Road, 350 Lincoln Rd 3rd Floor, Miami Beach, Florida, 33157</t>
  </si>
  <si>
    <t>Juan Babani</t>
  </si>
  <si>
    <t>Cornerstone First Mortgage</t>
  </si>
  <si>
    <t>Industrious Lincoln Road, 350 Lincoln Rd 3rd Floor, Miami Beach, Florida, 33158</t>
  </si>
  <si>
    <t>Kirra Sherman</t>
  </si>
  <si>
    <t>Expand your Mind LLC</t>
  </si>
  <si>
    <t>Industrious Lincoln Road, 350 Lincoln Rd 3rd Floor, Miami Beach, Florida, 33159</t>
  </si>
  <si>
    <t>Kyle Savage</t>
  </si>
  <si>
    <t>Vibe Haus Collective</t>
  </si>
  <si>
    <t>Event &amp; Business Service &gt; Event Planner</t>
  </si>
  <si>
    <t>631-334-9611</t>
  </si>
  <si>
    <t>Industrious Lincoln Road, 350 Lincoln Rd 3rd Floor, Miami Beach, Florida, 33160</t>
  </si>
  <si>
    <t>Maybelline Jerez</t>
  </si>
  <si>
    <t>Vita Curated</t>
  </si>
  <si>
    <t>917-7366573</t>
  </si>
  <si>
    <t>Industrious Lincoln Road, 350 Lincoln Rd 3rd Floor, Miami Beach, Florida, 33161</t>
  </si>
  <si>
    <t>Mendel Raksin</t>
  </si>
  <si>
    <t>P&amp;G Insurance Brokers</t>
  </si>
  <si>
    <t>Finance &amp; Insurance &gt; Insurance Broker</t>
  </si>
  <si>
    <t>Industrious Lincoln Road, 350 Lincoln Rd 3rd Floor, Miami Beach, Florida, 33162</t>
  </si>
  <si>
    <t>Mia Dequine</t>
  </si>
  <si>
    <t>Acupuncture by Mia (Mia Dequine LLC)</t>
  </si>
  <si>
    <t>Health &amp; Wellness &gt; Acupuncture</t>
  </si>
  <si>
    <t>305-610-2299</t>
  </si>
  <si>
    <t>Industrious Lincoln Road, 350 Lincoln Rd 3rd Floor, Miami Beach, Florida, 33163</t>
  </si>
  <si>
    <t>Nick Gelpi</t>
  </si>
  <si>
    <t>Gelpi projects</t>
  </si>
  <si>
    <t>Architecture &amp; Engineering &gt; Architect</t>
  </si>
  <si>
    <t>Industrious Lincoln Road, 350 Lincoln Rd 3rd Floor, Miami Beach, Florida, 33164</t>
  </si>
  <si>
    <t>Nicole Boswell</t>
  </si>
  <si>
    <t>Industrious Lincoln Road, 350 Lincoln Rd 3rd Floor, Miami Beach, Florida, 33165</t>
  </si>
  <si>
    <t>Oscar A Campos</t>
  </si>
  <si>
    <t>Industrious Lincoln Road, 350 Lincoln Rd 3rd Floor, Miami Beach, Florida, 33166</t>
  </si>
  <si>
    <t>Richard Ramirez</t>
  </si>
  <si>
    <t>Home Image BUILDERS</t>
  </si>
  <si>
    <t>Industrious Lincoln Road, 350 Lincoln Rd 3rd Floor, Miami Beach, Florida, 33167</t>
  </si>
  <si>
    <t>Rudy Gonzalez</t>
  </si>
  <si>
    <t>Motor Breeze</t>
  </si>
  <si>
    <t>Industrious Lincoln Road, 350 Lincoln Rd 3rd Floor, Miami Beach, Florida, 33168</t>
  </si>
  <si>
    <t>Stephanie Tatem</t>
  </si>
  <si>
    <t>https://www.tateminteriors.com</t>
  </si>
  <si>
    <t>(305) 399-9791</t>
  </si>
  <si>
    <t>Industrious Lincoln Road, 350 Lincoln Rd 3rd Floor, Miami Beach, Florida, 33169</t>
  </si>
  <si>
    <t>Thomas Graham</t>
  </si>
  <si>
    <t>Mausner Graham Injury Law PLLC</t>
  </si>
  <si>
    <t>Industrious Lincoln Road, 350 Lincoln Rd 3rd Floor, Miami Beach, Florida, 33170</t>
  </si>
  <si>
    <t>Vanessa Jencks</t>
  </si>
  <si>
    <t>ByteBlink AI</t>
  </si>
  <si>
    <t>Advertising &amp; Marketing &gt; Marketing Consultant</t>
  </si>
  <si>
    <t>+18648375643</t>
  </si>
  <si>
    <t>Industrious Lincoln Road, 350 Lincoln Rd 3rd Floor, Miami Beach, Florida, 33171</t>
  </si>
  <si>
    <t>Industrious Lincoln Road, 350 Lincoln Rd 3rd Floor, Miami Beach, Florida, 33172</t>
  </si>
  <si>
    <t>Yesis Gomez</t>
  </si>
  <si>
    <t>Allstate Insurance_ YRG Insurance Pro</t>
  </si>
  <si>
    <t>Industrious Lincoln Road, 350 Lincoln Rd 3rd Floor, Miami Beach, Florida, 33173</t>
  </si>
  <si>
    <t>Zach Simpson</t>
  </si>
  <si>
    <t>The General Counsel Law Firm</t>
  </si>
  <si>
    <t>+18643630222</t>
  </si>
  <si>
    <t>BNI Pioneers</t>
  </si>
  <si>
    <t>Moxy Miami South Beach, 915 Washington Avenue, Miami Beach, Florida, 33139</t>
  </si>
  <si>
    <t>Aaron Talone</t>
  </si>
  <si>
    <t>AllStar Insurance Services Inc.</t>
  </si>
  <si>
    <t>Moxy Miami South Beach, 915 Washington Avenue, Miami Beach, Florida, 33140</t>
  </si>
  <si>
    <t>Alec Ross</t>
  </si>
  <si>
    <t>The Trademark Place</t>
  </si>
  <si>
    <t>305-791-7218</t>
  </si>
  <si>
    <t>Moxy Miami South Beach, 915 Washington Avenue, Miami Beach, Florida, 33141</t>
  </si>
  <si>
    <t>Anne-Christine Carrie</t>
  </si>
  <si>
    <t>Miami 21 Zoning and Entitlements</t>
  </si>
  <si>
    <t>Real Estate Services &gt; Real Estate Planning Consultant</t>
  </si>
  <si>
    <t>Moxy Miami South Beach, 915 Washington Avenue, Miami Beach, Florida, 33142</t>
  </si>
  <si>
    <t>Arturo Moquete</t>
  </si>
  <si>
    <t>+12014671641</t>
  </si>
  <si>
    <t>Moxy Miami South Beach, 915 Washington Avenue, Miami Beach, Florida, 33143</t>
  </si>
  <si>
    <t>Brian Gordon</t>
  </si>
  <si>
    <t>Shell Lumber &amp; Hardware</t>
  </si>
  <si>
    <t>Retail &gt; Building Materials Retail</t>
  </si>
  <si>
    <t>954-205-2254</t>
  </si>
  <si>
    <t>Moxy Miami South Beach, 915 Washington Avenue, Miami Beach, Florida, 33144</t>
  </si>
  <si>
    <t>Bryan Sherman</t>
  </si>
  <si>
    <t>Sherman Law Firm</t>
  </si>
  <si>
    <t>Moxy Miami South Beach, 915 Washington Avenue, Miami Beach, Florida, 33145</t>
  </si>
  <si>
    <t>Dana Goldman</t>
  </si>
  <si>
    <t>Moxy Miami South Beach, 915 Washington Avenue, Miami Beach, Florida, 33146</t>
  </si>
  <si>
    <t>Ellen Mitchel</t>
  </si>
  <si>
    <t>RE/MAX Allstars</t>
  </si>
  <si>
    <t>954-292-6412</t>
  </si>
  <si>
    <t>Moxy Miami South Beach, 915 Washington Avenue, Miami Beach, Florida, 33147</t>
  </si>
  <si>
    <t>Eric Mausner</t>
  </si>
  <si>
    <t>305-344-4878</t>
  </si>
  <si>
    <t>Moxy Miami South Beach, 915 Washington Avenue, Miami Beach, Florida, 33148</t>
  </si>
  <si>
    <t>GASTON R CORTES</t>
  </si>
  <si>
    <t>CORTES ACCOUNTING &amp; ASSOCIATES LLC</t>
  </si>
  <si>
    <t>Moxy Miami South Beach, 915 Washington Avenue, Miami Beach, Florida, 33149</t>
  </si>
  <si>
    <t>Jabir Najair</t>
  </si>
  <si>
    <t>Riajan Mortgage</t>
  </si>
  <si>
    <t>305-680-5400</t>
  </si>
  <si>
    <t>Moxy Miami South Beach, 915 Washington Avenue, Miami Beach, Florida, 33150</t>
  </si>
  <si>
    <t>Jasmine Glover</t>
  </si>
  <si>
    <t>Moxy Miami South Beach, 915 Washington Avenue, Miami Beach, Florida, 33151</t>
  </si>
  <si>
    <t>Jeffrey Nissani</t>
  </si>
  <si>
    <t>(917) 776 6650</t>
  </si>
  <si>
    <t>Moxy Miami South Beach, 915 Washington Avenue, Miami Beach, Florida, 33152</t>
  </si>
  <si>
    <t>Jeffrey Sharmat</t>
  </si>
  <si>
    <t>North Star Real Estate Advisors</t>
  </si>
  <si>
    <t>305439-7070</t>
  </si>
  <si>
    <t>Moxy Miami South Beach, 915 Washington Avenue, Miami Beach, Florida, 33153</t>
  </si>
  <si>
    <t>Jose Oldenburg</t>
  </si>
  <si>
    <t>J.D. Oldenburg Corp</t>
  </si>
  <si>
    <t>Moxy Miami South Beach, 915 Washington Avenue, Miami Beach, Florida, 33154</t>
  </si>
  <si>
    <t>Julia Cole</t>
  </si>
  <si>
    <t>Julia L. Cole</t>
  </si>
  <si>
    <t>Moxy Miami South Beach, 915 Washington Avenue, Miami Beach, Florida, 33155</t>
  </si>
  <si>
    <t>Mark Zuckier</t>
  </si>
  <si>
    <t>(786) 575-0425</t>
  </si>
  <si>
    <t>Moxy Miami South Beach, 915 Washington Avenue, Miami Beach, Florida, 33156</t>
  </si>
  <si>
    <t>Owen Carhart</t>
  </si>
  <si>
    <t>Business Optimization Group</t>
  </si>
  <si>
    <t>Consulting &gt; Business Consultant</t>
  </si>
  <si>
    <t>786-558-6058</t>
  </si>
  <si>
    <t>Moxy Miami South Beach, 915 Washington Avenue, Miami Beach, Florida, 33157</t>
  </si>
  <si>
    <t>Sacha Awwa</t>
  </si>
  <si>
    <t>Sacha Awwa Marketing Group</t>
  </si>
  <si>
    <t>Moxy Miami South Beach, 915 Washington Avenue, Miami Beach, Florida, 33158</t>
  </si>
  <si>
    <t>Steven Schwartz</t>
  </si>
  <si>
    <t>Steven K. Schwartz PA</t>
  </si>
  <si>
    <t>Legal &amp; Accounting &gt; Elder Law</t>
  </si>
  <si>
    <t>305-563-2739</t>
  </si>
  <si>
    <t>Moxy Miami South Beach, 915 Washington Avenue, Miami Beach, Florida, 33159</t>
  </si>
  <si>
    <t>Valter Bombonato</t>
  </si>
  <si>
    <t>Renovation Sells Miami</t>
  </si>
  <si>
    <t>Construction &gt; Renovations/Remodeling</t>
  </si>
  <si>
    <t>+1 (786) 647-5011</t>
  </si>
  <si>
    <t>Moxy Miami South Beach, 915 Washington Avenue, Miami Beach, Florida, 33160</t>
  </si>
  <si>
    <t>Winston Cuenant</t>
  </si>
  <si>
    <t>Cuenant &amp; Nazareth</t>
  </si>
  <si>
    <t>Legal &amp; Accounting &gt; Bankruptcy Law</t>
  </si>
  <si>
    <t>(954)766-4271</t>
  </si>
  <si>
    <t xml:space="preserve">BNI Downtown Miami
</t>
  </si>
  <si>
    <t>The Hub @Office Logic, 1501 Biscayne Blvd, Ste 501, Miami, FL, 33132</t>
  </si>
  <si>
    <t>Alexander Jackson</t>
  </si>
  <si>
    <t>Private Lending</t>
  </si>
  <si>
    <t>Finance &amp; Insurance &gt; Personal Loans</t>
  </si>
  <si>
    <t>(786) 514-5186</t>
  </si>
  <si>
    <t>The Hub @Office Logic, 1501 Biscayne Blvd, Ste 501, Miami, FL, 33133</t>
  </si>
  <si>
    <t>Daniel Marrugo</t>
  </si>
  <si>
    <t>Score Pro Financial LLC</t>
  </si>
  <si>
    <t>Finance &amp; Insurance &gt; Credit Repair</t>
  </si>
  <si>
    <t>+1 (786) 381-5263</t>
  </si>
  <si>
    <t>The Hub @Office Logic, 1501 Biscayne Blvd, Ste 501, Miami, FL, 33134</t>
  </si>
  <si>
    <t>Giancarlo Victorero</t>
  </si>
  <si>
    <t>GiaVic Consulting</t>
  </si>
  <si>
    <t>The Hub @Office Logic, 1501 Biscayne Blvd, Ste 501, Miami, FL, 33135</t>
  </si>
  <si>
    <t>Gregory Bianco</t>
  </si>
  <si>
    <t>P.A.</t>
  </si>
  <si>
    <t>The Hub @Office Logic, 1501 Biscayne Blvd, Ste 501, Miami, FL, 33136</t>
  </si>
  <si>
    <t>Jennifer Panchi</t>
  </si>
  <si>
    <t>954-487-0119</t>
  </si>
  <si>
    <t>The Hub @Office Logic, 1501 Biscayne Blvd, Ste 501, Miami, FL, 33137</t>
  </si>
  <si>
    <t>Justin Guido</t>
  </si>
  <si>
    <t>Mausner Graham Injury Firm</t>
  </si>
  <si>
    <t>The Hub @Office Logic, 1501 Biscayne Blvd, Ste 501, Miami, FL, 33138</t>
  </si>
  <si>
    <t>Marcel Garcia</t>
  </si>
  <si>
    <t>The Mortgage Link</t>
  </si>
  <si>
    <t>248-890-7255</t>
  </si>
  <si>
    <t>The Hub @Office Logic, 1501 Biscayne Blvd, Ste 501, Miami, FL, 33139</t>
  </si>
  <si>
    <t>Martin Canada</t>
  </si>
  <si>
    <t>The Hub @Office Logic, 1501 Biscayne Blvd, Ste 501, Miami, FL, 33140</t>
  </si>
  <si>
    <t>Patrick Elias</t>
  </si>
  <si>
    <t>The Hub @Office Logic, 1501 Biscayne Blvd, Ste 501, Miami, FL, 33141</t>
  </si>
  <si>
    <t>Robert "Dale" Stephenson</t>
  </si>
  <si>
    <t>The Entrepreneur's Source</t>
  </si>
  <si>
    <t>The Hub @Office Logic, 1501 Biscayne Blvd, Ste 501, Miami, FL, 33142</t>
  </si>
  <si>
    <t>Samuel Gelb</t>
  </si>
  <si>
    <t>Vanguard Online Marketing</t>
  </si>
  <si>
    <t>(786) 627 - 2845</t>
  </si>
  <si>
    <t>The Hub @Office Logic, 1501 Biscayne Blvd, Ste 501, Miami, FL, 33143</t>
  </si>
  <si>
    <t>Tairis Velasquez</t>
  </si>
  <si>
    <t>Peace of Paradise Wellness</t>
  </si>
  <si>
    <t>+1 (305) 890-6292</t>
  </si>
  <si>
    <t>The Hub @Office Logic, 1501 Biscayne Blvd, Ste 501, Miami, FL, 33144</t>
  </si>
  <si>
    <t>William Custodio</t>
  </si>
  <si>
    <t>Conciat</t>
  </si>
  <si>
    <t>+13053427489</t>
  </si>
  <si>
    <t xml:space="preserve">BNI Referral Machines
</t>
  </si>
  <si>
    <t>Virtual BNI Chapter - BNI Referral Machines, Online Chapter, Miami, FL,33101</t>
  </si>
  <si>
    <t>Alfred Costanzo</t>
  </si>
  <si>
    <t>Costanzo Financial Advisors</t>
  </si>
  <si>
    <t>Virtual BNI Chapter - BNI Referral Machines, Online Chapter, Miami, FL,33102</t>
  </si>
  <si>
    <t>Aurimar Otero</t>
  </si>
  <si>
    <t>OTERO LAW</t>
  </si>
  <si>
    <t>Virtual BNI Chapter - BNI Referral Machines, Online Chapter, Miami, FL,33103</t>
  </si>
  <si>
    <t>Claribeth Valencia</t>
  </si>
  <si>
    <t>Arigato Capital</t>
  </si>
  <si>
    <t>(305) 343-3040</t>
  </si>
  <si>
    <t>Virtual BNI Chapter - BNI Referral Machines, Online Chapter, Miami, FL,33104</t>
  </si>
  <si>
    <t>David Pigott</t>
  </si>
  <si>
    <t>CTI Miami</t>
  </si>
  <si>
    <t>Virtual BNI Chapter - BNI Referral Machines, Online Chapter, Miami, FL,33105</t>
  </si>
  <si>
    <t>Giancarlo Messina</t>
  </si>
  <si>
    <t>Messina Madrid Law PA</t>
  </si>
  <si>
    <t>Virtual BNI Chapter - BNI Referral Machines, Online Chapter, Miami, FL,33106</t>
  </si>
  <si>
    <t>Michael Lotto</t>
  </si>
  <si>
    <t>Sasieta Law</t>
  </si>
  <si>
    <t>+16317660686</t>
  </si>
  <si>
    <t>Virtual BNI Chapter - BNI Referral Machines, Online Chapter, Miami, FL,33107</t>
  </si>
  <si>
    <t>Ocean Hamilton</t>
  </si>
  <si>
    <t>Better Homes &amp; Gardens Real Estate</t>
  </si>
  <si>
    <t>786-545-5335</t>
  </si>
  <si>
    <t>Virtual BNI Chapter - BNI Referral Machines, Online Chapter, Miami, FL,33108</t>
  </si>
  <si>
    <t>Pamela Medal</t>
  </si>
  <si>
    <t>Gold Medal Insurance</t>
  </si>
  <si>
    <t>Virtual BNI Chapter - BNI Referral Machines, Online Chapter, Miami, FL,33109</t>
  </si>
  <si>
    <t>Patrick A. Barbier</t>
  </si>
  <si>
    <t>Virtual BNI Chapter - BNI Referral Machines, Online Chapter, Miami, FL,33110</t>
  </si>
  <si>
    <t>Raquel Chaviano-Mora</t>
  </si>
  <si>
    <t>Law Offices of Raquel Chaviano-Mora</t>
  </si>
  <si>
    <t>Virtual BNI Chapter - BNI Referral Machines, Online Chapter, Miami, FL,33111</t>
  </si>
  <si>
    <t>Rizza Pulhin</t>
  </si>
  <si>
    <t>Galleon Services Corporation</t>
  </si>
  <si>
    <t>+63 917 895 6904</t>
  </si>
  <si>
    <t>Virtual BNI Chapter - BNI Referral Machines, Online Chapter, Miami, FL,33112</t>
  </si>
  <si>
    <t>Therence John Resabal</t>
  </si>
  <si>
    <t>Riz MVA LLC</t>
  </si>
  <si>
    <t>+639778143685</t>
  </si>
  <si>
    <t xml:space="preserve">BNI South Beach
</t>
  </si>
  <si>
    <t>Rusty Pelican, 3201 Rickenbacker Causeway, Key Biscayne, FL, 33149</t>
  </si>
  <si>
    <t>Ada Dana</t>
  </si>
  <si>
    <t>Chapman Partnership</t>
  </si>
  <si>
    <t>305-582-7779</t>
  </si>
  <si>
    <t>Rusty Pelican, 3201 Rickenbacker Causeway, Key Biscayne, FL, 33150</t>
  </si>
  <si>
    <t>Adrian Valdes</t>
  </si>
  <si>
    <t>Reliance Restoration</t>
  </si>
  <si>
    <t>Rusty Pelican, 3201 Rickenbacker Causeway, Key Biscayne, FL, 33151</t>
  </si>
  <si>
    <t>Alain Haug</t>
  </si>
  <si>
    <t>System Crew</t>
  </si>
  <si>
    <t>+15613027660</t>
  </si>
  <si>
    <t>Rusty Pelican, 3201 Rickenbacker Causeway, Key Biscayne, FL, 33152</t>
  </si>
  <si>
    <t>Anderson Castro</t>
  </si>
  <si>
    <t>ANDERSON CASTRO</t>
  </si>
  <si>
    <t>305-371-3993</t>
  </si>
  <si>
    <t>Rusty Pelican, 3201 Rickenbacker Causeway, Key Biscayne, FL, 33153</t>
  </si>
  <si>
    <t>Anthony Baker</t>
  </si>
  <si>
    <t>Insurance Beyond Advising</t>
  </si>
  <si>
    <t>+16164989125</t>
  </si>
  <si>
    <t>Rusty Pelican, 3201 Rickenbacker Causeway, Key Biscayne, FL, 33154</t>
  </si>
  <si>
    <t>Carlos Figueroa</t>
  </si>
  <si>
    <t>Madison Construction Group</t>
  </si>
  <si>
    <t>305-220-8997</t>
  </si>
  <si>
    <t>Rusty Pelican, 3201 Rickenbacker Causeway, Key Biscayne, FL, 33155</t>
  </si>
  <si>
    <t>Carlos Ponce</t>
  </si>
  <si>
    <t>Maid Pro</t>
  </si>
  <si>
    <t>Rusty Pelican, 3201 Rickenbacker Causeway, Key Biscayne, FL, 33156</t>
  </si>
  <si>
    <t>Carrie Baron</t>
  </si>
  <si>
    <t>Carrie Baron &amp; Associates</t>
  </si>
  <si>
    <t>Rusty Pelican, 3201 Rickenbacker Causeway, Key Biscayne, FL, 33157</t>
  </si>
  <si>
    <t>Cristina Rivera-Jones</t>
  </si>
  <si>
    <t>V Digital Services</t>
  </si>
  <si>
    <t>Rusty Pelican, 3201 Rickenbacker Causeway, Key Biscayne, FL, 33158</t>
  </si>
  <si>
    <t>Derek Malone</t>
  </si>
  <si>
    <t>Terra Energy</t>
  </si>
  <si>
    <t>Construction &gt; Solar</t>
  </si>
  <si>
    <t>Rusty Pelican, 3201 Rickenbacker Causeway, Key Biscayne, FL, 33159</t>
  </si>
  <si>
    <t>Diego Mendez</t>
  </si>
  <si>
    <t>Mendez Law Offices</t>
  </si>
  <si>
    <t>305 264 9090</t>
  </si>
  <si>
    <t>Rusty Pelican, 3201 Rickenbacker Causeway, Key Biscayne, FL, 33160</t>
  </si>
  <si>
    <t>Elaine Sisman</t>
  </si>
  <si>
    <t>305-975-7781</t>
  </si>
  <si>
    <t>Rusty Pelican, 3201 Rickenbacker Causeway, Key Biscayne, FL, 33161</t>
  </si>
  <si>
    <t>Irene Fister</t>
  </si>
  <si>
    <t>Fister Design</t>
  </si>
  <si>
    <t>305-709-1413</t>
  </si>
  <si>
    <t>Rusty Pelican, 3201 Rickenbacker Causeway, Key Biscayne, FL, 33162</t>
  </si>
  <si>
    <t>Jackie Cuni</t>
  </si>
  <si>
    <t>305-790-9840</t>
  </si>
  <si>
    <t>Rusty Pelican, 3201 Rickenbacker Causeway, Key Biscayne, FL, 33163</t>
  </si>
  <si>
    <t>James Julian</t>
  </si>
  <si>
    <t>Julian Investigatiions</t>
  </si>
  <si>
    <t>Security &amp; Investigation &gt; Investigative Services/Detective</t>
  </si>
  <si>
    <t>Rusty Pelican, 3201 Rickenbacker Causeway, Key Biscayne, FL, 33164</t>
  </si>
  <si>
    <t>Janet Gonzalez</t>
  </si>
  <si>
    <t>Northwest Mutual</t>
  </si>
  <si>
    <t>Rusty Pelican, 3201 Rickenbacker Causeway, Key Biscayne, FL, 33165</t>
  </si>
  <si>
    <t>Jeannette Watkin</t>
  </si>
  <si>
    <t>J Watkin Law P. A.</t>
  </si>
  <si>
    <t>Rusty Pelican, 3201 Rickenbacker Causeway, Key Biscayne, FL, 33166</t>
  </si>
  <si>
    <t>Jorge Valls</t>
  </si>
  <si>
    <t>Fortuna Home Loans</t>
  </si>
  <si>
    <t>Rusty Pelican, 3201 Rickenbacker Causeway, Key Biscayne, FL, 33167</t>
  </si>
  <si>
    <t>Jose Angel Castro</t>
  </si>
  <si>
    <t>Jose Angel castro Photography</t>
  </si>
  <si>
    <t>Rusty Pelican, 3201 Rickenbacker Causeway, Key Biscayne, FL, 33168</t>
  </si>
  <si>
    <t>Joseph Rosenbaum</t>
  </si>
  <si>
    <t>Rosenbaum &amp; Acevedo</t>
  </si>
  <si>
    <t>Rusty Pelican, 3201 Rickenbacker Causeway, Key Biscayne, FL, 33169</t>
  </si>
  <si>
    <t>Kaustubh Nadkarni</t>
  </si>
  <si>
    <t>Nadkarni Law</t>
  </si>
  <si>
    <t>Rusty Pelican, 3201 Rickenbacker Causeway, Key Biscayne, FL, 33170</t>
  </si>
  <si>
    <t>Larry McGuinness</t>
  </si>
  <si>
    <t>MG Legal Group</t>
  </si>
  <si>
    <t>305-606-4104</t>
  </si>
  <si>
    <t>Rusty Pelican, 3201 Rickenbacker Causeway, Key Biscayne, FL, 33171</t>
  </si>
  <si>
    <t>Maria Ortega</t>
  </si>
  <si>
    <t>My Florida Immigration</t>
  </si>
  <si>
    <t>786-517-5297</t>
  </si>
  <si>
    <t>Rusty Pelican, 3201 Rickenbacker Causeway, Key Biscayne, FL, 33172</t>
  </si>
  <si>
    <t>Marty Davis</t>
  </si>
  <si>
    <t>Legal Solutions Group</t>
  </si>
  <si>
    <t>305-503-2808</t>
  </si>
  <si>
    <t>Rusty Pelican, 3201 Rickenbacker Causeway, Key Biscayne, FL, 33173</t>
  </si>
  <si>
    <t>Max Panoff</t>
  </si>
  <si>
    <t>Leighton Law</t>
  </si>
  <si>
    <t>Rusty Pelican, 3201 Rickenbacker Causeway, Key Biscayne, FL, 33174</t>
  </si>
  <si>
    <t>Maya Shalev</t>
  </si>
  <si>
    <t>Polivkin Shalev</t>
  </si>
  <si>
    <t>Advertising &amp; Marketing &gt; Branding</t>
  </si>
  <si>
    <t>Rusty Pelican, 3201 Rickenbacker Causeway, Key Biscayne, FL, 33175</t>
  </si>
  <si>
    <t>Neil Kodsi</t>
  </si>
  <si>
    <t>Feldman Kodsi</t>
  </si>
  <si>
    <t>305-445-2005</t>
  </si>
  <si>
    <t>Rusty Pelican, 3201 Rickenbacker Causeway, Key Biscayne, FL, 33176</t>
  </si>
  <si>
    <t>Niurka Rodriguez</t>
  </si>
  <si>
    <t>+13053014877</t>
  </si>
  <si>
    <t>Rusty Pelican, 3201 Rickenbacker Causeway, Key Biscayne, FL, 33177</t>
  </si>
  <si>
    <t>Peter Ariz</t>
  </si>
  <si>
    <t>Rusty Pelican, 3201 Rickenbacker Causeway, Key Biscayne, FL, 33178</t>
  </si>
  <si>
    <t>Xavier Molina</t>
  </si>
  <si>
    <t xml:space="preserve">BNI Biscayne Connection
</t>
  </si>
  <si>
    <t>Alen Turcinhodzic</t>
  </si>
  <si>
    <t>Turc Agency</t>
  </si>
  <si>
    <t>Alexander Perez</t>
  </si>
  <si>
    <t>Alexander Pizzani</t>
  </si>
  <si>
    <t>Elite Closer University</t>
  </si>
  <si>
    <t>Training &amp; Coaching &gt; Sales Training/Coach</t>
  </si>
  <si>
    <t>+1305-9263743</t>
  </si>
  <si>
    <t>Ali Mandsaurwala</t>
  </si>
  <si>
    <t>Accessible Home Health Care of Aventura</t>
  </si>
  <si>
    <t>305-627-3103</t>
  </si>
  <si>
    <t>Andre Scroggie</t>
  </si>
  <si>
    <t>Income Replacement Awareness-Advocacy</t>
  </si>
  <si>
    <t>(305) 912-6373</t>
  </si>
  <si>
    <t>Andrew Bellinson</t>
  </si>
  <si>
    <t>Bellinson Law Firm</t>
  </si>
  <si>
    <t>305 898 0909</t>
  </si>
  <si>
    <t>Ann Marie Giuliano</t>
  </si>
  <si>
    <t>Berkeley Bridge Advisors LLC</t>
  </si>
  <si>
    <t>+17049979553</t>
  </si>
  <si>
    <t>Barbara Alvarez</t>
  </si>
  <si>
    <t>DLE Legal</t>
  </si>
  <si>
    <t>Barry Stein</t>
  </si>
  <si>
    <t>DeCardenas</t>
  </si>
  <si>
    <t>305-377-1505</t>
  </si>
  <si>
    <t>Barry Wax</t>
  </si>
  <si>
    <t>Law Offices of Barry M. Wax</t>
  </si>
  <si>
    <t>305-373-4400</t>
  </si>
  <si>
    <t>Bradley Trushin</t>
  </si>
  <si>
    <t>305-981-8889</t>
  </si>
  <si>
    <t>Brady Rosenbaum</t>
  </si>
  <si>
    <t>Bigfoot Construction</t>
  </si>
  <si>
    <t>305-407-5810</t>
  </si>
  <si>
    <t>Bruce Jacobs</t>
  </si>
  <si>
    <t>305 331 1333</t>
  </si>
  <si>
    <t>CAMILA RAMIREZ</t>
  </si>
  <si>
    <t>T&amp;S Roofing Systems</t>
  </si>
  <si>
    <t>786 9929987</t>
  </si>
  <si>
    <t>Camilo Madrinan</t>
  </si>
  <si>
    <t>Saval Designs Corp.</t>
  </si>
  <si>
    <t>305 490 5324</t>
  </si>
  <si>
    <t>Carlos Bravo</t>
  </si>
  <si>
    <t>UrvanX</t>
  </si>
  <si>
    <t>786-615-2943</t>
  </si>
  <si>
    <t>Carlos Gaviria</t>
  </si>
  <si>
    <t>C&amp;G Financial</t>
  </si>
  <si>
    <t>Carlos Lopez</t>
  </si>
  <si>
    <t>MarineMax</t>
  </si>
  <si>
    <t>Sports &amp; Leisure &gt; Sports &amp; Leisure (Other)</t>
  </si>
  <si>
    <t>Carlos Mayorca</t>
  </si>
  <si>
    <t>United Janitors</t>
  </si>
  <si>
    <t>Carolina Correa</t>
  </si>
  <si>
    <t>Stoneworks of USA</t>
  </si>
  <si>
    <t>Charles Ziade</t>
  </si>
  <si>
    <t>Aerial Banners</t>
  </si>
  <si>
    <t>+1954-999-3970</t>
  </si>
  <si>
    <t>Daniel Gonzalez</t>
  </si>
  <si>
    <t>Accounting to Scale</t>
  </si>
  <si>
    <t>Legal &amp; Accounting &gt; Bookkeeping</t>
  </si>
  <si>
    <t>David Marko</t>
  </si>
  <si>
    <t>Marko &amp; Magolnick</t>
  </si>
  <si>
    <t>305-992-5604</t>
  </si>
  <si>
    <t>David Rothenstein</t>
  </si>
  <si>
    <t>Beacon Hill Property Group</t>
  </si>
  <si>
    <t>Real Estate Services &gt; Real Estate Development</t>
  </si>
  <si>
    <t>Elgin F. Polo</t>
  </si>
  <si>
    <t>Elgin F Polo</t>
  </si>
  <si>
    <t>305-299-7350</t>
  </si>
  <si>
    <t>Elina Magaly Santana</t>
  </si>
  <si>
    <t>Santana Residency Law</t>
  </si>
  <si>
    <t>305-916-4800</t>
  </si>
  <si>
    <t>Francisco Leon de la Barra</t>
  </si>
  <si>
    <t>EPGD Attorneys at Law</t>
  </si>
  <si>
    <t>(786) 837-6787</t>
  </si>
  <si>
    <t>Gina Polo</t>
  </si>
  <si>
    <t>Buchanan Ingersoll &amp; Rooney</t>
  </si>
  <si>
    <t>305-347-2362</t>
  </si>
  <si>
    <t>Gonzalo Montes de Oca</t>
  </si>
  <si>
    <t>CRUSH interactive</t>
  </si>
  <si>
    <t>Heidi Tandy</t>
  </si>
  <si>
    <t>Berger Singerman</t>
  </si>
  <si>
    <t>Rusty Pelican, 3201 Rickenbacker Causeway, Key Biscayne, FL, 33179</t>
  </si>
  <si>
    <t>Irina Toma</t>
  </si>
  <si>
    <t>All Digital Land</t>
  </si>
  <si>
    <t>Advertising &amp; Marketing &gt; Media Services</t>
  </si>
  <si>
    <t>Rusty Pelican, 3201 Rickenbacker Causeway, Key Biscayne, FL, 33180</t>
  </si>
  <si>
    <t>J Alexander Luty</t>
  </si>
  <si>
    <t>iQ Electronic Interiors</t>
  </si>
  <si>
    <t>Rusty Pelican, 3201 Rickenbacker Causeway, Key Biscayne, FL, 33181</t>
  </si>
  <si>
    <t>Jay Feldman</t>
  </si>
  <si>
    <t>Jay feldman inc</t>
  </si>
  <si>
    <t>Health &amp; Wellness &gt; Health Coach</t>
  </si>
  <si>
    <t>954 599 3242</t>
  </si>
  <si>
    <t>Rusty Pelican, 3201 Rickenbacker Causeway, Key Biscayne, FL, 33182</t>
  </si>
  <si>
    <t>Jay Richmond</t>
  </si>
  <si>
    <t>Stratos Construction</t>
  </si>
  <si>
    <t>305-722-3716</t>
  </si>
  <si>
    <t>Rusty Pelican, 3201 Rickenbacker Causeway, Key Biscayne, FL, 33183</t>
  </si>
  <si>
    <t>Jesse Soffer</t>
  </si>
  <si>
    <t>The Soffer Firm</t>
  </si>
  <si>
    <t>(305) 503-5634</t>
  </si>
  <si>
    <t>Rusty Pelican, 3201 Rickenbacker Causeway, Key Biscayne, FL, 33184</t>
  </si>
  <si>
    <t>Jesse Stolow</t>
  </si>
  <si>
    <t>305-347-4085</t>
  </si>
  <si>
    <t>Rusty Pelican, 3201 Rickenbacker Causeway, Key Biscayne, FL, 33185</t>
  </si>
  <si>
    <t>Jose Molina</t>
  </si>
  <si>
    <t>Direct Processing Network</t>
  </si>
  <si>
    <t>855-955-6111</t>
  </si>
  <si>
    <t>Rusty Pelican, 3201 Rickenbacker Causeway, Key Biscayne, FL, 33186</t>
  </si>
  <si>
    <t>Joshua Evans</t>
  </si>
  <si>
    <t>Stellar Public Adjusting</t>
  </si>
  <si>
    <t>305-396-9110</t>
  </si>
  <si>
    <t>Rusty Pelican, 3201 Rickenbacker Causeway, Key Biscayne, FL, 33187</t>
  </si>
  <si>
    <t>Juan Alvarado</t>
  </si>
  <si>
    <t>TeamLogic IT Coral Gables</t>
  </si>
  <si>
    <t>Rusty Pelican, 3201 Rickenbacker Causeway, Key Biscayne, FL, 33188</t>
  </si>
  <si>
    <t>Juan Camargo</t>
  </si>
  <si>
    <t>Be Strong International</t>
  </si>
  <si>
    <t>Rusty Pelican, 3201 Rickenbacker Causeway, Key Biscayne, FL, 33189</t>
  </si>
  <si>
    <t>Juan Castillo</t>
  </si>
  <si>
    <t>Powerloaders Corporation</t>
  </si>
  <si>
    <t>(305) 842-1383</t>
  </si>
  <si>
    <t>Rusty Pelican, 3201 Rickenbacker Causeway, Key Biscayne, FL, 33190</t>
  </si>
  <si>
    <t>Juan-Carlos Hervis</t>
  </si>
  <si>
    <t>Super Landscape &amp; Maintenance</t>
  </si>
  <si>
    <t>Architecture &amp; Engineering &gt; Landscape Services</t>
  </si>
  <si>
    <t>Rusty Pelican, 3201 Rickenbacker Causeway, Key Biscayne, FL, 33191</t>
  </si>
  <si>
    <t>Jullion Taylor</t>
  </si>
  <si>
    <t>US Capital Global</t>
  </si>
  <si>
    <t>Finance &amp; Insurance &gt; Business Financing</t>
  </si>
  <si>
    <t>Rusty Pelican, 3201 Rickenbacker Causeway, Key Biscayne, FL, 33192</t>
  </si>
  <si>
    <t>Luis Valdez</t>
  </si>
  <si>
    <t>Language Ventures</t>
  </si>
  <si>
    <t>Event &amp; Business Service &gt; Translator/Language Services</t>
  </si>
  <si>
    <t>305-204-1951</t>
  </si>
  <si>
    <t>Rusty Pelican, 3201 Rickenbacker Causeway, Key Biscayne, FL, 33193</t>
  </si>
  <si>
    <t>Maji Pace Ramos</t>
  </si>
  <si>
    <t>Coldwell Banker Residential RE</t>
  </si>
  <si>
    <t>305-519-7940</t>
  </si>
  <si>
    <t>Rusty Pelican, 3201 Rickenbacker Causeway, Key Biscayne, FL, 33194</t>
  </si>
  <si>
    <t>Marko Evans</t>
  </si>
  <si>
    <t>Now Hiring You</t>
  </si>
  <si>
    <t>Employment Activities &gt; Recruiter</t>
  </si>
  <si>
    <t>Rusty Pelican, 3201 Rickenbacker Causeway, Key Biscayne, FL, 33195</t>
  </si>
  <si>
    <t>Martin Silber</t>
  </si>
  <si>
    <t>Martin Silber and Associates</t>
  </si>
  <si>
    <t>Rusty Pelican, 3201 Rickenbacker Causeway, Key Biscayne, FL, 33196</t>
  </si>
  <si>
    <t>Matthew Shippey</t>
  </si>
  <si>
    <t>Integrated Management Group</t>
  </si>
  <si>
    <t>Rusty Pelican, 3201 Rickenbacker Causeway, Key Biscayne, FL, 33197</t>
  </si>
  <si>
    <t>Miguel Brizuela</t>
  </si>
  <si>
    <t>Miguel A. Brizuela</t>
  </si>
  <si>
    <t>305-985-6195</t>
  </si>
  <si>
    <t>Rusty Pelican, 3201 Rickenbacker Causeway, Key Biscayne, FL, 33198</t>
  </si>
  <si>
    <t>Monica Lopez</t>
  </si>
  <si>
    <t>Choice One Protection</t>
  </si>
  <si>
    <t>Security &amp; Investigation &gt; Security Personnel</t>
  </si>
  <si>
    <t>Rusty Pelican, 3201 Rickenbacker Causeway, Key Biscayne, FL, 33199</t>
  </si>
  <si>
    <t>Nellie Hernandez</t>
  </si>
  <si>
    <t>Guild Mortgage</t>
  </si>
  <si>
    <t>786-256-0850</t>
  </si>
  <si>
    <t>Rusty Pelican, 3201 Rickenbacker Causeway, Key Biscayne, FL, 33200</t>
  </si>
  <si>
    <t>Patrick Vilar</t>
  </si>
  <si>
    <t>VILAR LAW</t>
  </si>
  <si>
    <t>305-373-8000</t>
  </si>
  <si>
    <t>Rusty Pelican, 3201 Rickenbacker Causeway, Key Biscayne, FL, 33201</t>
  </si>
  <si>
    <t>Rayko Rubi</t>
  </si>
  <si>
    <t>Motorbreeze</t>
  </si>
  <si>
    <t>Car &amp; Motorcycle &gt; Auto/Car Rental/Leasing</t>
  </si>
  <si>
    <t>954-850-2277</t>
  </si>
  <si>
    <t>Rusty Pelican, 3201 Rickenbacker Causeway, Key Biscayne, FL, 33202</t>
  </si>
  <si>
    <t>Robert Alwine</t>
  </si>
  <si>
    <t>Robert Joseph Alwine</t>
  </si>
  <si>
    <t>305-965-0813</t>
  </si>
  <si>
    <t>Rusty Pelican, 3201 Rickenbacker Causeway, Key Biscayne, FL, 33203</t>
  </si>
  <si>
    <t>Romina Angulo</t>
  </si>
  <si>
    <t>Rusty Pelican, 3201 Rickenbacker Causeway, Key Biscayne, FL, 33204</t>
  </si>
  <si>
    <t>Sergio Pinto</t>
  </si>
  <si>
    <t>Rusty Pelican, 3201 Rickenbacker Causeway, Key Biscayne, FL, 33205</t>
  </si>
  <si>
    <t>Serina Prado</t>
  </si>
  <si>
    <t>On Target Marketing</t>
  </si>
  <si>
    <t>305-586-3433</t>
  </si>
  <si>
    <t>Rusty Pelican, 3201 Rickenbacker Causeway, Key Biscayne, FL, 33206</t>
  </si>
  <si>
    <t>Tanesha Walls Blye</t>
  </si>
  <si>
    <t>The Law Office of Tanisha Walls Blye</t>
  </si>
  <si>
    <t>786-796-1814</t>
  </si>
  <si>
    <t>Rusty Pelican, 3201 Rickenbacker Causeway, Key Biscayne, FL, 33207</t>
  </si>
  <si>
    <t>Tara Faenza</t>
  </si>
  <si>
    <t>Tara E. Faenza</t>
  </si>
  <si>
    <t>786-376-2272</t>
  </si>
  <si>
    <t>Rusty Pelican, 3201 Rickenbacker Causeway, Key Biscayne, FL, 33208</t>
  </si>
  <si>
    <t>Ty Gabriel</t>
  </si>
  <si>
    <t>Stemtree of Coral Gables</t>
  </si>
  <si>
    <t>Rusty Pelican, 3201 Rickenbacker Causeway, Key Biscayne, FL, 33209</t>
  </si>
  <si>
    <t>VALERIE KIFFIN LEWIS</t>
  </si>
  <si>
    <t>Valerie Kiffin Lewis Law Firm</t>
  </si>
  <si>
    <t>Legal &amp; Accounting &gt; Mediator</t>
  </si>
  <si>
    <t>(954) 589-8652</t>
  </si>
  <si>
    <t>Rusty Pelican, 3201 Rickenbacker Causeway, Key Biscayne, FL, 33210</t>
  </si>
  <si>
    <t>Zoltan Present</t>
  </si>
  <si>
    <t>Luxhunters Productions</t>
  </si>
  <si>
    <t xml:space="preserve">BNI Circle of Trust
</t>
  </si>
  <si>
    <t>Adrian Correa</t>
  </si>
  <si>
    <t>Dental Leaders</t>
  </si>
  <si>
    <t>Carlos Shteremberg</t>
  </si>
  <si>
    <t>(786) 848-3054</t>
  </si>
  <si>
    <t>Daniel Sanchez-Galarraga</t>
  </si>
  <si>
    <t>Avila Rodriguez Hernandez Mena &amp; Garro LLP</t>
  </si>
  <si>
    <t>305-779-3560</t>
  </si>
  <si>
    <t>Jamie Eysenbach</t>
  </si>
  <si>
    <t>Sterling Thompson</t>
  </si>
  <si>
    <t>Josh Waxman</t>
  </si>
  <si>
    <t>Karina Gonzalez</t>
  </si>
  <si>
    <t>West Capital Lending</t>
  </si>
  <si>
    <t>305-833-9087</t>
  </si>
  <si>
    <t>Luis Reale</t>
  </si>
  <si>
    <t>Reale Services</t>
  </si>
  <si>
    <t>305 509 3183</t>
  </si>
  <si>
    <t>Omar Ibrahem</t>
  </si>
  <si>
    <t>OKI Law</t>
  </si>
  <si>
    <t>305-420-6950</t>
  </si>
  <si>
    <t>Sebastian Giro</t>
  </si>
  <si>
    <t>Jose Gancedo CPA</t>
  </si>
  <si>
    <t>+13053033330</t>
  </si>
  <si>
    <t>Victor Billskoog</t>
  </si>
  <si>
    <t>The Riley Smith Group</t>
  </si>
  <si>
    <t>William Harris</t>
  </si>
  <si>
    <t>Trugman Valuation Associates</t>
  </si>
  <si>
    <t>954-607-6677</t>
  </si>
  <si>
    <t xml:space="preserve">BNI Brickell Rising
</t>
  </si>
  <si>
    <t>JW Marriott, 1109 Brickell Ave. Isabela Private Room -2nd Floor, Miami, FL, 33131</t>
  </si>
  <si>
    <t>Alexis Betancourt</t>
  </si>
  <si>
    <t>+17865643584</t>
  </si>
  <si>
    <t>JW Marriott, 1109 Brickell Ave. Isabela Private Room -2nd Floor, Miami, FL, 33132</t>
  </si>
  <si>
    <t>Anibal Torres</t>
  </si>
  <si>
    <t>CMG Financial</t>
  </si>
  <si>
    <t>JW Marriott, 1109 Brickell Ave. Isabela Private Room -2nd Floor, Miami, FL, 33133</t>
  </si>
  <si>
    <t>Antonio Pena</t>
  </si>
  <si>
    <t>Antonio Pena Law Group PLLC</t>
  </si>
  <si>
    <t>786-278-6363</t>
  </si>
  <si>
    <t>JW Marriott, 1109 Brickell Ave. Isabela Private Room -2nd Floor, Miami, FL, 33134</t>
  </si>
  <si>
    <t>Antonio Andres Lopez</t>
  </si>
  <si>
    <t>Triumph Wealth Management</t>
  </si>
  <si>
    <t>JW Marriott, 1109 Brickell Ave. Isabela Private Room -2nd Floor, Miami, FL, 33135</t>
  </si>
  <si>
    <t>Christine Jorge</t>
  </si>
  <si>
    <t>CJR Insurance Agency LLC</t>
  </si>
  <si>
    <t>(305) 828-2811</t>
  </si>
  <si>
    <t>JW Marriott, 1109 Brickell Ave. Isabela Private Room -2nd Floor, Miami, FL, 33136</t>
  </si>
  <si>
    <t>Daniel Ilani</t>
  </si>
  <si>
    <t>Property People Law</t>
  </si>
  <si>
    <t>Legal &amp; Accounting &gt; Consumer Law</t>
  </si>
  <si>
    <t>(847) 452-4009</t>
  </si>
  <si>
    <t>JW Marriott, 1109 Brickell Ave. Isabela Private Room -2nd Floor, Miami, FL, 33137</t>
  </si>
  <si>
    <t>David Castillo</t>
  </si>
  <si>
    <t>Castle Computers</t>
  </si>
  <si>
    <t>JW Marriott, 1109 Brickell Ave. Isabela Private Room -2nd Floor, Miami, FL, 33138</t>
  </si>
  <si>
    <t>Dimitri Joseph</t>
  </si>
  <si>
    <t>JW Marriott, 1109 Brickell Ave. Isabela Private Room -2nd Floor, Miami, FL, 33139</t>
  </si>
  <si>
    <t>Dominick Serio</t>
  </si>
  <si>
    <t>Goldberg &amp; Rosen PA</t>
  </si>
  <si>
    <t>JW Marriott, 1109 Brickell Ave. Isabela Private Room -2nd Floor, Miami, FL, 33140</t>
  </si>
  <si>
    <t>Eddy Mendoza</t>
  </si>
  <si>
    <t>Principal financial group</t>
  </si>
  <si>
    <t>JW Marriott, 1109 Brickell Ave. Isabela Private Room -2nd Floor, Miami, FL, 33141</t>
  </si>
  <si>
    <t>Ernesto Puig</t>
  </si>
  <si>
    <t>Top Level Funding</t>
  </si>
  <si>
    <t>Finance &amp; Insurance &gt; Commercial Loans</t>
  </si>
  <si>
    <t>JW Marriott, 1109 Brickell Ave. Isabela Private Room -2nd Floor, Miami, FL, 33142</t>
  </si>
  <si>
    <t>Franz De Luca</t>
  </si>
  <si>
    <t>PG Express Inc</t>
  </si>
  <si>
    <t>JW Marriott, 1109 Brickell Ave. Isabela Private Room -2nd Floor, Miami, FL, 33143</t>
  </si>
  <si>
    <t>Fritznie Jarbath</t>
  </si>
  <si>
    <t>Jarbath Pena Law Group</t>
  </si>
  <si>
    <t>305-615-1005</t>
  </si>
  <si>
    <t>JW Marriott, 1109 Brickell Ave. Isabela Private Room -2nd Floor, Miami, FL, 33144</t>
  </si>
  <si>
    <t>Gustavo Vargas</t>
  </si>
  <si>
    <t>Saniklean</t>
  </si>
  <si>
    <t>JW Marriott, 1109 Brickell Ave. Isabela Private Room -2nd Floor, Miami, FL, 33145</t>
  </si>
  <si>
    <t>Hubert Villalobos Huerta</t>
  </si>
  <si>
    <t>1FirstBank</t>
  </si>
  <si>
    <t>786.498 7345</t>
  </si>
  <si>
    <t>JW Marriott, 1109 Brickell Ave. Isabela Private Room -2nd Floor, Miami, FL, 33146</t>
  </si>
  <si>
    <t>Jeremy Mason</t>
  </si>
  <si>
    <t>The Pangea Agency LLC</t>
  </si>
  <si>
    <t>JW Marriott, 1109 Brickell Ave. Isabela Private Room -2nd Floor, Miami, FL, 33147</t>
  </si>
  <si>
    <t>John Tate</t>
  </si>
  <si>
    <t>Agency Marketing Machine</t>
  </si>
  <si>
    <t>954-478-3220</t>
  </si>
  <si>
    <t>JW Marriott, 1109 Brickell Ave. Isabela Private Room -2nd Floor, Miami, FL, 33148</t>
  </si>
  <si>
    <t>John Torregrosa</t>
  </si>
  <si>
    <t>954-468-2221</t>
  </si>
  <si>
    <t>JW Marriott, 1109 Brickell Ave. Isabela Private Room -2nd Floor, Miami, FL, 33149</t>
  </si>
  <si>
    <t>Juan Felipe Barreto</t>
  </si>
  <si>
    <t>DBCS</t>
  </si>
  <si>
    <t>+17865562407</t>
  </si>
  <si>
    <t>JW Marriott, 1109 Brickell Ave. Isabela Private Room -2nd Floor, Miami, FL, 33150</t>
  </si>
  <si>
    <t>Katerina Gonzalez Rodriguez</t>
  </si>
  <si>
    <t>Unlimited Title Group</t>
  </si>
  <si>
    <t>305-269-9087</t>
  </si>
  <si>
    <t>JW Marriott, 1109 Brickell Ave. Isabela Private Room -2nd Floor, Miami, FL, 33151</t>
  </si>
  <si>
    <t>Keisha Hankerson</t>
  </si>
  <si>
    <t>Blue Ink Signing Solutions</t>
  </si>
  <si>
    <t>JW Marriott, 1109 Brickell Ave. Isabela Private Room -2nd Floor, Miami, FL, 33152</t>
  </si>
  <si>
    <t>Matthew Bistritzky</t>
  </si>
  <si>
    <t>MB LAW GROUP</t>
  </si>
  <si>
    <t>JW Marriott, 1109 Brickell Ave. Isabela Private Room -2nd Floor, Miami, FL, 33153</t>
  </si>
  <si>
    <t>Melisa Pena</t>
  </si>
  <si>
    <t>Jarbath Pena law group</t>
  </si>
  <si>
    <t>JW Marriott, 1109 Brickell Ave. Isabela Private Room -2nd Floor, Miami, FL, 33154</t>
  </si>
  <si>
    <t>Vanessa Diaz</t>
  </si>
  <si>
    <t>Regis HR</t>
  </si>
  <si>
    <t xml:space="preserve">BNI Brickell Impact
</t>
  </si>
  <si>
    <t>Seacoast Bank, 1150 S Miami Avenue, Third Floor, Miami, Florida, 33130</t>
  </si>
  <si>
    <t>Australia Alba</t>
  </si>
  <si>
    <t>The Law Offices of Michael Shawn</t>
  </si>
  <si>
    <t>Seacoast Bank, 1150 S Miami Avenue, Third Floor, Miami, Florida, 33131</t>
  </si>
  <si>
    <t>Brian Neary</t>
  </si>
  <si>
    <t>The Property People Fl</t>
  </si>
  <si>
    <t>+1 (631) 513-2372</t>
  </si>
  <si>
    <t>Seacoast Bank, 1150 S Miami Avenue, Third Floor, Miami, Florida, 33132</t>
  </si>
  <si>
    <t>Daniel Tobon</t>
  </si>
  <si>
    <t>Seacoast Bank, 1150 S Miami Avenue, Third Floor, Miami, Florida, 33133</t>
  </si>
  <si>
    <t>David Prieto</t>
  </si>
  <si>
    <t>Private Client Group</t>
  </si>
  <si>
    <t>Seacoast Bank, 1150 S Miami Avenue, Third Floor, Miami, Florida, 33134</t>
  </si>
  <si>
    <t>Emily Schwitalla</t>
  </si>
  <si>
    <t>Seacoast Bank, 1150 S Miami Avenue, Third Floor, Miami, Florida, 33135</t>
  </si>
  <si>
    <t>Francisco Valencia</t>
  </si>
  <si>
    <t>LV8 Communication</t>
  </si>
  <si>
    <t>754-225-7267</t>
  </si>
  <si>
    <t>Seacoast Bank, 1150 S Miami Avenue, Third Floor, Miami, Florida, 33136</t>
  </si>
  <si>
    <t>Ingrid Romero</t>
  </si>
  <si>
    <t>305-398-9000</t>
  </si>
  <si>
    <t>Seacoast Bank, 1150 S Miami Avenue, Third Floor, Miami, Florida, 33137</t>
  </si>
  <si>
    <t>Joshua Gross</t>
  </si>
  <si>
    <t>Seacoast Bank, 1150 S Miami Avenue, Third Floor, Miami, Florida, 33138</t>
  </si>
  <si>
    <t>Kenneth Mantuo Jr</t>
  </si>
  <si>
    <t>Business Express Insurance Agency Inc (BEIA)</t>
  </si>
  <si>
    <t>Seacoast Bank, 1150 S Miami Avenue, Third Floor, Miami, Florida, 33139</t>
  </si>
  <si>
    <t>Mirtha Almanzar</t>
  </si>
  <si>
    <t>Valezar &amp; Associates</t>
  </si>
  <si>
    <t>305-252-5505</t>
  </si>
  <si>
    <t>Seacoast Bank, 1150 S Miami Avenue, Third Floor, Miami, Florida, 33140</t>
  </si>
  <si>
    <t>Nicholas Gioia</t>
  </si>
  <si>
    <t>Law Offices of Jimmy De La Esperella</t>
  </si>
  <si>
    <t>Seacoast Bank, 1150 S Miami Avenue, Third Floor, Miami, Florida, 33141</t>
  </si>
  <si>
    <t>TJ Pacchioli</t>
  </si>
  <si>
    <t>Seacoast Bank, 1150 S Miami Avenue, Third Floor, Miami, Florida, 33142</t>
  </si>
  <si>
    <t>Yianni Garcia</t>
  </si>
  <si>
    <t>RATERIGHT TEAM @ Nexa Mortgage</t>
  </si>
  <si>
    <t xml:space="preserve">BNI Future
</t>
  </si>
  <si>
    <t>Portobello, 2841 Coral Way, Coral Gables, FL, 33145</t>
  </si>
  <si>
    <t>Ana Cristina Berenguer</t>
  </si>
  <si>
    <t>1-877-305-3055</t>
  </si>
  <si>
    <t>Portobello, 2841 Coral Way, Coral Gables, FL, 33146</t>
  </si>
  <si>
    <t>Ari Sernik</t>
  </si>
  <si>
    <t>Portobello, 2841 Coral Way, Coral Gables, FL, 33147</t>
  </si>
  <si>
    <t>Austin Palacios</t>
  </si>
  <si>
    <t>Portobello, 2841 Coral Way, Coral Gables, FL, 33148</t>
  </si>
  <si>
    <t>Cinthya Brodzikowski</t>
  </si>
  <si>
    <t>Portobello, 2841 Coral Way, Coral Gables, FL, 33149</t>
  </si>
  <si>
    <t>Jonathan Rosa</t>
  </si>
  <si>
    <t>Candor Title &amp; Closing Services</t>
  </si>
  <si>
    <t>305-926-5002</t>
  </si>
  <si>
    <t>Portobello, 2841 Coral Way, Coral Gables, FL, 33150</t>
  </si>
  <si>
    <t>Jose Fernandez</t>
  </si>
  <si>
    <t>Portobello, 2841 Coral Way, Coral Gables, FL, 33151</t>
  </si>
  <si>
    <t>Jose Gancedo</t>
  </si>
  <si>
    <t>Gancedo Accounting Solutions Inc</t>
  </si>
  <si>
    <t>Portobello, 2841 Coral Way, Coral Gables, FL, 33152</t>
  </si>
  <si>
    <t>Metris Batts</t>
  </si>
  <si>
    <t>The Miami Woman</t>
  </si>
  <si>
    <t>Portobello, 2841 Coral Way, Coral Gables, FL, 33153</t>
  </si>
  <si>
    <t>Octavio Mendizabal</t>
  </si>
  <si>
    <t>Hometown Buidlers</t>
  </si>
  <si>
    <t>Portobello, 2841 Coral Way, Coral Gables, FL, 33154</t>
  </si>
  <si>
    <t>Ricardo Oviedo</t>
  </si>
  <si>
    <t>Berkshire Hathaway EWM Realty</t>
  </si>
  <si>
    <t>Portobello, 2841 Coral Way, Coral Gables, FL, 33155</t>
  </si>
  <si>
    <t>Yanliet Cervino</t>
  </si>
  <si>
    <t>Sebanda insurance</t>
  </si>
  <si>
    <t>+1 (305) 998-8475</t>
  </si>
  <si>
    <t xml:space="preserve">BNI Synergy Coral Gables
</t>
  </si>
  <si>
    <t>Hyatt Regency Coral Gables, 50 Alhambra Plaza, Coral Gables, FL, 33134</t>
  </si>
  <si>
    <t>Al Kanbar</t>
  </si>
  <si>
    <t>Silver Spoon Mia</t>
  </si>
  <si>
    <t>Training &amp; Coaching &gt; Management Coach</t>
  </si>
  <si>
    <t>+13052995171</t>
  </si>
  <si>
    <t>Hyatt Regency Coral Gables, 50 Alhambra Plaza, Coral Gables, FL, 33135</t>
  </si>
  <si>
    <t>Ashley Garritson</t>
  </si>
  <si>
    <t>An Inspired Life Transformation</t>
  </si>
  <si>
    <t>Hyatt Regency Coral Gables, 50 Alhambra Plaza, Coral Gables, FL, 33136</t>
  </si>
  <si>
    <t>Carlos Gutierrez P.A.</t>
  </si>
  <si>
    <t>Hyatt Regency Coral Gables, 50 Alhambra Plaza, Coral Gables, FL, 33137</t>
  </si>
  <si>
    <t>Carolina Leyva</t>
  </si>
  <si>
    <t>Marsicano + Leyva</t>
  </si>
  <si>
    <t>Hyatt Regency Coral Gables, 50 Alhambra Plaza, Coral Gables, FL, 33138</t>
  </si>
  <si>
    <t>Eliu Vinas</t>
  </si>
  <si>
    <t>Hyatt Regency Coral Gables, 50 Alhambra Plaza, Coral Gables, FL, 33139</t>
  </si>
  <si>
    <t>Harry Tapias</t>
  </si>
  <si>
    <t>Loigica P.A.</t>
  </si>
  <si>
    <t>786-292-9704</t>
  </si>
  <si>
    <t>Hyatt Regency Coral Gables, 50 Alhambra Plaza, Coral Gables, FL, 33140</t>
  </si>
  <si>
    <t>Hermes Alvarez</t>
  </si>
  <si>
    <t>+13052980682</t>
  </si>
  <si>
    <t>Hyatt Regency Coral Gables, 50 Alhambra Plaza, Coral Gables, FL, 33141</t>
  </si>
  <si>
    <t>Isabel Quintero</t>
  </si>
  <si>
    <t>Henley &amp; partners</t>
  </si>
  <si>
    <t>Hyatt Regency Coral Gables, 50 Alhambra Plaza, Coral Gables, FL, 33142</t>
  </si>
  <si>
    <t>Joaquin Alvarez</t>
  </si>
  <si>
    <t>RezolveIT</t>
  </si>
  <si>
    <t>786 505 1982</t>
  </si>
  <si>
    <t>Hyatt Regency Coral Gables, 50 Alhambra Plaza, Coral Gables, FL, 33143</t>
  </si>
  <si>
    <t>Johmar Garcia</t>
  </si>
  <si>
    <t>Accredited Appraisers</t>
  </si>
  <si>
    <t>(305) 253-4245</t>
  </si>
  <si>
    <t>Hyatt Regency Coral Gables, 50 Alhambra Plaza, Coral Gables, FL, 33144</t>
  </si>
  <si>
    <t>Jorge Mosquera</t>
  </si>
  <si>
    <t>Hyatt Regency Coral Gables, 50 Alhambra Plaza, Coral Gables, FL, 33145</t>
  </si>
  <si>
    <t>Jorge L. Modia</t>
  </si>
  <si>
    <t>CPC Financial Services</t>
  </si>
  <si>
    <t>305-774-9618</t>
  </si>
  <si>
    <t>Hyatt Regency Coral Gables, 50 Alhambra Plaza, Coral Gables, FL, 33146</t>
  </si>
  <si>
    <t>Joy Galliford</t>
  </si>
  <si>
    <t>Friends of South Florida Music</t>
  </si>
  <si>
    <t>Hyatt Regency Coral Gables, 50 Alhambra Plaza, Coral Gables, FL, 33147</t>
  </si>
  <si>
    <t>Joyce Caba</t>
  </si>
  <si>
    <t>JCP Films LLC</t>
  </si>
  <si>
    <t>Hyatt Regency Coral Gables, 50 Alhambra Plaza, Coral Gables, FL, 33148</t>
  </si>
  <si>
    <t>Juliana Gonzalez</t>
  </si>
  <si>
    <t>McGuinness &amp; Gonzalez</t>
  </si>
  <si>
    <t>Hyatt Regency Coral Gables, 50 Alhambra Plaza, Coral Gables, FL, 33149</t>
  </si>
  <si>
    <t>Liliana Lima</t>
  </si>
  <si>
    <t>Wiz Cleaners</t>
  </si>
  <si>
    <t>Hyatt Regency Coral Gables, 50 Alhambra Plaza, Coral Gables, FL, 33150</t>
  </si>
  <si>
    <t>Loren Fraute</t>
  </si>
  <si>
    <t>Capital Property Inspections</t>
  </si>
  <si>
    <t>Hyatt Regency Coral Gables, 50 Alhambra Plaza, Coral Gables, FL, 33151</t>
  </si>
  <si>
    <t>Luis Reynoso</t>
  </si>
  <si>
    <t>Law Office of Luis E. Reynoso</t>
  </si>
  <si>
    <t>305-968-2043</t>
  </si>
  <si>
    <t>Hyatt Regency Coral Gables, 50 Alhambra Plaza, Coral Gables, FL, 33152</t>
  </si>
  <si>
    <t>Mateo Garcia</t>
  </si>
  <si>
    <t>Coastal Wealth</t>
  </si>
  <si>
    <t>954-625-1592</t>
  </si>
  <si>
    <t>Hyatt Regency Coral Gables, 50 Alhambra Plaza, Coral Gables, FL, 33153</t>
  </si>
  <si>
    <t>Mayra Rodriguez</t>
  </si>
  <si>
    <t>People Structure</t>
  </si>
  <si>
    <t>Hyatt Regency Coral Gables, 50 Alhambra Plaza, Coral Gables, FL, 33154</t>
  </si>
  <si>
    <t>Melina Oliva</t>
  </si>
  <si>
    <t>305-213-7771</t>
  </si>
  <si>
    <t>Hyatt Regency Coral Gables, 50 Alhambra Plaza, Coral Gables, FL, 33155</t>
  </si>
  <si>
    <t>Michael Feldman</t>
  </si>
  <si>
    <t>Krinzman</t>
  </si>
  <si>
    <t>305-854-9700</t>
  </si>
  <si>
    <t>Hyatt Regency Coral Gables, 50 Alhambra Plaza, Coral Gables, FL, 33156</t>
  </si>
  <si>
    <t>Michael Miranda</t>
  </si>
  <si>
    <t>Leading Public Adjusters 1</t>
  </si>
  <si>
    <t>305 725 4564</t>
  </si>
  <si>
    <t>Hyatt Regency Coral Gables, 50 Alhambra Plaza, Coral Gables, FL, 33157</t>
  </si>
  <si>
    <t>Miriam Soberanes</t>
  </si>
  <si>
    <t>Rare Velvet Art Gallery</t>
  </si>
  <si>
    <t>Art &amp; Entertainment &gt; Art &amp; Entertainment (Other)</t>
  </si>
  <si>
    <t>Hyatt Regency Coral Gables, 50 Alhambra Plaza, Coral Gables, FL, 33158</t>
  </si>
  <si>
    <t>Nicholas Apathy</t>
  </si>
  <si>
    <t>Nicolas T. Apathy</t>
  </si>
  <si>
    <t>Hyatt Regency Coral Gables, 50 Alhambra Plaza, Coral Gables, FL, 33159</t>
  </si>
  <si>
    <t>Oscar De Toffoli Jr CPA</t>
  </si>
  <si>
    <t>Oscar De Toffoli</t>
  </si>
  <si>
    <t>305-898-4008</t>
  </si>
  <si>
    <t>Hyatt Regency Coral Gables, 50 Alhambra Plaza, Coral Gables, FL, 33160</t>
  </si>
  <si>
    <t>Raul Pestonit</t>
  </si>
  <si>
    <t>Real Property Mortgage Co.</t>
  </si>
  <si>
    <t>305-725-5626</t>
  </si>
  <si>
    <t>Hyatt Regency Coral Gables, 50 Alhambra Plaza, Coral Gables, FL, 33161</t>
  </si>
  <si>
    <t>Raymond Carrero</t>
  </si>
  <si>
    <t>The Law Firm of Raymond Carrero</t>
  </si>
  <si>
    <t>305-358-9495</t>
  </si>
  <si>
    <t>Hyatt Regency Coral Gables, 50 Alhambra Plaza, Coral Gables, FL, 33162</t>
  </si>
  <si>
    <t>Richard Barbara</t>
  </si>
  <si>
    <t>Richard L. Barbara</t>
  </si>
  <si>
    <t>305-400-8802</t>
  </si>
  <si>
    <t>Hyatt Regency Coral Gables, 50 Alhambra Plaza, Coral Gables, FL, 33163</t>
  </si>
  <si>
    <t>Roberto Ramirez</t>
  </si>
  <si>
    <t>Ramirez &amp; Ramirez</t>
  </si>
  <si>
    <t>305-646-3400</t>
  </si>
  <si>
    <t>Hyatt Regency Coral Gables, 50 Alhambra Plaza, Coral Gables, FL, 33164</t>
  </si>
  <si>
    <t>Rose Moran</t>
  </si>
  <si>
    <t>Crafted Identities</t>
  </si>
  <si>
    <t>Hyatt Regency Coral Gables, 50 Alhambra Plaza, Coral Gables, FL, 33165</t>
  </si>
  <si>
    <t>Sebastian Rusk</t>
  </si>
  <si>
    <t>Podcast Launch Lab</t>
  </si>
  <si>
    <t>Hyatt Regency Coral Gables, 50 Alhambra Plaza, Coral Gables, FL, 33166</t>
  </si>
  <si>
    <t>Steven Gurian</t>
  </si>
  <si>
    <t>Affiliated 1031</t>
  </si>
  <si>
    <t>786-363-3118</t>
  </si>
  <si>
    <t>Hyatt Regency Coral Gables, 50 Alhambra Plaza, Coral Gables, FL, 33167</t>
  </si>
  <si>
    <t>Van Martin</t>
  </si>
  <si>
    <t>786-706-0584</t>
  </si>
  <si>
    <t>Rodolfo Gonzalez</t>
  </si>
  <si>
    <t>Kim Vasey</t>
  </si>
  <si>
    <t>BNI Legends</t>
  </si>
  <si>
    <t>Bay 13 Brewery &amp; Kitchen. 65 Alhambra Plaza, Coral Gables, FL, 33134</t>
  </si>
  <si>
    <t>Andres Noy</t>
  </si>
  <si>
    <t>Affiliated.1031</t>
  </si>
  <si>
    <t>Bay 13 Brewery &amp; Kitchen. 65 Alhambra Plaza, Coral Gables, FL, 33135</t>
  </si>
  <si>
    <t>Armando Figueredo</t>
  </si>
  <si>
    <t>SFL Property Maintenance Corp</t>
  </si>
  <si>
    <t>Bay 13 Brewery &amp; Kitchen. 65 Alhambra Plaza, Coral Gables, FL, 33136</t>
  </si>
  <si>
    <t>Augusto Perera</t>
  </si>
  <si>
    <t>Bay 13 Brewery &amp; Kitchen. 65 Alhambra Plaza, Coral Gables, FL, 33137</t>
  </si>
  <si>
    <t>Blas Pulgar-Vidal</t>
  </si>
  <si>
    <t>Blast Pest Control</t>
  </si>
  <si>
    <t>Bay 13 Brewery &amp; Kitchen. 65 Alhambra Plaza, Coral Gables, FL, 33138</t>
  </si>
  <si>
    <t>Bryan Blair</t>
  </si>
  <si>
    <t>Claims Investigation Agency</t>
  </si>
  <si>
    <t>Bay 13 Brewery &amp; Kitchen. 65 Alhambra Plaza, Coral Gables, FL, 33139</t>
  </si>
  <si>
    <t>Daniel Funes</t>
  </si>
  <si>
    <t>Funes Law Group</t>
  </si>
  <si>
    <t>Bay 13 Brewery &amp; Kitchen. 65 Alhambra Plaza, Coral Gables, FL, 33140</t>
  </si>
  <si>
    <t>Daniel Leyton</t>
  </si>
  <si>
    <t>Kravitz Talamo &amp; Leyton LLP</t>
  </si>
  <si>
    <t>Bay 13 Brewery &amp; Kitchen. 65 Alhambra Plaza, Coral Gables, FL, 33141</t>
  </si>
  <si>
    <t>Erica Estevez</t>
  </si>
  <si>
    <t>Lungarelli Law</t>
  </si>
  <si>
    <t>Bay 13 Brewery &amp; Kitchen. 65 Alhambra Plaza, Coral Gables, FL, 33142</t>
  </si>
  <si>
    <t>Erik Nunez</t>
  </si>
  <si>
    <t>Labrat Studios LLC</t>
  </si>
  <si>
    <t>Bay 13 Brewery &amp; Kitchen. 65 Alhambra Plaza, Coral Gables, FL, 33143</t>
  </si>
  <si>
    <t>Filiz Kayali</t>
  </si>
  <si>
    <t>ELITE SALES GROUP</t>
  </si>
  <si>
    <t>305-3013435</t>
  </si>
  <si>
    <t>Bay 13 Brewery &amp; Kitchen. 65 Alhambra Plaza, Coral Gables, FL, 33144</t>
  </si>
  <si>
    <t>Francisco Pareja</t>
  </si>
  <si>
    <t>Portrayts LLC</t>
  </si>
  <si>
    <t>+17866300361</t>
  </si>
  <si>
    <t>Bay 13 Brewery &amp; Kitchen. 65 Alhambra Plaza, Coral Gables, FL, 33145</t>
  </si>
  <si>
    <t>Franklin Espinoza</t>
  </si>
  <si>
    <t>E And B Service And Repairs Inc</t>
  </si>
  <si>
    <t>305-764-0714</t>
  </si>
  <si>
    <t>Bay 13 Brewery &amp; Kitchen. 65 Alhambra Plaza, Coral Gables, FL, 33146</t>
  </si>
  <si>
    <t>George Escobar</t>
  </si>
  <si>
    <t>City Roofing</t>
  </si>
  <si>
    <t>Bay 13 Brewery &amp; Kitchen. 65 Alhambra Plaza, Coral Gables, FL, 33147</t>
  </si>
  <si>
    <t>Ian Pinkert</t>
  </si>
  <si>
    <t>Halpern</t>
  </si>
  <si>
    <t>305-445-1111</t>
  </si>
  <si>
    <t>Bay 13 Brewery &amp; Kitchen. 65 Alhambra Plaza, Coral Gables, FL, 33148</t>
  </si>
  <si>
    <t>Ivanhoe Sanchez</t>
  </si>
  <si>
    <t>Outright Financial Strategies</t>
  </si>
  <si>
    <t>786-239-0230</t>
  </si>
  <si>
    <t>Bay 13 Brewery &amp; Kitchen. 65 Alhambra Plaza, Coral Gables, FL, 33149</t>
  </si>
  <si>
    <t>James Schwitalla</t>
  </si>
  <si>
    <t>The Bankruptcy Law offices of James Schwitalla</t>
  </si>
  <si>
    <t>305-278-0811</t>
  </si>
  <si>
    <t>Bay 13 Brewery &amp; Kitchen. 65 Alhambra Plaza, Coral Gables, FL, 33150</t>
  </si>
  <si>
    <t>Jocelyn Rocha</t>
  </si>
  <si>
    <t>Ball Janik LLP</t>
  </si>
  <si>
    <t>+1 (305) 923-2168</t>
  </si>
  <si>
    <t>Bay 13 Brewery &amp; Kitchen. 65 Alhambra Plaza, Coral Gables, FL, 33151</t>
  </si>
  <si>
    <t>Josiah Charles</t>
  </si>
  <si>
    <t>Bay 13 Brewery &amp; Kitchen. 65 Alhambra Plaza, Coral Gables, FL, 33152</t>
  </si>
  <si>
    <t>Josie Sinclair</t>
  </si>
  <si>
    <t>Sigma Accounting PA</t>
  </si>
  <si>
    <t>786-405-5939</t>
  </si>
  <si>
    <t>Bay 13 Brewery &amp; Kitchen. 65 Alhambra Plaza, Coral Gables, FL, 33153</t>
  </si>
  <si>
    <t>Justin Bush</t>
  </si>
  <si>
    <t>CrossCounntry Mortgage</t>
  </si>
  <si>
    <t>+19545518357</t>
  </si>
  <si>
    <t>Bay 13 Brewery &amp; Kitchen. 65 Alhambra Plaza, Coral Gables, FL, 33154</t>
  </si>
  <si>
    <t>Kristen Jackwin</t>
  </si>
  <si>
    <t>Jackwin Legal PA</t>
  </si>
  <si>
    <t>Bay 13 Brewery &amp; Kitchen. 65 Alhambra Plaza, Coral Gables, FL, 33155</t>
  </si>
  <si>
    <t>Laura Burgess</t>
  </si>
  <si>
    <t>L.E. Burgess</t>
  </si>
  <si>
    <t>(305) 942-8044</t>
  </si>
  <si>
    <t>Bay 13 Brewery &amp; Kitchen. 65 Alhambra Plaza, Coral Gables, FL, 33156</t>
  </si>
  <si>
    <t>Lauren Albrecht</t>
  </si>
  <si>
    <t>Florida Title &amp; Trust LLC</t>
  </si>
  <si>
    <t>305-615-2768</t>
  </si>
  <si>
    <t>Bay 13 Brewery &amp; Kitchen. 65 Alhambra Plaza, Coral Gables, FL, 33157</t>
  </si>
  <si>
    <t>Leslie Viviana Marenco</t>
  </si>
  <si>
    <t>Trust Counsel P.L.</t>
  </si>
  <si>
    <t>Bay 13 Brewery &amp; Kitchen. 65 Alhambra Plaza, Coral Gables, FL, 33158</t>
  </si>
  <si>
    <t>Lianet Rodriguez Tuduri</t>
  </si>
  <si>
    <t>Personal ConciergMed</t>
  </si>
  <si>
    <t>Health &amp; Wellness &gt; Doctor/Physician</t>
  </si>
  <si>
    <t>Bay 13 Brewery &amp; Kitchen. 65 Alhambra Plaza, Coral Gables, FL, 33159</t>
  </si>
  <si>
    <t>Maria Jose Granados</t>
  </si>
  <si>
    <t>Simply Legal</t>
  </si>
  <si>
    <t>305-858-6208</t>
  </si>
  <si>
    <t>Bay 13 Brewery &amp; Kitchen. 65 Alhambra Plaza, Coral Gables, FL, 33160</t>
  </si>
  <si>
    <t>Nick "Tiger" Quay</t>
  </si>
  <si>
    <t>Real Broker</t>
  </si>
  <si>
    <t>Bay 13 Brewery &amp; Kitchen. 65 Alhambra Plaza, Coral Gables, FL, 33161</t>
  </si>
  <si>
    <t>Ryan Bernard</t>
  </si>
  <si>
    <t>Now Hiring you</t>
  </si>
  <si>
    <t>954 840-8369</t>
  </si>
  <si>
    <t>Bay 13 Brewery &amp; Kitchen. 65 Alhambra Plaza, Coral Gables, FL, 33162</t>
  </si>
  <si>
    <t>Sergio Tarin</t>
  </si>
  <si>
    <t>NuLite Property Inspections</t>
  </si>
  <si>
    <t>305-771-4296</t>
  </si>
  <si>
    <t>Bay 13 Brewery &amp; Kitchen. 65 Alhambra Plaza, Coral Gables, FL, 33163</t>
  </si>
  <si>
    <t>Shawn Keller</t>
  </si>
  <si>
    <t>We fix Computers LLC</t>
  </si>
  <si>
    <t>786-634-7577</t>
  </si>
  <si>
    <t>Bay 13 Brewery &amp; Kitchen. 65 Alhambra Plaza, Coral Gables, FL, 33164</t>
  </si>
  <si>
    <t>Sonia Aguirre</t>
  </si>
  <si>
    <t>Bay 13 Brewery &amp; Kitchen. 65 Alhambra Plaza, Coral Gables, FL, 33165</t>
  </si>
  <si>
    <t>Vida Diaz</t>
  </si>
  <si>
    <t>Florida Notaries</t>
  </si>
  <si>
    <t xml:space="preserve">BNI Miami Growth Partners
</t>
  </si>
  <si>
    <t>Bay 13 Brewery &amp; Kitchen, 65 Alhambra Plaza, Coral Gables FL, 33134</t>
  </si>
  <si>
    <t>Annalie Cueto-Lopez</t>
  </si>
  <si>
    <t>Restoration Rescue</t>
  </si>
  <si>
    <t>305-975-3075</t>
  </si>
  <si>
    <t>Bay 13 Brewery &amp; Kitchen, 65 Alhambra Plaza, Coral Gables FL, 33135</t>
  </si>
  <si>
    <t>Ashley Silva</t>
  </si>
  <si>
    <t>407-222-9696</t>
  </si>
  <si>
    <t>Bay 13 Brewery &amp; Kitchen, 65 Alhambra Plaza, Coral Gables FL, 33136</t>
  </si>
  <si>
    <t>Elias Guanchez</t>
  </si>
  <si>
    <t>SmartProIT</t>
  </si>
  <si>
    <t>(305) 523-9876</t>
  </si>
  <si>
    <t>Bay 13 Brewery &amp; Kitchen, 65 Alhambra Plaza, Coral Gables FL, 33137</t>
  </si>
  <si>
    <t>Giovanni Narvaez</t>
  </si>
  <si>
    <t>Bay 13 Brewery &amp; Kitchen, 65 Alhambra Plaza, Coral Gables FL, 33138</t>
  </si>
  <si>
    <t>Henry Silva</t>
  </si>
  <si>
    <t>Apollon Wealth Management</t>
  </si>
  <si>
    <t>813-731-8508</t>
  </si>
  <si>
    <t>Bay 13 Brewery &amp; Kitchen, 65 Alhambra Plaza, Coral Gables FL, 33139</t>
  </si>
  <si>
    <t>Isaiah Brown</t>
  </si>
  <si>
    <t>US ADVISORS</t>
  </si>
  <si>
    <t>Bay 13 Brewery &amp; Kitchen, 65 Alhambra Plaza, Coral Gables FL, 33140</t>
  </si>
  <si>
    <t>Jose Colon</t>
  </si>
  <si>
    <t>KSDT &amp; Co.</t>
  </si>
  <si>
    <t>787-631-3274</t>
  </si>
  <si>
    <t>Bay 13 Brewery &amp; Kitchen, 65 Alhambra Plaza, Coral Gables FL, 33141</t>
  </si>
  <si>
    <t>Joshua Wintle</t>
  </si>
  <si>
    <t>Panter</t>
  </si>
  <si>
    <t>305-662-6178</t>
  </si>
  <si>
    <t>Bay 13 Brewery &amp; Kitchen, 65 Alhambra Plaza, Coral Gables FL, 33142</t>
  </si>
  <si>
    <t>Karen Moncada</t>
  </si>
  <si>
    <t>ADP Inc.</t>
  </si>
  <si>
    <t>Bay 13 Brewery &amp; Kitchen, 65 Alhambra Plaza, Coral Gables FL, 33143</t>
  </si>
  <si>
    <t>Kevin Rubio</t>
  </si>
  <si>
    <t>(954) 560-6591</t>
  </si>
  <si>
    <t>Bay 13 Brewery &amp; Kitchen, 65 Alhambra Plaza, Coral Gables FL, 33144</t>
  </si>
  <si>
    <t>SAMANTHA NORIEGA</t>
  </si>
  <si>
    <t>LIFESTYLE INTERNATIONAL REALTY</t>
  </si>
  <si>
    <t xml:space="preserve">BNI Prestige
</t>
  </si>
  <si>
    <t>Books &amp; Books, 265 Aragon Avenue, Coral Gables, FL, 33134</t>
  </si>
  <si>
    <t>Albert Baca</t>
  </si>
  <si>
    <t>The Keyes Company-Real Estate Broker Associate</t>
  </si>
  <si>
    <t>+1 (305) 218-2504</t>
  </si>
  <si>
    <t>Books &amp; Books, 265 Aragon Avenue, Coral Gables, FL, 33135</t>
  </si>
  <si>
    <t>Alexander Spurr</t>
  </si>
  <si>
    <t>Alexander J. Spurr</t>
  </si>
  <si>
    <t>(305) 432-3443</t>
  </si>
  <si>
    <t>Books &amp; Books, 265 Aragon Avenue, Coral Gables, FL, 33136</t>
  </si>
  <si>
    <t>Camila Moller</t>
  </si>
  <si>
    <t>Books &amp; Books, 265 Aragon Avenue, Coral Gables, FL, 33137</t>
  </si>
  <si>
    <t>Carlos Niemes</t>
  </si>
  <si>
    <t>PuroClean of Pembroke Pines</t>
  </si>
  <si>
    <t>Books &amp; Books, 265 Aragon Avenue, Coral Gables, FL, 33138</t>
  </si>
  <si>
    <t>Darien Martinez Blanco</t>
  </si>
  <si>
    <t>PAB Construction</t>
  </si>
  <si>
    <t>Books &amp; Books, 265 Aragon Avenue, Coral Gables, FL, 33139</t>
  </si>
  <si>
    <t>Diego Montes</t>
  </si>
  <si>
    <t>Inti Consulting Services</t>
  </si>
  <si>
    <t>Books &amp; Books, 265 Aragon Avenue, Coral Gables, FL, 33140</t>
  </si>
  <si>
    <t>Jared Aversano</t>
  </si>
  <si>
    <t>(786) 599-1425</t>
  </si>
  <si>
    <t>Books &amp; Books, 265 Aragon Avenue, Coral Gables, FL, 33141</t>
  </si>
  <si>
    <t>Javier Guzman</t>
  </si>
  <si>
    <t>Koala Insulation of South Miami</t>
  </si>
  <si>
    <t>Construction &gt; Insulation</t>
  </si>
  <si>
    <t>Books &amp; Books, 265 Aragon Avenue, Coral Gables, FL, 33142</t>
  </si>
  <si>
    <t>John Paul Madariaga</t>
  </si>
  <si>
    <t>Gutierrez Madariaga</t>
  </si>
  <si>
    <t>(786) 525.8878</t>
  </si>
  <si>
    <t>Books &amp; Books, 265 Aragon Avenue, Coral Gables, FL, 33143</t>
  </si>
  <si>
    <t>Juan David Payares</t>
  </si>
  <si>
    <t>PayOli Solar Energy</t>
  </si>
  <si>
    <t>786-564-6187</t>
  </si>
  <si>
    <t>Books &amp; Books, 265 Aragon Avenue, Coral Gables, FL, 33144</t>
  </si>
  <si>
    <t>Krystian Moreno</t>
  </si>
  <si>
    <t>305-798-0518</t>
  </si>
  <si>
    <t>Books &amp; Books, 265 Aragon Avenue, Coral Gables, FL, 33145</t>
  </si>
  <si>
    <t>Martin MORIN</t>
  </si>
  <si>
    <t>The Martin Group Financial</t>
  </si>
  <si>
    <t>Books &amp; Books, 265 Aragon Avenue, Coral Gables, FL, 33146</t>
  </si>
  <si>
    <t>Melissa Sanchez</t>
  </si>
  <si>
    <t>Orange Group Insurance</t>
  </si>
  <si>
    <t>Books &amp; Books, 265 Aragon Avenue, Coral Gables, FL, 33147</t>
  </si>
  <si>
    <t>Miguel Armenteros</t>
  </si>
  <si>
    <t>Books &amp; Books, 265 Aragon Avenue, Coral Gables, FL, 33148</t>
  </si>
  <si>
    <t>Nelson Ruiz Moya</t>
  </si>
  <si>
    <t>G &amp; L Plumbing of South Florida</t>
  </si>
  <si>
    <t>+1 (786) 202-9703</t>
  </si>
  <si>
    <t>Books &amp; Books, 265 Aragon Avenue, Coral Gables, FL, 33149</t>
  </si>
  <si>
    <t>Noe Perrin Fontana</t>
  </si>
  <si>
    <t>KDM Roofing LLC</t>
  </si>
  <si>
    <t>+1 (786) 569-3471</t>
  </si>
  <si>
    <t>Books &amp; Books, 265 Aragon Avenue, Coral Gables, FL, 33150</t>
  </si>
  <si>
    <t>Raymond Gonzalez</t>
  </si>
  <si>
    <t>786-238-8766</t>
  </si>
  <si>
    <t>Books &amp; Books, 265 Aragon Avenue, Coral Gables, FL, 33151</t>
  </si>
  <si>
    <t>Ricardo Teran</t>
  </si>
  <si>
    <t>FOLIO Title</t>
  </si>
  <si>
    <t>Books &amp; Books, 265 Aragon Avenue, Coral Gables, FL, 33152</t>
  </si>
  <si>
    <t>Selina Pirkau</t>
  </si>
  <si>
    <t>305-302-5749</t>
  </si>
  <si>
    <t>Books &amp; Books, 265 Aragon Avenue, Coral Gables, FL, 33153</t>
  </si>
  <si>
    <t>Shawn McMahon</t>
  </si>
  <si>
    <t>Miami Mortgage Advisors LLC</t>
  </si>
  <si>
    <t>Books &amp; Books, 265 Aragon Avenue, Coral Gables, FL, 33154</t>
  </si>
  <si>
    <t>Victor Martinez</t>
  </si>
  <si>
    <t>Serving immigrants</t>
  </si>
  <si>
    <t>Books &amp; Books, 265 Aragon Avenue, Coral Gables, FL, 33155</t>
  </si>
  <si>
    <t>Yoel Molina</t>
  </si>
  <si>
    <t>Law Office of Yoel Molina</t>
  </si>
  <si>
    <t>305-548-5020</t>
  </si>
  <si>
    <t xml:space="preserve">BNI Gables Rainmakers
</t>
  </si>
  <si>
    <t>Westin Colonnade,180 Aragon Ave, Coral Gables, FL, 33134</t>
  </si>
  <si>
    <t>(Yoko) Gioconda Bagnariol</t>
  </si>
  <si>
    <t>Holistic Health and Wellness with Yoko</t>
  </si>
  <si>
    <t>(305) 728-9022</t>
  </si>
  <si>
    <t>Westin Colonnade,180 Aragon Ave, Coral Gables, FL, 33135</t>
  </si>
  <si>
    <t>Abilio Gonzalez</t>
  </si>
  <si>
    <t>Abacustel Communications</t>
  </si>
  <si>
    <t>(305) 900.5911</t>
  </si>
  <si>
    <t>Westin Colonnade,180 Aragon Ave, Coral Gables, FL, 33136</t>
  </si>
  <si>
    <t>Adhys Obeso</t>
  </si>
  <si>
    <t>Westin Colonnade,180 Aragon Ave, Coral Gables, FL, 33137</t>
  </si>
  <si>
    <t>Albert Soto</t>
  </si>
  <si>
    <t>Websites MIA</t>
  </si>
  <si>
    <t>786-871-6692</t>
  </si>
  <si>
    <t>Westin Colonnade,180 Aragon Ave, Coral Gables, FL, 33138</t>
  </si>
  <si>
    <t>Alina Duculescu</t>
  </si>
  <si>
    <t>Gull Interior Design</t>
  </si>
  <si>
    <t>+1(305)-587-5776</t>
  </si>
  <si>
    <t>Westin Colonnade,180 Aragon Ave, Coral Gables, FL, 33139</t>
  </si>
  <si>
    <t>Amit Mauskar</t>
  </si>
  <si>
    <t>Office Network Online</t>
  </si>
  <si>
    <t>Westin Colonnade,180 Aragon Ave, Coral Gables, FL, 33140</t>
  </si>
  <si>
    <t>Andrew Guinn</t>
  </si>
  <si>
    <t>Guinn &amp; Sons</t>
  </si>
  <si>
    <t>Westin Colonnade,180 Aragon Ave, Coral Gables, FL, 33141</t>
  </si>
  <si>
    <t>Brittany Holliday</t>
  </si>
  <si>
    <t>Lux Lifestyle Chiropractic</t>
  </si>
  <si>
    <t>Westin Colonnade,180 Aragon Ave, Coral Gables, FL, 33142</t>
  </si>
  <si>
    <t>Carla Largaespada</t>
  </si>
  <si>
    <t>305-4604001</t>
  </si>
  <si>
    <t>Westin Colonnade,180 Aragon Ave, Coral Gables, FL, 33143</t>
  </si>
  <si>
    <t>Carlos Perez-Oliva</t>
  </si>
  <si>
    <t>BRITOSDOLIVA INTERIORS CORP</t>
  </si>
  <si>
    <t>Construction &gt; Window Treatments</t>
  </si>
  <si>
    <t>(786) 399.6127</t>
  </si>
  <si>
    <t>Westin Colonnade,180 Aragon Ave, Coral Gables, FL, 33144</t>
  </si>
  <si>
    <t>Christie Mancuso</t>
  </si>
  <si>
    <t>Touching Miami with Love</t>
  </si>
  <si>
    <t>3054160435 x207</t>
  </si>
  <si>
    <t>Westin Colonnade,180 Aragon Ave, Coral Gables, FL, 33145</t>
  </si>
  <si>
    <t>Dana Simon</t>
  </si>
  <si>
    <t>Yelen Yelen &amp; Simon P.A.</t>
  </si>
  <si>
    <t>305-445-3721</t>
  </si>
  <si>
    <t>Westin Colonnade,180 Aragon Ave, Coral Gables, FL, 33146</t>
  </si>
  <si>
    <t>Advance A/C and Duct Cleaning</t>
  </si>
  <si>
    <t>Westin Colonnade,180 Aragon Ave, Coral Gables, FL, 33147</t>
  </si>
  <si>
    <t>Daniel Podboy-Garcia</t>
  </si>
  <si>
    <t>Primerica Financial Services</t>
  </si>
  <si>
    <t>305-698-2832</t>
  </si>
  <si>
    <t>Westin Colonnade,180 Aragon Ave, Coral Gables, FL, 33148</t>
  </si>
  <si>
    <t>Daniella Ortiz</t>
  </si>
  <si>
    <t>RegisHR</t>
  </si>
  <si>
    <t>(786) 397-5555</t>
  </si>
  <si>
    <t>Westin Colonnade,180 Aragon Ave, Coral Gables, FL, 33149</t>
  </si>
  <si>
    <t>Diana Solares</t>
  </si>
  <si>
    <t>Elevate Rehabilitation &amp; Performance</t>
  </si>
  <si>
    <t>Westin Colonnade,180 Aragon Ave, Coral Gables, FL, 33150</t>
  </si>
  <si>
    <t>Eddy Semprun</t>
  </si>
  <si>
    <t>Minuteman Press</t>
  </si>
  <si>
    <t>305-698-2554</t>
  </si>
  <si>
    <t>Westin Colonnade,180 Aragon Ave, Coral Gables, FL, 33151</t>
  </si>
  <si>
    <t>Elizabeth De Aguirre</t>
  </si>
  <si>
    <t>Elizabeth De Aguirre DDS PA</t>
  </si>
  <si>
    <t>Westin Colonnade,180 Aragon Ave, Coral Gables, FL, 33152</t>
  </si>
  <si>
    <t>Elizabeth Zayas</t>
  </si>
  <si>
    <t>Westin Colonnade,180 Aragon Ave, Coral Gables, FL, 33153</t>
  </si>
  <si>
    <t>Elliott Mason</t>
  </si>
  <si>
    <t>NuAge PC</t>
  </si>
  <si>
    <t>Security &amp; Investigation &gt; CCTV</t>
  </si>
  <si>
    <t>305-421-7264</t>
  </si>
  <si>
    <t>Westin Colonnade,180 Aragon Ave, Coral Gables, FL, 33154</t>
  </si>
  <si>
    <t>Fernando Degwitz</t>
  </si>
  <si>
    <t>Trublue of South Miami</t>
  </si>
  <si>
    <t>Westin Colonnade,180 Aragon Ave, Coral Gables, FL, 33155</t>
  </si>
  <si>
    <t>Gabriel De Varona</t>
  </si>
  <si>
    <t>GreatFlorida Insurance of Doral</t>
  </si>
  <si>
    <t>Westin Colonnade,180 Aragon Ave, Coral Gables, FL, 33156</t>
  </si>
  <si>
    <t>Gretel Perez</t>
  </si>
  <si>
    <t>PAAST PL</t>
  </si>
  <si>
    <t>305-567-0150</t>
  </si>
  <si>
    <t>Westin Colonnade,180 Aragon Ave, Coral Gables, FL, 33157</t>
  </si>
  <si>
    <t>Ithamar Urdaneta</t>
  </si>
  <si>
    <t>Smart Change Consulting Group LLC</t>
  </si>
  <si>
    <t>Training &amp; Coaching &gt; Business Training/Coach</t>
  </si>
  <si>
    <t>Westin Colonnade,180 Aragon Ave, Coral Gables, FL, 33158</t>
  </si>
  <si>
    <t>James Fernandez</t>
  </si>
  <si>
    <t>Aerial Recon Media</t>
  </si>
  <si>
    <t>305-507-5562</t>
  </si>
  <si>
    <t>Westin Colonnade,180 Aragon Ave, Coral Gables, FL, 33159</t>
  </si>
  <si>
    <t>Janiss Martinez</t>
  </si>
  <si>
    <t>Independent Broker</t>
  </si>
  <si>
    <t>(786) 479-3026</t>
  </si>
  <si>
    <t>Westin Colonnade,180 Aragon Ave, Coral Gables, FL, 33160</t>
  </si>
  <si>
    <t>Jesus Gonzalez</t>
  </si>
  <si>
    <t>XTREME SOFTWASH</t>
  </si>
  <si>
    <t>Construction &gt; Power Washing</t>
  </si>
  <si>
    <t>Westin Colonnade,180 Aragon Ave, Coral Gables, FL, 33161</t>
  </si>
  <si>
    <t>Jose Aguilar</t>
  </si>
  <si>
    <t>Fitness Innovations LLC</t>
  </si>
  <si>
    <t>Westin Colonnade,180 Aragon Ave, Coral Gables, FL, 33162</t>
  </si>
  <si>
    <t>JOSE FERNANDEZ</t>
  </si>
  <si>
    <t>Keller Williams Realty</t>
  </si>
  <si>
    <t>305-761-0801</t>
  </si>
  <si>
    <t>Westin Colonnade,180 Aragon Ave, Coral Gables, FL, 33163</t>
  </si>
  <si>
    <t>Laura Felicia Borbon</t>
  </si>
  <si>
    <t>Executive credit</t>
  </si>
  <si>
    <t>Westin Colonnade,180 Aragon Ave, Coral Gables, FL, 33164</t>
  </si>
  <si>
    <t>Maria Cancio</t>
  </si>
  <si>
    <t>Life Wave</t>
  </si>
  <si>
    <t>Health &amp; Wellness &gt; Health &amp; Wellness Products</t>
  </si>
  <si>
    <t>305-607-0311</t>
  </si>
  <si>
    <t>Westin Colonnade,180 Aragon Ave, Coral Gables, FL, 33165</t>
  </si>
  <si>
    <t>Maria Reinhart</t>
  </si>
  <si>
    <t>PRMG</t>
  </si>
  <si>
    <t>407-473-8472</t>
  </si>
  <si>
    <t>Westin Colonnade,180 Aragon Ave, Coral Gables, FL, 33166</t>
  </si>
  <si>
    <t>Mario Montenegro</t>
  </si>
  <si>
    <t>Distinguished Contracting Group</t>
  </si>
  <si>
    <t>305 502-8476</t>
  </si>
  <si>
    <t>Westin Colonnade,180 Aragon Ave, Coral Gables, FL, 33167</t>
  </si>
  <si>
    <t>Massiel Andino</t>
  </si>
  <si>
    <t>Lopez Family Law Firm</t>
  </si>
  <si>
    <t>Westin Colonnade,180 Aragon Ave, Coral Gables, FL, 33168</t>
  </si>
  <si>
    <t>Michael Carmona</t>
  </si>
  <si>
    <t>Friedland | Carmona</t>
  </si>
  <si>
    <t>(305) 661-2008</t>
  </si>
  <si>
    <t>Westin Colonnade,180 Aragon Ave, Coral Gables, FL, 33169</t>
  </si>
  <si>
    <t>Miguel Marco</t>
  </si>
  <si>
    <t>TROPICAL CONSTRUCTION PROJECTS</t>
  </si>
  <si>
    <t>Westin Colonnade,180 Aragon Ave, Coral Gables, FL, 33170</t>
  </si>
  <si>
    <t>Milana Tirse</t>
  </si>
  <si>
    <t>Coral Reef Plumbing Inc</t>
  </si>
  <si>
    <t>Westin Colonnade,180 Aragon Ave, Coral Gables, FL, 33171</t>
  </si>
  <si>
    <t>Monica Fidel</t>
  </si>
  <si>
    <t>MGF Appraisals</t>
  </si>
  <si>
    <t>305-776-6481</t>
  </si>
  <si>
    <t>Westin Colonnade,180 Aragon Ave, Coral Gables, FL, 33172</t>
  </si>
  <si>
    <t>Santiago Paniagua</t>
  </si>
  <si>
    <t>PANIAGUA LAW FIRM PLLC</t>
  </si>
  <si>
    <t>Westin Colonnade,180 Aragon Ave, Coral Gables, FL, 33173</t>
  </si>
  <si>
    <t>Sasha Kaskel</t>
  </si>
  <si>
    <t>Arce Immigration Law</t>
  </si>
  <si>
    <t>Westin Colonnade,180 Aragon Ave, Coral Gables, FL, 33174</t>
  </si>
  <si>
    <t>Sean Hoffa</t>
  </si>
  <si>
    <t>Sean's Auto lab</t>
  </si>
  <si>
    <t>305-336-6343</t>
  </si>
  <si>
    <t>Westin Colonnade,180 Aragon Ave, Coral Gables, FL, 33175</t>
  </si>
  <si>
    <t>Sheila Kuhl</t>
  </si>
  <si>
    <t>Grove Gallery &amp; Interiors</t>
  </si>
  <si>
    <t>Retail &gt; Home Furnishings</t>
  </si>
  <si>
    <t>305-445-7401</t>
  </si>
  <si>
    <t>Westin Colonnade,180 Aragon Ave, Coral Gables, FL, 33176</t>
  </si>
  <si>
    <t>Sonia N Diaz</t>
  </si>
  <si>
    <t>Real Estate Services &gt; Real Estate Investments</t>
  </si>
  <si>
    <t>Westin Colonnade,180 Aragon Ave, Coral Gables, FL, 33177</t>
  </si>
  <si>
    <t>Steven Menard</t>
  </si>
  <si>
    <t>954-701-6875</t>
  </si>
  <si>
    <t>Westin Colonnade,180 Aragon Ave, Coral Gables, FL, 33178</t>
  </si>
  <si>
    <t>Thai De La Paz</t>
  </si>
  <si>
    <t>Moss</t>
  </si>
  <si>
    <t>305-445-7956</t>
  </si>
  <si>
    <t>Westin Colonnade,180 Aragon Ave, Coral Gables, FL, 33179</t>
  </si>
  <si>
    <t>Thomas Avila</t>
  </si>
  <si>
    <t>PuroClean of Coral Gables</t>
  </si>
  <si>
    <t>Westin Colonnade,180 Aragon Ave, Coral Gables, FL, 33180</t>
  </si>
  <si>
    <t>Vannessa Mari-Milhem</t>
  </si>
  <si>
    <t>VMM Law</t>
  </si>
  <si>
    <t>786-620-2820</t>
  </si>
  <si>
    <t xml:space="preserve">BNI Business Leaders
</t>
  </si>
  <si>
    <t>The Colonnade Hotel, 180 Aragon Avenue, Second Floor Meeting Space, Coral Gables, FL, 33134</t>
  </si>
  <si>
    <t>Alejandra Aguilera</t>
  </si>
  <si>
    <t>The Aguilera Law Center</t>
  </si>
  <si>
    <t>The Colonnade Hotel, 180 Aragon Avenue, Second Floor Meeting Space, Coral Gables, FL, 33135</t>
  </si>
  <si>
    <t>Alex Sirulnik</t>
  </si>
  <si>
    <t>Law Offices of Alex D. Sirulnik</t>
  </si>
  <si>
    <t>The Colonnade Hotel, 180 Aragon Avenue, Second Floor Meeting Space, Coral Gables, FL, 33136</t>
  </si>
  <si>
    <t>Amber Bowden</t>
  </si>
  <si>
    <t>Bank of America / Merrill Lynch</t>
  </si>
  <si>
    <t>305-347-2535</t>
  </si>
  <si>
    <t>The Colonnade Hotel, 180 Aragon Avenue, Second Floor Meeting Space, Coral Gables, FL, 33137</t>
  </si>
  <si>
    <t>Angellina Saravia</t>
  </si>
  <si>
    <t>M3 Roofing</t>
  </si>
  <si>
    <t>305-343-6903</t>
  </si>
  <si>
    <t>The Colonnade Hotel, 180 Aragon Avenue, Second Floor Meeting Space, Coral Gables, FL, 33138</t>
  </si>
  <si>
    <t>Brian Barakat</t>
  </si>
  <si>
    <t>Barakat Law</t>
  </si>
  <si>
    <t>305-444-3114</t>
  </si>
  <si>
    <t>The Colonnade Hotel, 180 Aragon Avenue, Second Floor Meeting Space, Coral Gables, FL, 33139</t>
  </si>
  <si>
    <t>Brittany Quintana</t>
  </si>
  <si>
    <t>Quintana Law</t>
  </si>
  <si>
    <t>(305)376-0821</t>
  </si>
  <si>
    <t>The Colonnade Hotel, 180 Aragon Avenue, Second Floor Meeting Space, Coral Gables, FL, 33140</t>
  </si>
  <si>
    <t>Chris Funk</t>
  </si>
  <si>
    <t>Metro 1 Commercial Real Estate</t>
  </si>
  <si>
    <t>306-619-6836</t>
  </si>
  <si>
    <t>The Colonnade Hotel, 180 Aragon Avenue, Second Floor Meeting Space, Coral Gables, FL, 33141</t>
  </si>
  <si>
    <t>Christopher Korge</t>
  </si>
  <si>
    <t>Miami Appraisal Services</t>
  </si>
  <si>
    <t>786-254-7009</t>
  </si>
  <si>
    <t>The Colonnade Hotel, 180 Aragon Avenue, Second Floor Meeting Space, Coral Gables, FL, 33142</t>
  </si>
  <si>
    <t>Dayana Alarcon</t>
  </si>
  <si>
    <t>H&amp;CO</t>
  </si>
  <si>
    <t>The Colonnade Hotel, 180 Aragon Avenue, Second Floor Meeting Space, Coral Gables, FL, 33143</t>
  </si>
  <si>
    <t>Elba Hernandez</t>
  </si>
  <si>
    <t>+1.786-547-7171</t>
  </si>
  <si>
    <t>The Colonnade Hotel, 180 Aragon Avenue, Second Floor Meeting Space, Coral Gables, FL, 33144</t>
  </si>
  <si>
    <t>Ella Miletic</t>
  </si>
  <si>
    <t>Airport One Express</t>
  </si>
  <si>
    <t>Transport &amp; Shipping &gt; Courier</t>
  </si>
  <si>
    <t>(305) 266-1250</t>
  </si>
  <si>
    <t>The Colonnade Hotel, 180 Aragon Avenue, Second Floor Meeting Space, Coral Gables, FL, 33145</t>
  </si>
  <si>
    <t>Enrique Valencia</t>
  </si>
  <si>
    <t>IP Enterprises Solutions</t>
  </si>
  <si>
    <t>305-742-3633</t>
  </si>
  <si>
    <t>The Colonnade Hotel, 180 Aragon Avenue, Second Floor Meeting Space, Coral Gables, FL, 33146</t>
  </si>
  <si>
    <t>George Abadie</t>
  </si>
  <si>
    <t>Seacoast Construction</t>
  </si>
  <si>
    <t>786-433-8740</t>
  </si>
  <si>
    <t>The Colonnade Hotel, 180 Aragon Avenue, Second Floor Meeting Space, Coral Gables, FL, 33147</t>
  </si>
  <si>
    <t>Hector Guadalupe</t>
  </si>
  <si>
    <t>L &amp; L Insurance</t>
  </si>
  <si>
    <t>305-548-8247</t>
  </si>
  <si>
    <t>The Colonnade Hotel, 180 Aragon Avenue, Second Floor Meeting Space, Coral Gables, FL, 33148</t>
  </si>
  <si>
    <t>Jeremy Gonzalez</t>
  </si>
  <si>
    <t>Specialized Investigations Consultants</t>
  </si>
  <si>
    <t>305-564-6383</t>
  </si>
  <si>
    <t>The Colonnade Hotel, 180 Aragon Avenue, Second Floor Meeting Space, Coral Gables, FL, 33149</t>
  </si>
  <si>
    <t>Jose Mata</t>
  </si>
  <si>
    <t>All in One Mortgage Lenders</t>
  </si>
  <si>
    <t>305-7616960</t>
  </si>
  <si>
    <t>The Colonnade Hotel, 180 Aragon Avenue, Second Floor Meeting Space, Coral Gables, FL, 33150</t>
  </si>
  <si>
    <t>Kristin Daniella Figueroa-Contreras</t>
  </si>
  <si>
    <t>Figueroa-Contreras Law Group</t>
  </si>
  <si>
    <t>The Colonnade Hotel, 180 Aragon Avenue, Second Floor Meeting Space, Coral Gables, FL, 33151</t>
  </si>
  <si>
    <t>Madeline Warner</t>
  </si>
  <si>
    <t>Mark James Interiors</t>
  </si>
  <si>
    <t>The Colonnade Hotel, 180 Aragon Avenue, Second Floor Meeting Space, Coral Gables, FL, 33152</t>
  </si>
  <si>
    <t>Michael Arroyave</t>
  </si>
  <si>
    <t>Arroyave Law</t>
  </si>
  <si>
    <t>305-441-7091</t>
  </si>
  <si>
    <t>The Colonnade Hotel, 180 Aragon Avenue, Second Floor Meeting Space, Coral Gables, FL, 33153</t>
  </si>
  <si>
    <t>Michael Liberatore</t>
  </si>
  <si>
    <t>Law office of Michael Liberatore</t>
  </si>
  <si>
    <t>305-374-0306</t>
  </si>
  <si>
    <t>The Colonnade Hotel, 180 Aragon Avenue, Second Floor Meeting Space, Coral Gables, FL, 33154</t>
  </si>
  <si>
    <t>Nora Esponda</t>
  </si>
  <si>
    <t>The Andes Insurance &amp; Ivestmetns</t>
  </si>
  <si>
    <t>305-490-6313</t>
  </si>
  <si>
    <t>The Colonnade Hotel, 180 Aragon Avenue, Second Floor Meeting Space, Coral Gables, FL, 33155</t>
  </si>
  <si>
    <t>Randy Weber</t>
  </si>
  <si>
    <t>The Colonnade Hotel, 180 Aragon Avenue, Second Floor Meeting Space, Coral Gables, FL, 33156</t>
  </si>
  <si>
    <t>Rick Hernandez</t>
  </si>
  <si>
    <t>One PULSE design studio</t>
  </si>
  <si>
    <t>Architecture &amp; Engineering &gt; Architectural Services</t>
  </si>
  <si>
    <t>The Colonnade Hotel, 180 Aragon Avenue, Second Floor Meeting Space, Coral Gables, FL, 33157</t>
  </si>
  <si>
    <t>Roger Paz</t>
  </si>
  <si>
    <t>The Colonnade Hotel, 180 Aragon Avenue, Second Floor Meeting Space, Coral Gables, FL, 33158</t>
  </si>
  <si>
    <t>Ruth Jimenez</t>
  </si>
  <si>
    <t>305-984-6161</t>
  </si>
  <si>
    <t>The Colonnade Hotel, 180 Aragon Avenue, Second Floor Meeting Space, Coral Gables, FL, 33159</t>
  </si>
  <si>
    <t>Sebastian Martinez</t>
  </si>
  <si>
    <t>UIQ</t>
  </si>
  <si>
    <t xml:space="preserve">BNI Accelerators
</t>
  </si>
  <si>
    <t>Alex Sasieta</t>
  </si>
  <si>
    <t>305-340-9082</t>
  </si>
  <si>
    <t>Andrew Cummings</t>
  </si>
  <si>
    <t>Therrel Baisden LLP</t>
  </si>
  <si>
    <t>Annet Pascual</t>
  </si>
  <si>
    <t>Sebanda Insurance</t>
  </si>
  <si>
    <t>Beatrice Leupold</t>
  </si>
  <si>
    <t>BEA INTERIOR BRANDING</t>
  </si>
  <si>
    <t>786 916 7171</t>
  </si>
  <si>
    <t>Carlos Karim</t>
  </si>
  <si>
    <t>Christy Campo</t>
  </si>
  <si>
    <t>The Mortgage Team LLC</t>
  </si>
  <si>
    <t>(786) 760-7370</t>
  </si>
  <si>
    <t>Daniela Pinilla</t>
  </si>
  <si>
    <t>T&amp;S ROOFING SYSTEMS</t>
  </si>
  <si>
    <t>Danny Fernandez</t>
  </si>
  <si>
    <t>DSF Promos</t>
  </si>
  <si>
    <t>Advertising &amp; Marketing &gt; Promotional Products</t>
  </si>
  <si>
    <t>305-501-0060</t>
  </si>
  <si>
    <t>David Pujals</t>
  </si>
  <si>
    <t>Professional Bank</t>
  </si>
  <si>
    <t>Diana Castellanos</t>
  </si>
  <si>
    <t>Emergency Disaster Restoration</t>
  </si>
  <si>
    <t>Diego Lucero</t>
  </si>
  <si>
    <t>Achieve Studio</t>
  </si>
  <si>
    <t>+1 786-486-3470</t>
  </si>
  <si>
    <t>Diego Weiner</t>
  </si>
  <si>
    <t>JEFFREY S. WEINER</t>
  </si>
  <si>
    <t>Edgar Galeyev</t>
  </si>
  <si>
    <t>Lisset Galeyev Photography</t>
  </si>
  <si>
    <t>Gil Martin</t>
  </si>
  <si>
    <t>Alpha Claims Consultants</t>
  </si>
  <si>
    <t>(844)24-ALPHA(25742)</t>
  </si>
  <si>
    <t>Isis Garcia</t>
  </si>
  <si>
    <t>Brown &amp; Brown of Florida Inc.</t>
  </si>
  <si>
    <t>305-714-4448</t>
  </si>
  <si>
    <t>Jeffrey Levey</t>
  </si>
  <si>
    <t>Jeffrey E. Levey P.A.</t>
  </si>
  <si>
    <t>305-670-1976</t>
  </si>
  <si>
    <t>João Marcos Mendes</t>
  </si>
  <si>
    <t>954-729-9787</t>
  </si>
  <si>
    <t>Jonathan Wilson</t>
  </si>
  <si>
    <t>305-220-8997 110</t>
  </si>
  <si>
    <t>Jorge Bofill</t>
  </si>
  <si>
    <t>Weber Gallagher</t>
  </si>
  <si>
    <t>(305) 877-8263</t>
  </si>
  <si>
    <t>Juan Sebastian Gaviria Cabrera</t>
  </si>
  <si>
    <t>+1 (954) 842-6318</t>
  </si>
  <si>
    <t>Julio Hernandez</t>
  </si>
  <si>
    <t>Cityline Electric Inc</t>
  </si>
  <si>
    <t>Laura Mondragon</t>
  </si>
  <si>
    <t>Senior Way Health</t>
  </si>
  <si>
    <t>Lauren Marsicano</t>
  </si>
  <si>
    <t>Marsicano + Leyva PLLC</t>
  </si>
  <si>
    <t>Linette Rodriguez</t>
  </si>
  <si>
    <t>The Bark Club Pet Services LLC</t>
  </si>
  <si>
    <t>Animals &gt; Animals (Other)</t>
  </si>
  <si>
    <t>(786) 266-2174</t>
  </si>
  <si>
    <t>Lisa Rosen</t>
  </si>
  <si>
    <t>Berkshire Hathaway HomeServices EWM Realtors</t>
  </si>
  <si>
    <t>(305) 804-7797</t>
  </si>
  <si>
    <t>Meghan Phelan</t>
  </si>
  <si>
    <t>The Colonnade Hotel, 180 Aragon Avenue, Second Floor Meeting Space, Coral Gables, FL, 33160</t>
  </si>
  <si>
    <t>Michael Mermelstein</t>
  </si>
  <si>
    <t>Mermelstein Hidalgo LLP</t>
  </si>
  <si>
    <t>305-444-2142</t>
  </si>
  <si>
    <t>The Colonnade Hotel, 180 Aragon Avenue, Second Floor Meeting Space, Coral Gables, FL, 33161</t>
  </si>
  <si>
    <t>Paula Barrera Scheer</t>
  </si>
  <si>
    <t>EWM Realtors</t>
  </si>
  <si>
    <t>The Colonnade Hotel, 180 Aragon Avenue, Second Floor Meeting Space, Coral Gables, FL, 33162</t>
  </si>
  <si>
    <t>Raul Trujillo</t>
  </si>
  <si>
    <t>Raul Handyman Services LLC</t>
  </si>
  <si>
    <t>The Colonnade Hotel, 180 Aragon Avenue, Second Floor Meeting Space, Coral Gables, FL, 33163</t>
  </si>
  <si>
    <t>Robert Rosenthal</t>
  </si>
  <si>
    <t>The Rosenthal Agency</t>
  </si>
  <si>
    <t>954-242-0197</t>
  </si>
  <si>
    <t>The Colonnade Hotel, 180 Aragon Avenue, Second Floor Meeting Space, Coral Gables, FL, 33164</t>
  </si>
  <si>
    <t>Roger Oprandi</t>
  </si>
  <si>
    <t>Amerprise Financial</t>
  </si>
  <si>
    <t>786-264-4955</t>
  </si>
  <si>
    <t>The Colonnade Hotel, 180 Aragon Avenue, Second Floor Meeting Space, Coral Gables, FL, 33165</t>
  </si>
  <si>
    <t>Rosanna Molinari Weber</t>
  </si>
  <si>
    <t>The Colonnade Hotel, 180 Aragon Avenue, Second Floor Meeting Space, Coral Gables, FL, 33166</t>
  </si>
  <si>
    <t>Tom Borgmann</t>
  </si>
  <si>
    <t>Stellar IT Solutions</t>
  </si>
  <si>
    <t>The Colonnade Hotel, 180 Aragon Avenue, Second Floor Meeting Space, Coral Gables, FL, 33167</t>
  </si>
  <si>
    <t>Vivian Olodun</t>
  </si>
  <si>
    <t>Flourish Media</t>
  </si>
  <si>
    <t xml:space="preserve">BNI Pinecrest Visionaries
</t>
  </si>
  <si>
    <t>Online - Pinecrest, Online, Pinecrest, FL, 33156</t>
  </si>
  <si>
    <t>Adrian Alcorta</t>
  </si>
  <si>
    <t>Iwanna Insurance</t>
  </si>
  <si>
    <t>Online - Pinecrest, Online, Pinecrest, FL, 33157</t>
  </si>
  <si>
    <t>Alan Samuel Cohen</t>
  </si>
  <si>
    <t>Guitars Over Guns</t>
  </si>
  <si>
    <t>+16464894989</t>
  </si>
  <si>
    <t>Online - Pinecrest, Online, Pinecrest, FL, 33158</t>
  </si>
  <si>
    <t>Alejandro Brugés Torres</t>
  </si>
  <si>
    <t>CertiAssistant LLC</t>
  </si>
  <si>
    <t>+1 786 565 5570</t>
  </si>
  <si>
    <t>Online - Pinecrest, Online, Pinecrest, FL, 33159</t>
  </si>
  <si>
    <t>Alex Press</t>
  </si>
  <si>
    <t>Drone and Photo</t>
  </si>
  <si>
    <t>Online - Pinecrest, Online, Pinecrest, FL, 33160</t>
  </si>
  <si>
    <t>Alfredo Pérez García</t>
  </si>
  <si>
    <t>Premier Quality Inspections LLC</t>
  </si>
  <si>
    <t>(786) 567-5123</t>
  </si>
  <si>
    <t>Online - Pinecrest, Online, Pinecrest, FL, 33161</t>
  </si>
  <si>
    <t>Andrew Garcia</t>
  </si>
  <si>
    <t>M.A.C Air Service</t>
  </si>
  <si>
    <t>Online - Pinecrest, Online, Pinecrest, FL, 33162</t>
  </si>
  <si>
    <t>Anila Nicklos</t>
  </si>
  <si>
    <t>iCare Mobile Medicine</t>
  </si>
  <si>
    <t>Online - Pinecrest, Online, Pinecrest, FL, 33163</t>
  </si>
  <si>
    <t>Avi Tryson</t>
  </si>
  <si>
    <t>Strang Tryson</t>
  </si>
  <si>
    <t>305-397-8800</t>
  </si>
  <si>
    <t>Online - Pinecrest, Online, Pinecrest, FL, 33164</t>
  </si>
  <si>
    <t>Caroline Lamy</t>
  </si>
  <si>
    <t>Concierge Adventure</t>
  </si>
  <si>
    <t>Travel &gt; Travel (Other)</t>
  </si>
  <si>
    <t>+529842368077</t>
  </si>
  <si>
    <t>Online - Pinecrest, Online, Pinecrest, FL, 33165</t>
  </si>
  <si>
    <t>Christian Bello</t>
  </si>
  <si>
    <t>Roofing Nation LLC</t>
  </si>
  <si>
    <t>Online - Pinecrest, Online, Pinecrest, FL, 33166</t>
  </si>
  <si>
    <t>Dana Sasieta</t>
  </si>
  <si>
    <t>Online - Pinecrest, Online, Pinecrest, FL, 33167</t>
  </si>
  <si>
    <t>Eddy Batista Raxach</t>
  </si>
  <si>
    <t>EBRAX Accounting &amp; Tax</t>
  </si>
  <si>
    <t>Online - Pinecrest, Online, Pinecrest, FL, 33168</t>
  </si>
  <si>
    <t>Gianni Piantini</t>
  </si>
  <si>
    <t>Bauer Gutierrez &amp; Borbon PLLC</t>
  </si>
  <si>
    <t>+17865375913</t>
  </si>
  <si>
    <t>Online - Pinecrest, Online, Pinecrest, FL, 33169</t>
  </si>
  <si>
    <t>Gina Pelaez</t>
  </si>
  <si>
    <t>Online - Pinecrest, Online, Pinecrest, FL, 33170</t>
  </si>
  <si>
    <t>Ignacio Hernandez</t>
  </si>
  <si>
    <t>Vero Build Partners Llc</t>
  </si>
  <si>
    <t>Online - Pinecrest, Online, Pinecrest, FL, 33171</t>
  </si>
  <si>
    <t>Ivana Romero</t>
  </si>
  <si>
    <t>Curbelo and Romero</t>
  </si>
  <si>
    <t>Online - Pinecrest, Online, Pinecrest, FL, 33172</t>
  </si>
  <si>
    <t>Javier Daire</t>
  </si>
  <si>
    <t>The Difference Lending</t>
  </si>
  <si>
    <t>786-236-5803</t>
  </si>
  <si>
    <t>Online - Pinecrest, Online, Pinecrest, FL, 33173</t>
  </si>
  <si>
    <t>Manuel Prado</t>
  </si>
  <si>
    <t>Online - Pinecrest, Online, Pinecrest, FL, 33174</t>
  </si>
  <si>
    <t>Richard Rosado</t>
  </si>
  <si>
    <t>New Leaf Chiropractic</t>
  </si>
  <si>
    <t>Online - Pinecrest, Online, Pinecrest, FL, 33175</t>
  </si>
  <si>
    <t>Rick Arce</t>
  </si>
  <si>
    <t>Perlman</t>
  </si>
  <si>
    <t>305-503-2990</t>
  </si>
  <si>
    <t>Online - Pinecrest, Online, Pinecrest, FL, 33176</t>
  </si>
  <si>
    <t>Roselin "Rosie" Cruz-Sotero</t>
  </si>
  <si>
    <t>305-788-0611</t>
  </si>
  <si>
    <t>Online - Pinecrest, Online, Pinecrest, FL, 33177</t>
  </si>
  <si>
    <t>Samantha Maysonet</t>
  </si>
  <si>
    <t>305-302-2880</t>
  </si>
  <si>
    <t>Online - Pinecrest, Online, Pinecrest, FL, 33178</t>
  </si>
  <si>
    <t>Sarah Glasser</t>
  </si>
  <si>
    <t>Freidin Brown P.A.</t>
  </si>
  <si>
    <t>Online - Pinecrest, Online, Pinecrest, FL, 33179</t>
  </si>
  <si>
    <t>STEPHEN BUCKLEY</t>
  </si>
  <si>
    <t>Online - Pinecrest, Online, Pinecrest, FL, 33180</t>
  </si>
  <si>
    <t>Tanya Scotece</t>
  </si>
  <si>
    <t>Sunshine Senior Placement Agency</t>
  </si>
  <si>
    <t>Advertising &amp; Marketing &gt; Relationship Marketing</t>
  </si>
  <si>
    <t>Online - Pinecrest, Online, Pinecrest, FL, 33181</t>
  </si>
  <si>
    <t>Zascha Abbott</t>
  </si>
  <si>
    <t>Kaufman Dolowich</t>
  </si>
  <si>
    <t xml:space="preserve">Manhattan 52 - Can Do 52
</t>
  </si>
  <si>
    <t>Burgerology, 320 W 36th St, New York City, New York, 10018</t>
  </si>
  <si>
    <t>Adam Gurdus</t>
  </si>
  <si>
    <t>SDL Brokerage Inc</t>
  </si>
  <si>
    <t>646-661-6177</t>
  </si>
  <si>
    <t>Burgerology, 320 W 36th St, New York City, New York, 10019</t>
  </si>
  <si>
    <t>Barry Koven</t>
  </si>
  <si>
    <t>Cross Country</t>
  </si>
  <si>
    <t>917-597-1330</t>
  </si>
  <si>
    <t>Burgerology, 320 W 36th St, New York City, New York, 10020</t>
  </si>
  <si>
    <t>Bill Bone</t>
  </si>
  <si>
    <t>917-312-7773</t>
  </si>
  <si>
    <t>Burgerology, 320 W 36th St, New York City, New York, 10021</t>
  </si>
  <si>
    <t>Binyomin Bendet</t>
  </si>
  <si>
    <t>Storch Law</t>
  </si>
  <si>
    <t>Burgerology, 320 W 36th St, New York City, New York, 10022</t>
  </si>
  <si>
    <t>Brett Perlstein</t>
  </si>
  <si>
    <t>Pazer &amp; Epstein</t>
  </si>
  <si>
    <t>516-724-2968</t>
  </si>
  <si>
    <t>Burgerology, 320 W 36th St, New York City, New York, 10023</t>
  </si>
  <si>
    <t>Craig Boddy</t>
  </si>
  <si>
    <t>Balliante inc</t>
  </si>
  <si>
    <t>917-582-6348</t>
  </si>
  <si>
    <t>Burgerology, 320 W 36th St, New York City, New York, 10024</t>
  </si>
  <si>
    <t>David Klyman</t>
  </si>
  <si>
    <t>Klyman Financial</t>
  </si>
  <si>
    <t>201-898-6960</t>
  </si>
  <si>
    <t>Burgerology, 320 W 36th St, New York City, New York, 10025</t>
  </si>
  <si>
    <t>Donald Cutler</t>
  </si>
  <si>
    <t>Cutler</t>
  </si>
  <si>
    <t>516-448-8096</t>
  </si>
  <si>
    <t>Burgerology, 320 W 36th St, New York City, New York, 10026</t>
  </si>
  <si>
    <t>Ivy Nakar</t>
  </si>
  <si>
    <t>NKR International</t>
  </si>
  <si>
    <t>Burgerology, 320 W 36th St, New York City, New York, 10027</t>
  </si>
  <si>
    <t>AmTrust Title</t>
  </si>
  <si>
    <t>Burgerology, 320 W 36th St, New York City, New York, 10028</t>
  </si>
  <si>
    <t>Michael Diasparra</t>
  </si>
  <si>
    <t>NY Minute Movers Inc.</t>
  </si>
  <si>
    <t>Burgerology, 320 W 36th St, New York City, New York, 10029</t>
  </si>
  <si>
    <t>Richard Geiringer</t>
  </si>
  <si>
    <t>Burgerology, 320 W 36th St, New York City, New York, 10030</t>
  </si>
  <si>
    <t>Robert Wisnik</t>
  </si>
  <si>
    <t>Robert Wisnik &amp; Associates</t>
  </si>
  <si>
    <t>212 949 6900</t>
  </si>
  <si>
    <t>Burgerology, 320 W 36th St, New York City, New York, 10031</t>
  </si>
  <si>
    <t>SCOTT KLEIN</t>
  </si>
  <si>
    <t>Licensed with Compass</t>
  </si>
  <si>
    <t>Burgerology, 320 W 36th St, New York City, New York, 10032</t>
  </si>
  <si>
    <t>Steven Goldberg</t>
  </si>
  <si>
    <t>Property Manager</t>
  </si>
  <si>
    <t>516-879-9478</t>
  </si>
  <si>
    <t>Burgerology, 320 W 36th St, New York City, New York, 10033</t>
  </si>
  <si>
    <t>Ty Buckelew</t>
  </si>
  <si>
    <t>Watts Capital</t>
  </si>
  <si>
    <t>Burgerology, 320 W 36th St, New York City, New York, 10034</t>
  </si>
  <si>
    <t>Yvelisse Aquino</t>
  </si>
  <si>
    <t>dbooks</t>
  </si>
  <si>
    <t xml:space="preserve">Manhattan 55
</t>
  </si>
  <si>
    <t>Meister Seelig &amp; Fein PLLC, 125 Park Avenue, 7th Fl. New York, NY, 10017</t>
  </si>
  <si>
    <t>Alex Constantopes</t>
  </si>
  <si>
    <t>Cellular Solutions LLC</t>
  </si>
  <si>
    <t>917-589-6861</t>
  </si>
  <si>
    <t>Meister Seelig &amp; Fein PLLC, 125 Park Avenue, 7th Fl. New York, NY, 10018</t>
  </si>
  <si>
    <t>Andrew Skoutelas</t>
  </si>
  <si>
    <t>Computer Resources of America (CRA)</t>
  </si>
  <si>
    <t>212-742-2770 x280</t>
  </si>
  <si>
    <t>Meister Seelig &amp; Fein PLLC, 125 Park Avenue, 7th Fl. New York, NY, 10019</t>
  </si>
  <si>
    <t>Ashley Platt</t>
  </si>
  <si>
    <t>Jobfinity</t>
  </si>
  <si>
    <t>(201) 462-1995</t>
  </si>
  <si>
    <t>Meister Seelig &amp; Fein PLLC, 125 Park Avenue, 7th Fl. New York, NY, 10020</t>
  </si>
  <si>
    <t>Erin Wheelock</t>
  </si>
  <si>
    <t>The Wheelock Team at Keller Williams</t>
  </si>
  <si>
    <t>Meister Seelig &amp; Fein PLLC, 125 Park Avenue, 7th Fl. New York, NY, 10021</t>
  </si>
  <si>
    <t>Howard Koh</t>
  </si>
  <si>
    <t>Meister Seelig &amp; Fein</t>
  </si>
  <si>
    <t>Meister Seelig &amp; Fein PLLC, 125 Park Avenue, 7th Fl. New York, NY, 10022</t>
  </si>
  <si>
    <t>John Kyriakides</t>
  </si>
  <si>
    <t>Beacon Payments</t>
  </si>
  <si>
    <t>718-640-6783</t>
  </si>
  <si>
    <t>Meister Seelig &amp; Fein PLLC, 125 Park Avenue, 7th Fl. New York, NY, 10023</t>
  </si>
  <si>
    <t>Juin Wang</t>
  </si>
  <si>
    <t>Redshift Technologies</t>
  </si>
  <si>
    <t>Computer &amp; Programming &gt; Programmer</t>
  </si>
  <si>
    <t>Meister Seelig &amp; Fein PLLC, 125 Park Avenue, 7th Fl. New York, NY, 10024</t>
  </si>
  <si>
    <t>Katherine Poulos</t>
  </si>
  <si>
    <t>Berkman Bottger Newman &amp; Schein</t>
  </si>
  <si>
    <t>212-867-9123</t>
  </si>
  <si>
    <t>Meister Seelig &amp; Fein PLLC, 125 Park Avenue, 7th Fl. New York, NY, 10025</t>
  </si>
  <si>
    <t>Kris Senior</t>
  </si>
  <si>
    <t>toka builders</t>
  </si>
  <si>
    <t>Meister Seelig &amp; Fein PLLC, 125 Park Avenue, 7th Fl. New York, NY, 10026</t>
  </si>
  <si>
    <t>Leonard Wiener</t>
  </si>
  <si>
    <t>Meyer</t>
  </si>
  <si>
    <t>516-592-5722</t>
  </si>
  <si>
    <t>Meister Seelig &amp; Fein PLLC, 125 Park Avenue, 7th Fl. New York, NY, 10027</t>
  </si>
  <si>
    <t>Lynn Markel</t>
  </si>
  <si>
    <t>Markel Law</t>
  </si>
  <si>
    <t>516 205 2343</t>
  </si>
  <si>
    <t>Meister Seelig &amp; Fein PLLC, 125 Park Avenue, 7th Fl. New York, NY, 10028</t>
  </si>
  <si>
    <t>Michael Giusto</t>
  </si>
  <si>
    <t>Neufeld</t>
  </si>
  <si>
    <t>Meister Seelig &amp; Fein PLLC, 125 Park Avenue, 7th Fl. New York, NY, 10029</t>
  </si>
  <si>
    <t>Michael Silverman</t>
  </si>
  <si>
    <t>Silver Lining Insurance Agency Inc.</t>
  </si>
  <si>
    <t>212-701-7938</t>
  </si>
  <si>
    <t>Meister Seelig &amp; Fein PLLC, 125 Park Avenue, 7th Fl. New York, NY, 10030</t>
  </si>
  <si>
    <t>Robert Schlesinger</t>
  </si>
  <si>
    <t>Tempus Financial Group</t>
  </si>
  <si>
    <t>516 672 0784</t>
  </si>
  <si>
    <t>Meister Seelig &amp; Fein PLLC, 125 Park Avenue, 7th Fl. New York, NY, 10031</t>
  </si>
  <si>
    <t>Steven Esses</t>
  </si>
  <si>
    <t>FM Home Loans</t>
  </si>
  <si>
    <t>212-231-7324</t>
  </si>
  <si>
    <t>Meister Seelig &amp; Fein PLLC, 125 Park Avenue, 7th Fl. New York, NY, 10032</t>
  </si>
  <si>
    <t>Zachary Gillam</t>
  </si>
  <si>
    <t>Aprio</t>
  </si>
  <si>
    <t xml:space="preserve">Manhattan 18 - The Gold Standard
</t>
  </si>
  <si>
    <t>Lenox Advisors (Conference Room), 90 Park Avenue, 18th Floor, New York, NY, 10016</t>
  </si>
  <si>
    <t>Andrew Pace</t>
  </si>
  <si>
    <t>Zimmet Law Group</t>
  </si>
  <si>
    <t>Lenox Advisors (Conference Room), 90 Park Avenue, 18th Floor, New York, NY, 10017</t>
  </si>
  <si>
    <t>Brian Book</t>
  </si>
  <si>
    <t>Lenox Advisors</t>
  </si>
  <si>
    <t>(203)-216-9397</t>
  </si>
  <si>
    <t>Lenox Advisors (Conference Room), 90 Park Avenue, 18th Floor, New York, NY, 10018</t>
  </si>
  <si>
    <t>Dana Borgersen</t>
  </si>
  <si>
    <t>Dana Liv Interiors</t>
  </si>
  <si>
    <t>Lenox Advisors (Conference Room), 90 Park Avenue, 18th Floor, New York, NY, 10019</t>
  </si>
  <si>
    <t>David Wolff</t>
  </si>
  <si>
    <t>Real Estate Services &gt; Buying Agent</t>
  </si>
  <si>
    <t>Lenox Advisors (Conference Room), 90 Park Avenue, 18th Floor, New York, NY, 10020</t>
  </si>
  <si>
    <t>Edward Tan</t>
  </si>
  <si>
    <t>The Bonadio Group</t>
  </si>
  <si>
    <t>212 873 3271</t>
  </si>
  <si>
    <t>Lenox Advisors (Conference Room), 90 Park Avenue, 18th Floor, New York, NY, 10021</t>
  </si>
  <si>
    <t>Georgia Ionescu</t>
  </si>
  <si>
    <t>Smyth Levenson LLP</t>
  </si>
  <si>
    <t>Lenox Advisors (Conference Room), 90 Park Avenue, 18th Floor, New York, NY, 10022</t>
  </si>
  <si>
    <t>Kara Francis</t>
  </si>
  <si>
    <t>Training &amp; Coaching &gt; Training &amp; Coaching (Other)</t>
  </si>
  <si>
    <t>+19377269398</t>
  </si>
  <si>
    <t>Lenox Advisors (Conference Room), 90 Park Avenue, 18th Floor, New York, NY, 10023</t>
  </si>
  <si>
    <t>Lauren Cleary</t>
  </si>
  <si>
    <t>Lenox Advisors (Conference Room), 90 Park Avenue, 18th Floor, New York, NY, 10024</t>
  </si>
  <si>
    <t>Mark Daley</t>
  </si>
  <si>
    <t>CitiMortgage Inc.</t>
  </si>
  <si>
    <t>Lenox Advisors (Conference Room), 90 Park Avenue, 18th Floor, New York, NY, 10025</t>
  </si>
  <si>
    <t>Michael Lella</t>
  </si>
  <si>
    <t>Movement Minded Physiotherapy</t>
  </si>
  <si>
    <t>516-270-4787</t>
  </si>
  <si>
    <t>Lenox Advisors (Conference Room), 90 Park Avenue, 18th Floor, New York, NY, 10026</t>
  </si>
  <si>
    <t>Patty Anker</t>
  </si>
  <si>
    <t>Julia B. Fee Sotheby's International Realty</t>
  </si>
  <si>
    <t>Lenox Advisors (Conference Room), 90 Park Avenue, 18th Floor, New York, NY, 10027</t>
  </si>
  <si>
    <t>Seth Romanick</t>
  </si>
  <si>
    <t>Kaplan Ditrrapani Faria Manin LLP</t>
  </si>
  <si>
    <t>718 624 2240</t>
  </si>
  <si>
    <t>Lenox Advisors (Conference Room), 90 Park Avenue, 18th Floor, New York, NY, 10028</t>
  </si>
  <si>
    <t>Stephanie Rummani</t>
  </si>
  <si>
    <t>+17035686501</t>
  </si>
  <si>
    <t>Lenox Advisors (Conference Room), 90 Park Avenue, 18th Floor, New York, NY, 10029</t>
  </si>
  <si>
    <t>Thomas Papain</t>
  </si>
  <si>
    <t>Farber Balsam Papain Ferrari LLP</t>
  </si>
  <si>
    <t>(516) 581-7286</t>
  </si>
  <si>
    <t>Lenox Advisors (Conference Room), 90 Park Avenue, 18th Floor, New York, NY, 10030</t>
  </si>
  <si>
    <t>Ticha Ungboriboonpisal</t>
  </si>
  <si>
    <t>Sabaj Law</t>
  </si>
  <si>
    <t>212-518-8270</t>
  </si>
  <si>
    <t>Lenox Advisors (Conference Room), 90 Park Avenue, 18th Floor, New York, NY, 10031</t>
  </si>
  <si>
    <t>Tom Clarkson</t>
  </si>
  <si>
    <t>212-626-8563</t>
  </si>
  <si>
    <t>Lenox Advisors (Conference Room), 90 Park Avenue, 18th Floor, New York, NY, 10032</t>
  </si>
  <si>
    <t>Valmir Kastrati</t>
  </si>
  <si>
    <t>XY Construction</t>
  </si>
  <si>
    <t xml:space="preserve">Manhattan 15 - Gotham Givers Gain
</t>
  </si>
  <si>
    <t>TBD - Gotham Givers Gain, Midtown Manhattan</t>
  </si>
  <si>
    <t>Aaron Gant</t>
  </si>
  <si>
    <t>Madison Avenue Estate sales</t>
  </si>
  <si>
    <t>Retail &gt; Retail (Other)</t>
  </si>
  <si>
    <t>Amel Bicic</t>
  </si>
  <si>
    <t>Red Apples</t>
  </si>
  <si>
    <t>Andre Soluri</t>
  </si>
  <si>
    <t>Soluri Architecture</t>
  </si>
  <si>
    <t>212 686 5002</t>
  </si>
  <si>
    <t>Brian Wells</t>
  </si>
  <si>
    <t>Keller Williams Queens &amp; Long Island</t>
  </si>
  <si>
    <t>+1 (516) 457-3764</t>
  </si>
  <si>
    <t>Burçin Ayebe</t>
  </si>
  <si>
    <t>LucidLux Studio</t>
  </si>
  <si>
    <t>Charles Olson</t>
  </si>
  <si>
    <t>Keller Williams Realty Empire</t>
  </si>
  <si>
    <t>(917) 836 - 1050</t>
  </si>
  <si>
    <t>Chris Bartlett</t>
  </si>
  <si>
    <t>U.S. Bank</t>
  </si>
  <si>
    <t>212-203-7897</t>
  </si>
  <si>
    <t>Dan Leyden</t>
  </si>
  <si>
    <t>The Miale Team at Keller Williams</t>
  </si>
  <si>
    <t>(603) 978-5844</t>
  </si>
  <si>
    <t>David Llanos</t>
  </si>
  <si>
    <t>Cardella Building Services Corp.</t>
  </si>
  <si>
    <t>212-731-0896</t>
  </si>
  <si>
    <t>Elman Woodson</t>
  </si>
  <si>
    <t>Woodson Law PLLC</t>
  </si>
  <si>
    <t>347-280-3810</t>
  </si>
  <si>
    <t>Florin Petruta</t>
  </si>
  <si>
    <t>Empire Movers and Storage Corp</t>
  </si>
  <si>
    <t>212 365 8367</t>
  </si>
  <si>
    <t>Gary Ireland</t>
  </si>
  <si>
    <t>Law Offices of Gary Ireland PLLC</t>
  </si>
  <si>
    <t>Jeremy Sherring</t>
  </si>
  <si>
    <t>MARKZEFF</t>
  </si>
  <si>
    <t>Joshua Newman</t>
  </si>
  <si>
    <t>Integratre New York</t>
  </si>
  <si>
    <t>Marcela Medici</t>
  </si>
  <si>
    <t>Libra Title</t>
  </si>
  <si>
    <t>Mario Pjerrza</t>
  </si>
  <si>
    <t>Alfa Remodeling Corp</t>
  </si>
  <si>
    <t>Construction &gt; Tile Worker</t>
  </si>
  <si>
    <t>Mathew Goldberg</t>
  </si>
  <si>
    <t>Manhattan Wealth Management Group</t>
  </si>
  <si>
    <t>212 810 6961</t>
  </si>
  <si>
    <t>Moshe Cohen</t>
  </si>
  <si>
    <t>267-412-6574</t>
  </si>
  <si>
    <t>Paul Wickel</t>
  </si>
  <si>
    <t>REMCO Insurance Company</t>
  </si>
  <si>
    <t>516-214-8684</t>
  </si>
  <si>
    <t>Robert Kern Jr.</t>
  </si>
  <si>
    <t>Law office of Robert C. Kern Esq.</t>
  </si>
  <si>
    <t>Robert Witherwax</t>
  </si>
  <si>
    <t>Law Office of Robert Witherwax</t>
  </si>
  <si>
    <t>Yan Gladkov</t>
  </si>
  <si>
    <t>Keller Williams NYC</t>
  </si>
  <si>
    <t>+1 347-863-6175</t>
  </si>
  <si>
    <t xml:space="preserve">Manhattan 12 - The Flagship Chapter
</t>
  </si>
  <si>
    <t>Club 101, 101 Park Ave, (at 40th Street), New York, NY, 10017</t>
  </si>
  <si>
    <t>Club 101, 101 Park Ave, (at 40th Street), New York, NY, 10018</t>
  </si>
  <si>
    <t>Club 101, 101 Park Ave, (at 40th Street), New York, NY, 10019</t>
  </si>
  <si>
    <t>Health and Wellness &gt; Health &amp; Wellness Products</t>
  </si>
  <si>
    <t>Club 101, 101 Park Ave, (at 40th Street), New York, NY, 10020</t>
  </si>
  <si>
    <t>Club 101, 101 Park Ave, (at 40th Street), New York, NY, 10021</t>
  </si>
  <si>
    <t>Club 101, 101 Park Ave, (at 40th Street), New York, NY, 10022</t>
  </si>
  <si>
    <t>Club 101, 101 Park Ave, (at 40th Street), New York, NY, 10023</t>
  </si>
  <si>
    <t>Club 101, 101 Park Ave, (at 40th Street), New York, NY, 10024</t>
  </si>
  <si>
    <t>Club 101, 101 Park Ave, (at 40th Street), New York, NY, 10025</t>
  </si>
  <si>
    <t>Club 101, 101 Park Ave, (at 40th Street), New York, NY, 10026</t>
  </si>
  <si>
    <t>Club 101, 101 Park Ave, (at 40th Street), New York, NY, 10027</t>
  </si>
  <si>
    <t>Club 101, 101 Park Ave, (at 40th Street), New York, NY, 10028</t>
  </si>
  <si>
    <t>Retail &gt; Fine Jewelry</t>
  </si>
  <si>
    <t>Club 101, 101 Park Ave, (at 40th Street), New York, NY, 10029</t>
  </si>
  <si>
    <t>Club 101, 101 Park Ave, (at 40th Street), New York, NY, 10030</t>
  </si>
  <si>
    <t>Club 101, 101 Park Ave, (at 40th Street), New York, NY, 10031</t>
  </si>
  <si>
    <t>Training &amp; Coaching &gt; Life Coach</t>
  </si>
  <si>
    <t>Club 101, 101 Park Ave, (at 40th Street), New York, NY, 10032</t>
  </si>
  <si>
    <t>Club 101, 101 Park Ave, (at 40th Street), New York, NY, 10033</t>
  </si>
  <si>
    <t>Consulting &gt; Business Consultant - Small Business</t>
  </si>
  <si>
    <t>Club 101, 101 Park Ave, (at 40th Street), New York, NY, 10034</t>
  </si>
  <si>
    <t>Club 101, 101 Park Ave, (at 40th Street), New York, NY, 10035</t>
  </si>
  <si>
    <t>Club 101, 101 Park Ave, (at 40th Street), New York, NY, 10036</t>
  </si>
  <si>
    <t>Club 101, 101 Park Ave, (at 40th Street), New York, NY, 10037</t>
  </si>
  <si>
    <t>Event &amp; Business Service &gt; Technicians - Audio</t>
  </si>
  <si>
    <t>Club 101, 101 Park Ave, (at 40th Street), New York, NY, 10038</t>
  </si>
  <si>
    <t>Club 101, 101 Park Ave, (at 40th Street), New York, NY, 10039</t>
  </si>
  <si>
    <t>Club 101, 101 Park Ave, (at 40th Street), New York, NY, 10040</t>
  </si>
  <si>
    <t>Club 101, 101 Park Ave, (at 40th Street), New York, NY, 10041</t>
  </si>
  <si>
    <t>Mortgage &gt; Residential Mortgages</t>
  </si>
  <si>
    <t>Club 101, 101 Park Ave, (at 40th Street), New York, NY, 10042</t>
  </si>
  <si>
    <t>Real Estate Services &gt; Real Estate Services (Other)</t>
  </si>
  <si>
    <t>Club 101, 101 Park Ave, (at 40th Street), New York, NY, 10043</t>
  </si>
  <si>
    <t>Event &amp; Business Service &gt; Event &amp; Business-Service (Other)</t>
  </si>
  <si>
    <t>Club 101, 101 Park Ave, (at 40th Street), New York, NY, 10044</t>
  </si>
  <si>
    <t>Club 101, 101 Park Ave, (at 40th Street), New York, NY, 10045</t>
  </si>
  <si>
    <t>Real Estate Services &gt; Real Estate Rentals</t>
  </si>
  <si>
    <t>Club 101, 101 Park Ave, (at 40th Street), New York, NY, 10046</t>
  </si>
  <si>
    <t>Club 101, 101 Park Ave, (at 40th Street), New York, NY, 10047</t>
  </si>
  <si>
    <t>Club 101, 101 Park Ave, (at 40th Street), New York, NY, 10048</t>
  </si>
  <si>
    <t>Club 101, 101 Park Ave, (at 40th Street), New York, NY, 10049</t>
  </si>
  <si>
    <t>Club 101, 101 Park Ave, (at 40th Street), New York, NY, 10050</t>
  </si>
  <si>
    <t>Horzepa</t>
  </si>
  <si>
    <t>Club 101, 101 Park Ave, (at 40th Street), New York, NY, 10051</t>
  </si>
  <si>
    <t>Advertising &amp; Marketing &gt; Public Relations</t>
  </si>
  <si>
    <t>Club 101, 101 Park Ave, (at 40th Street), New York, NY, 10052</t>
  </si>
  <si>
    <t>Club 101, 101 Park Ave, (at 40th Street), New York, NY, 10053</t>
  </si>
  <si>
    <t>Club 101, 101 Park Ave, (at 40th Street), New York, NY, 10054</t>
  </si>
  <si>
    <t>Club 101, 101 Park Ave, (at 40th Street), New York, NY, 10055</t>
  </si>
  <si>
    <t>Club 101, 101 Park Ave, (at 40th Street), New York, NY, 10056</t>
  </si>
  <si>
    <t>Club 101, 101 Park Ave, (at 40th Street), New York, NY, 10057</t>
  </si>
  <si>
    <t>Training &amp; Coaching &gt; Communication Coach</t>
  </si>
  <si>
    <t>Club 101, 101 Park Ave, (at 40th Street), New York, NY, 10058</t>
  </si>
  <si>
    <t>Club 101, 101 Park Ave, (at 40th Street), New York, NY, 10059</t>
  </si>
  <si>
    <t>Club 101, 101 Park Ave, (at 40th Street), New York, NY, 10060</t>
  </si>
  <si>
    <t>Club 101, 101 Park Ave, (at 40th Street), New York, NY, 10061</t>
  </si>
  <si>
    <t>Club 101, 101 Park Ave, (at 40th Street), New York, NY, 10062</t>
  </si>
  <si>
    <t>Club 101, 101 Park Ave, (at 40th Street), New York, NY, 10063</t>
  </si>
  <si>
    <t>Club 101, 101 Park Ave, (at 40th Street), New York, NY, 10064</t>
  </si>
  <si>
    <t>Club 101, 101 Park Ave, (at 40th Street), New York, NY, 10065</t>
  </si>
  <si>
    <t>Club 101, 101 Park Ave, (at 40th Street), New York, NY, 10066</t>
  </si>
  <si>
    <t>Club 101, 101 Park Ave, (at 40th Street), New York, NY, 10067</t>
  </si>
  <si>
    <t>Club 101, 101 Park Ave, (at 40th Street), New York, NY, 10068</t>
  </si>
  <si>
    <t>Club 101, 101 Park Ave, (at 40th Street), New York, NY, 10069</t>
  </si>
  <si>
    <t>Finance &amp; Insurance &gt; Medicare</t>
  </si>
  <si>
    <t>Club 101, 101 Park Ave, (at 40th Street), New York, NY, 10070</t>
  </si>
  <si>
    <t>Club 101, 101 Park Ave, (at 40th Street), New York, NY, 10071</t>
  </si>
  <si>
    <t>Club 101, 101 Park Ave, (at 40th Street), New York, NY, 10072</t>
  </si>
  <si>
    <t>Club 101, 101 Park Ave, (at 40th Street), New York, NY, 10073</t>
  </si>
  <si>
    <t>Club 101, 101 Park Ave, (at 40th Street), New York, NY, 10074</t>
  </si>
  <si>
    <t>Club 101, 101 Park Ave, (at 40th Street), New York, NY, 10075</t>
  </si>
  <si>
    <t>Club 101, 101 Park Ave, (at 40th Street), New York, NY, 10076</t>
  </si>
  <si>
    <t>Finance &amp; Insurance &gt; Financial Investments</t>
  </si>
  <si>
    <t>Club 101, 101 Park Ave, (at 40th Street), New York, NY, 10077</t>
  </si>
  <si>
    <t>Organizations &amp; Others &gt; Givers Gain®</t>
  </si>
  <si>
    <t>Club 101, 101 Park Ave, (at 40th Street), New York, NY, 10078</t>
  </si>
  <si>
    <t>Club 101, 101 Park Ave, (at 40th Street), New York, NY, 10079</t>
  </si>
  <si>
    <t xml:space="preserve">Manhattan 24 - The Grand Central Chapter
</t>
  </si>
  <si>
    <t>Akiva Cohen</t>
  </si>
  <si>
    <t>Kamerman</t>
  </si>
  <si>
    <t>212 400 4930</t>
  </si>
  <si>
    <t>Andrew Yacyshyn</t>
  </si>
  <si>
    <t>Tannenbaum Helpern Syracuse &amp; Hirschtritt</t>
  </si>
  <si>
    <t>212-508-6792</t>
  </si>
  <si>
    <t>Avi Ashkenazy</t>
  </si>
  <si>
    <t>Inspired Wealth Strategies</t>
  </si>
  <si>
    <t>Bradley Ziegler</t>
  </si>
  <si>
    <t>USI Insurance</t>
  </si>
  <si>
    <t>212 842 3442</t>
  </si>
  <si>
    <t>Carson Alexander</t>
  </si>
  <si>
    <t>The Carson Alexander Team at Compass</t>
  </si>
  <si>
    <t>Charles Ruffin</t>
  </si>
  <si>
    <t>East West Bank</t>
  </si>
  <si>
    <t>646-423-8779</t>
  </si>
  <si>
    <t>Christopher Clark</t>
  </si>
  <si>
    <t>Wiggin and Dana</t>
  </si>
  <si>
    <t>828-572-9840</t>
  </si>
  <si>
    <t>David Wald</t>
  </si>
  <si>
    <t>United Nations Federal Credit Union</t>
  </si>
  <si>
    <t>Deanna Huaman</t>
  </si>
  <si>
    <t>Tri State Adjustment</t>
  </si>
  <si>
    <t>Donald Wall</t>
  </si>
  <si>
    <t>Donald R. Wall</t>
  </si>
  <si>
    <t>212 695-6008</t>
  </si>
  <si>
    <t>Gary Cohen</t>
  </si>
  <si>
    <t>Cohen Bros. Jewelry Inc.</t>
  </si>
  <si>
    <t>212 719 2010</t>
  </si>
  <si>
    <t>Greg Cohen</t>
  </si>
  <si>
    <t>Sotheby's International Realty</t>
  </si>
  <si>
    <t>646 284 0708</t>
  </si>
  <si>
    <t>Howard Glick</t>
  </si>
  <si>
    <t>917 846 6797</t>
  </si>
  <si>
    <t>Isaac Coston</t>
  </si>
  <si>
    <t>Picture Perfect Mounting</t>
  </si>
  <si>
    <t>(201) 241-2544</t>
  </si>
  <si>
    <t>Jarad Siegel</t>
  </si>
  <si>
    <t>Monteleone &amp; Siegel</t>
  </si>
  <si>
    <t>Jim Levine</t>
  </si>
  <si>
    <t>Charter Technology Solutions</t>
  </si>
  <si>
    <t>Jose Abreu</t>
  </si>
  <si>
    <t>Lumy Cleaning Services</t>
  </si>
  <si>
    <t>201-228-0260</t>
  </si>
  <si>
    <t>Justin Waiser</t>
  </si>
  <si>
    <t>William A. Slutsky</t>
  </si>
  <si>
    <t>718 263 9292</t>
  </si>
  <si>
    <t>Licelle Cobrador</t>
  </si>
  <si>
    <t>Cobrador and Associates PLLC</t>
  </si>
  <si>
    <t>Lucas Kato</t>
  </si>
  <si>
    <t>Kato Outsourcing</t>
  </si>
  <si>
    <t>(321) 337-9282</t>
  </si>
  <si>
    <t>Luis (Berto) Antunano</t>
  </si>
  <si>
    <t>Empire National Title</t>
  </si>
  <si>
    <t>978 767 3757</t>
  </si>
  <si>
    <t>Marc Silverman</t>
  </si>
  <si>
    <t>SilverMarc.com</t>
  </si>
  <si>
    <t>646-275-4460</t>
  </si>
  <si>
    <t>Maria Kosmidou</t>
  </si>
  <si>
    <t>MARIA KOSMIDOU LLC</t>
  </si>
  <si>
    <t>+15512738495</t>
  </si>
  <si>
    <t>Mark Chapman</t>
  </si>
  <si>
    <t>Law Offices of Chapman &amp; Associates</t>
  </si>
  <si>
    <t>516-741-6601</t>
  </si>
  <si>
    <t>Meghan MacAvery</t>
  </si>
  <si>
    <t>GOLDSTEIN JONES LLP</t>
  </si>
  <si>
    <t>Legal &amp; Accounting &gt; Tax Law</t>
  </si>
  <si>
    <t>212-232-2410</t>
  </si>
  <si>
    <t>Richard Bayer</t>
  </si>
  <si>
    <t>Einbinder &amp; Dunn LLP</t>
  </si>
  <si>
    <t>212-391-9500</t>
  </si>
  <si>
    <t>Ruth Baumann</t>
  </si>
  <si>
    <t>Baumann Resource Group</t>
  </si>
  <si>
    <t>917-692-4020</t>
  </si>
  <si>
    <t>Scott Bernstein</t>
  </si>
  <si>
    <t>World Insurance Associates</t>
  </si>
  <si>
    <t>Thomas Tsitouridis</t>
  </si>
  <si>
    <t>TOMAK Group</t>
  </si>
  <si>
    <t>212 3801015</t>
  </si>
  <si>
    <t>Tonja Adair</t>
  </si>
  <si>
    <t>Splice Design</t>
  </si>
  <si>
    <t>646 706 7016</t>
  </si>
  <si>
    <t xml:space="preserve">Manhattan 01
</t>
  </si>
  <si>
    <t>Cornell Club, 6 East 44th Street - 5th Floor, New York NY</t>
  </si>
  <si>
    <t>Aaron Kass</t>
  </si>
  <si>
    <t>845 416 6945</t>
  </si>
  <si>
    <t>Aaron Mazor</t>
  </si>
  <si>
    <t>Compass Real Estate</t>
  </si>
  <si>
    <t>917 696 8772</t>
  </si>
  <si>
    <t>Abby Friedman</t>
  </si>
  <si>
    <t>Friedman Productions</t>
  </si>
  <si>
    <t>551 265 0033</t>
  </si>
  <si>
    <t>Adam Pollack</t>
  </si>
  <si>
    <t>EPSG</t>
  </si>
  <si>
    <t>631 553 4724</t>
  </si>
  <si>
    <t>Alice Levine</t>
  </si>
  <si>
    <t>PromotionWorks</t>
  </si>
  <si>
    <t>+19178630773</t>
  </si>
  <si>
    <t>Arthur Ettinger</t>
  </si>
  <si>
    <t>Salzano</t>
  </si>
  <si>
    <t>212 375 6744</t>
  </si>
  <si>
    <t>Brett Deutsch</t>
  </si>
  <si>
    <t>Deutsch Photography</t>
  </si>
  <si>
    <t>212 810 2148</t>
  </si>
  <si>
    <t>Brian Zimmet</t>
  </si>
  <si>
    <t>Zimmet Law Group P.C.</t>
  </si>
  <si>
    <t>212 922 1330</t>
  </si>
  <si>
    <t>Cathy Hobbs</t>
  </si>
  <si>
    <t>Cathy Hobbs Design Recipes</t>
  </si>
  <si>
    <t>Real Estate Services &gt; Home Staging</t>
  </si>
  <si>
    <t>800-961-5202</t>
  </si>
  <si>
    <t>Christina Shaw</t>
  </si>
  <si>
    <t>516 900 1234</t>
  </si>
  <si>
    <t>Christopher Milazzo</t>
  </si>
  <si>
    <t>Sichenzia • Ross • Ference • Carmel LLP</t>
  </si>
  <si>
    <t>646 838 1311</t>
  </si>
  <si>
    <t>Cliff Rubin</t>
  </si>
  <si>
    <t>Jonas Web Website Design</t>
  </si>
  <si>
    <t>212-779-0452</t>
  </si>
  <si>
    <t>Daniel Nicholas</t>
  </si>
  <si>
    <t>Daniel Nicholas Magic</t>
  </si>
  <si>
    <t>Art &amp; Entertainment &gt; Entertainer</t>
  </si>
  <si>
    <t>516 366 1010</t>
  </si>
  <si>
    <t>Darrel Upson</t>
  </si>
  <si>
    <t>Hudson Peak Wealth Advisors</t>
  </si>
  <si>
    <t>914 769 2800</t>
  </si>
  <si>
    <t>David Goldstein</t>
  </si>
  <si>
    <t>Dmg Consulting LLC</t>
  </si>
  <si>
    <t>212-588-8399</t>
  </si>
  <si>
    <t>David Sachs</t>
  </si>
  <si>
    <t>D. Sachs &amp; Co.</t>
  </si>
  <si>
    <t>Diana Vasquez</t>
  </si>
  <si>
    <t>La Chapulina Verde</t>
  </si>
  <si>
    <t>917 583 4722</t>
  </si>
  <si>
    <t>Dianela Rodriguez</t>
  </si>
  <si>
    <t>Briggs Services</t>
  </si>
  <si>
    <t>+19144942573</t>
  </si>
  <si>
    <t>Dominick Ciccarelli</t>
  </si>
  <si>
    <t>Thinkdesign architecture</t>
  </si>
  <si>
    <t>Elliot Zelinger</t>
  </si>
  <si>
    <t>Savitt Partners</t>
  </si>
  <si>
    <t>212 452 6078</t>
  </si>
  <si>
    <t>Geoff Hunt</t>
  </si>
  <si>
    <t>CATES Tutoring</t>
  </si>
  <si>
    <t>Greg Marett</t>
  </si>
  <si>
    <t>Bayview Landscape Architecture</t>
  </si>
  <si>
    <t>Jason Rodriguez</t>
  </si>
  <si>
    <t>Fitness Journeys NY</t>
  </si>
  <si>
    <t>(347)387 1471</t>
  </si>
  <si>
    <t>Jay Zimner</t>
  </si>
  <si>
    <t>Zimner Law</t>
  </si>
  <si>
    <t>212 952 4369</t>
  </si>
  <si>
    <t>Jennifer Mirsky</t>
  </si>
  <si>
    <t>Mirsky Digital</t>
  </si>
  <si>
    <t>Advertising &amp; Marketing &gt; Copywriter/Writer</t>
  </si>
  <si>
    <t>John Mark Shaw</t>
  </si>
  <si>
    <t>John Mark Shaw Consultant &amp; Coach</t>
  </si>
  <si>
    <t>Consulting &gt; Business Consultant - Management</t>
  </si>
  <si>
    <t>917 520 1971</t>
  </si>
  <si>
    <t>Jonathan Terrio</t>
  </si>
  <si>
    <t>Joseph Gordon</t>
  </si>
  <si>
    <t>TSG Reporting</t>
  </si>
  <si>
    <t>Legal &amp; Accounting &gt; Conveyancing</t>
  </si>
  <si>
    <t>212-702-9580</t>
  </si>
  <si>
    <t>Kirellos Azer</t>
  </si>
  <si>
    <t>Maximus Custom Clothing</t>
  </si>
  <si>
    <t>Personal Services &gt; Personal Services (Other)</t>
  </si>
  <si>
    <t>347 735 0650</t>
  </si>
  <si>
    <t>Larry Patterson</t>
  </si>
  <si>
    <t>Rainbow Movers Inc.</t>
  </si>
  <si>
    <t>Mahmoud Arjomand</t>
  </si>
  <si>
    <t>Polaris Risk Management Corp.</t>
  </si>
  <si>
    <t>Matthew Maggipinto</t>
  </si>
  <si>
    <t>Fides Property Management</t>
  </si>
  <si>
    <t>917 626 3275</t>
  </si>
  <si>
    <t>Melissa Mae Kors</t>
  </si>
  <si>
    <t>Art &amp; Entertainment &gt; Artist</t>
  </si>
  <si>
    <t>Michael Goldfine</t>
  </si>
  <si>
    <t>Goldfine CPA</t>
  </si>
  <si>
    <t>Nadege Fleurimond</t>
  </si>
  <si>
    <t>Fleurimond Catering</t>
  </si>
  <si>
    <t>Nathalie Francisco</t>
  </si>
  <si>
    <t>Connie Francisco real Estatte Group</t>
  </si>
  <si>
    <t>516 328 0668</t>
  </si>
  <si>
    <t>Neil Burstein</t>
  </si>
  <si>
    <t>Law Offices of Neil Burstein</t>
  </si>
  <si>
    <t>914 977 3467</t>
  </si>
  <si>
    <t>Paul Hyun</t>
  </si>
  <si>
    <t>Ramona Morgan</t>
  </si>
  <si>
    <t>Ramona Morgan Law</t>
  </si>
  <si>
    <t>212 204 1708</t>
  </si>
  <si>
    <t>Rex Aguirre</t>
  </si>
  <si>
    <t>Worldwide Digital Solutions Inc.</t>
  </si>
  <si>
    <t>631 563 2000</t>
  </si>
  <si>
    <t>Robert Evans</t>
  </si>
  <si>
    <t>Evans Brothers Contracting</t>
  </si>
  <si>
    <t>516 903 9967</t>
  </si>
  <si>
    <t>Rodrigo Rimana</t>
  </si>
  <si>
    <t>Amayu Institute</t>
  </si>
  <si>
    <t>212 245 1415</t>
  </si>
  <si>
    <t>Rosemary DePersia</t>
  </si>
  <si>
    <t>The Copy Specialist</t>
  </si>
  <si>
    <t>212-533-7560</t>
  </si>
  <si>
    <t>Ross Arnel</t>
  </si>
  <si>
    <t>Arnel Associates</t>
  </si>
  <si>
    <t>Finance &amp; Insurance &gt; Group Benefits</t>
  </si>
  <si>
    <t>212 973 1492</t>
  </si>
  <si>
    <t>Roy Fenichel Esq</t>
  </si>
  <si>
    <t>Newmark Title Services</t>
  </si>
  <si>
    <t>646-647-2035</t>
  </si>
  <si>
    <t>Saul Hayukin</t>
  </si>
  <si>
    <t>I-Grace</t>
  </si>
  <si>
    <t>212 987 1900</t>
  </si>
  <si>
    <t>Scott Harris</t>
  </si>
  <si>
    <t>Brown Harris Stevens</t>
  </si>
  <si>
    <t>646 504 5710</t>
  </si>
  <si>
    <t>Shawn Craine</t>
  </si>
  <si>
    <t>Home By Choice</t>
  </si>
  <si>
    <t>212 982 3600</t>
  </si>
  <si>
    <t>Stavros Sitinas</t>
  </si>
  <si>
    <t>Stavros E. Sitinas</t>
  </si>
  <si>
    <t>212 539 1800</t>
  </si>
  <si>
    <t>Stephanie Betancourt</t>
  </si>
  <si>
    <t>Raveis Realty</t>
  </si>
  <si>
    <t>203 966 3555</t>
  </si>
  <si>
    <t>Terence Gerchberg</t>
  </si>
  <si>
    <t>Steve's Camp at Horizon Farms</t>
  </si>
  <si>
    <t>917 376 3376</t>
  </si>
  <si>
    <t>Thomas West</t>
  </si>
  <si>
    <t>Ingeniux</t>
  </si>
  <si>
    <t>212 988 7403</t>
  </si>
  <si>
    <t>Tom Costagliola</t>
  </si>
  <si>
    <t>Prominent Properties / Sothebys International Realty</t>
  </si>
  <si>
    <t>Wayne Wolf</t>
  </si>
  <si>
    <t>Blue Cup Design</t>
  </si>
  <si>
    <t>914 244 0585</t>
  </si>
  <si>
    <t xml:space="preserve">Manhattan 29 - Evening
</t>
  </si>
  <si>
    <t>Alison Orlando</t>
  </si>
  <si>
    <t>Judicial Title</t>
  </si>
  <si>
    <t>914 381 6700</t>
  </si>
  <si>
    <t>Daisy Echevarria</t>
  </si>
  <si>
    <t>Matthew J. Nolfo &amp; Associates</t>
  </si>
  <si>
    <t>646-763-1221</t>
  </si>
  <si>
    <t>Diane Close</t>
  </si>
  <si>
    <t>Prime Meridian Moving</t>
  </si>
  <si>
    <t>212 981 4698</t>
  </si>
  <si>
    <t>Elsie Echevarria</t>
  </si>
  <si>
    <t>Eva Grodberg</t>
  </si>
  <si>
    <t>Epic Experiences</t>
  </si>
  <si>
    <t>212 645 6139</t>
  </si>
  <si>
    <t>Gabriel Multedo</t>
  </si>
  <si>
    <t>George McIntosh</t>
  </si>
  <si>
    <t>Promptings</t>
  </si>
  <si>
    <t>61 439494433</t>
  </si>
  <si>
    <t>Ippei Iwashiro</t>
  </si>
  <si>
    <t>Corcoran Group</t>
  </si>
  <si>
    <t>Jason Kliwinski</t>
  </si>
  <si>
    <t>Designs for Life</t>
  </si>
  <si>
    <t>Jeffrey Stein</t>
  </si>
  <si>
    <t>+15167219495</t>
  </si>
  <si>
    <t>Jonathan Ratchik</t>
  </si>
  <si>
    <t>Kramer</t>
  </si>
  <si>
    <t>212 226 6662</t>
  </si>
  <si>
    <t>Jordan Roth</t>
  </si>
  <si>
    <t>Joy Morales</t>
  </si>
  <si>
    <t>NP Marketing Group</t>
  </si>
  <si>
    <t>Michael Altieri</t>
  </si>
  <si>
    <t>USI</t>
  </si>
  <si>
    <t>845-527-8656</t>
  </si>
  <si>
    <t>Michael Bedell</t>
  </si>
  <si>
    <t>Bedell &amp; Forman</t>
  </si>
  <si>
    <t>212 2561295</t>
  </si>
  <si>
    <t>Miguel Gonzalez</t>
  </si>
  <si>
    <t>Cortburg Retirement Advisors</t>
  </si>
  <si>
    <t>212-776-4094</t>
  </si>
  <si>
    <t>Raymond Hamlin</t>
  </si>
  <si>
    <t>Raymond Hamlin Photography</t>
  </si>
  <si>
    <t>917 853 9946</t>
  </si>
  <si>
    <t>Robert Rosenberg</t>
  </si>
  <si>
    <t>NYCK Coaching</t>
  </si>
  <si>
    <t>315-544-3888</t>
  </si>
  <si>
    <t>Sebastian Osika</t>
  </si>
  <si>
    <t>Zhanna Kelley</t>
  </si>
  <si>
    <t>Taxology Inc.</t>
  </si>
  <si>
    <t>201-230-5498</t>
  </si>
  <si>
    <t xml:space="preserve">Manhattan 03 - Platinum
</t>
  </si>
  <si>
    <t>Club Quarters (45th Street), 40 West 45th Street, New York, NY</t>
  </si>
  <si>
    <t>Ahmed Tharwat</t>
  </si>
  <si>
    <t>ART SERVICE New York</t>
  </si>
  <si>
    <t>212-419-0517</t>
  </si>
  <si>
    <t>Amy Sandler</t>
  </si>
  <si>
    <t>914-383-9043</t>
  </si>
  <si>
    <t>Brooke Decker</t>
  </si>
  <si>
    <t>Carolina Silva</t>
  </si>
  <si>
    <t>212 893 7625</t>
  </si>
  <si>
    <t>Colin Joseph</t>
  </si>
  <si>
    <t>Urban Standard General Contracting</t>
  </si>
  <si>
    <t>929-995-9342</t>
  </si>
  <si>
    <t>David Binson</t>
  </si>
  <si>
    <t>Law Office of David Binson</t>
  </si>
  <si>
    <t>Erin Luczak</t>
  </si>
  <si>
    <t>USI Insurance Services</t>
  </si>
  <si>
    <t>347 256 3499</t>
  </si>
  <si>
    <t>Gail Bass</t>
  </si>
  <si>
    <t>RSM US LLP</t>
  </si>
  <si>
    <t>Ingrid Johnson</t>
  </si>
  <si>
    <t>Janice Roven</t>
  </si>
  <si>
    <t>Roven Law Group</t>
  </si>
  <si>
    <t>212 262 3280</t>
  </si>
  <si>
    <t>Jenny Horne</t>
  </si>
  <si>
    <t>Guiding Routes</t>
  </si>
  <si>
    <t>Matthew Ulmann</t>
  </si>
  <si>
    <t>Schwartz Sladkus Reich Greenberg Atlas LLP</t>
  </si>
  <si>
    <t>(212) 743-7024</t>
  </si>
  <si>
    <t>Matthew Walters</t>
  </si>
  <si>
    <t>Walters &amp; Walters</t>
  </si>
  <si>
    <t>212 227 1666</t>
  </si>
  <si>
    <t>Meadow Doyen</t>
  </si>
  <si>
    <t>WSI</t>
  </si>
  <si>
    <t>Nick Cesare</t>
  </si>
  <si>
    <t>Insperity</t>
  </si>
  <si>
    <t>Philip Biegler</t>
  </si>
  <si>
    <t>Biegler Law</t>
  </si>
  <si>
    <t>(646) 450-9511</t>
  </si>
  <si>
    <t>Richard Nilles</t>
  </si>
  <si>
    <t>David A. Kaminsky &amp; Associates</t>
  </si>
  <si>
    <t>212 571 1227</t>
  </si>
  <si>
    <t>Richard Del Nunzio</t>
  </si>
  <si>
    <t>Sue Saccardo</t>
  </si>
  <si>
    <t>Juice Plus / Tower Garden</t>
  </si>
  <si>
    <t xml:space="preserve">Manhattan 44 - Bryant Partnership
</t>
  </si>
  <si>
    <t>Vensure, 250 Park Avenue, Suite 1201, New York, NY</t>
  </si>
  <si>
    <t>Andrea Czarniak</t>
  </si>
  <si>
    <t>Andrew Haber</t>
  </si>
  <si>
    <t>Libra Title Agency</t>
  </si>
  <si>
    <t>Dan Patsis</t>
  </si>
  <si>
    <t>Poljan Properties</t>
  </si>
  <si>
    <t>David Bravo</t>
  </si>
  <si>
    <t>Crane Security</t>
  </si>
  <si>
    <t>Law Offices of David M. Goldstein</t>
  </si>
  <si>
    <t>Eugene Sarantis</t>
  </si>
  <si>
    <t>Weidenbaum &amp; Harari</t>
  </si>
  <si>
    <t>Fred Taverna</t>
  </si>
  <si>
    <t>NY Interior Construction</t>
  </si>
  <si>
    <t>212 251 0790</t>
  </si>
  <si>
    <t>George Nachum</t>
  </si>
  <si>
    <t>The Cody</t>
  </si>
  <si>
    <t>917 515 7008</t>
  </si>
  <si>
    <t>Maria Hamdani</t>
  </si>
  <si>
    <t>Center for Measurement Justice</t>
  </si>
  <si>
    <t>Mian Ullah</t>
  </si>
  <si>
    <t>Bank of America</t>
  </si>
  <si>
    <t>Neil Bhay</t>
  </si>
  <si>
    <t>GlowFish Fractional Consulting</t>
  </si>
  <si>
    <t>Peter Chace</t>
  </si>
  <si>
    <t>Citizens Bank NA</t>
  </si>
  <si>
    <t>917 715 2818</t>
  </si>
  <si>
    <t>Reza Yassi</t>
  </si>
  <si>
    <t>Yassi Law PC</t>
  </si>
  <si>
    <t>Shay Charles</t>
  </si>
  <si>
    <t>BrandPlus Design LLC</t>
  </si>
  <si>
    <t>Advertising &amp; Marketing &gt; Graphic Designer</t>
  </si>
  <si>
    <t>Sylvie Richards</t>
  </si>
  <si>
    <t>The Law Office of Sylvie L.F. Richards</t>
  </si>
  <si>
    <t>212-222-4175</t>
  </si>
  <si>
    <t>Trina Cooper</t>
  </si>
  <si>
    <t>212-444-7933</t>
  </si>
  <si>
    <t>Zack Rawlings</t>
  </si>
  <si>
    <t>Contego Advisors</t>
  </si>
  <si>
    <t>212-920-4125</t>
  </si>
  <si>
    <t>BNI Umbuntu</t>
  </si>
  <si>
    <t>Silvia Galambosi</t>
  </si>
  <si>
    <t>Galambosi Szilvia EV.</t>
  </si>
  <si>
    <t>Amy Persaud</t>
  </si>
  <si>
    <t>Finance &amp; Insurance</t>
  </si>
  <si>
    <t>Manhattan 46</t>
  </si>
  <si>
    <t>Simon &amp; Schuster Building, 1230 Ave of the Americas at Rockefeller Center, NYC, NY, 10020</t>
  </si>
  <si>
    <t>Alex Lavrenovs</t>
  </si>
  <si>
    <t>Simon &amp; Schuster Building, 1230 Ave of the Americas at Rockefeller Center, NYC, NY, 10021</t>
  </si>
  <si>
    <t>Alexander Furst</t>
  </si>
  <si>
    <t>Watch Hill Real Estate</t>
  </si>
  <si>
    <t>Simon &amp; Schuster Building, 1230 Ave of the Americas at Rockefeller Center, NYC, NY, 10022</t>
  </si>
  <si>
    <t>Brandon Dawkins</t>
  </si>
  <si>
    <t>Bdawkins5@gmail.com</t>
  </si>
  <si>
    <t>Training &amp; Coaching (Other)</t>
  </si>
  <si>
    <t>+1 (360) 921-2901</t>
  </si>
  <si>
    <t>Simon &amp; Schuster Building, 1230 Ave of the Americas at Rockefeller Center, NYC, NY, 10023</t>
  </si>
  <si>
    <t>Charles Sacco</t>
  </si>
  <si>
    <t>+1-212-382-8489</t>
  </si>
  <si>
    <t>Simon &amp; Schuster Building, 1230 Ave of the Americas at Rockefeller Center, NYC, NY, 10024</t>
  </si>
  <si>
    <t>Christopher Hunt-Walker</t>
  </si>
  <si>
    <t>C. Hunt-Walker Company LLC</t>
  </si>
  <si>
    <t>Simon &amp; Schuster Building, 1230 Ave of the Americas at Rockefeller Center, NYC, NY, 10025</t>
  </si>
  <si>
    <t>Daniel Jacoby</t>
  </si>
  <si>
    <t>SDL Brokerage Inc.</t>
  </si>
  <si>
    <t>Simon &amp; Schuster Building, 1230 Ave of the Americas at Rockefeller Center, NYC, NY, 10026</t>
  </si>
  <si>
    <t>Dante Banaga</t>
  </si>
  <si>
    <t>D12 Capital Inc</t>
  </si>
  <si>
    <t>+1 (631) 365-3074</t>
  </si>
  <si>
    <t>Simon &amp; Schuster Building, 1230 Ave of the Americas at Rockefeller Center, NYC, NY, 10027</t>
  </si>
  <si>
    <t>Jacob E. Miles</t>
  </si>
  <si>
    <t>Brown Harris Stevens Residential Sales</t>
  </si>
  <si>
    <t>+1-212-381-6512</t>
  </si>
  <si>
    <t>Simon &amp; Schuster Building, 1230 Ave of the Americas at Rockefeller Center, NYC, NY, 10028</t>
  </si>
  <si>
    <t>Jason Bergman</t>
  </si>
  <si>
    <t>Sutton Land Title Agency</t>
  </si>
  <si>
    <t>516-837-6236</t>
  </si>
  <si>
    <t>Simon &amp; Schuster Building, 1230 Ave of the Americas at Rockefeller Center, NYC, NY, 10029</t>
  </si>
  <si>
    <t>Jason Ganfer</t>
  </si>
  <si>
    <t>Goldberg Segalla LLP</t>
  </si>
  <si>
    <t>646-292-8756</t>
  </si>
  <si>
    <t>Simon &amp; Schuster Building, 1230 Ave of the Americas at Rockefeller Center, NYC, NY, 10030</t>
  </si>
  <si>
    <t>Karr Washington</t>
  </si>
  <si>
    <t>The Law Firm of Karreem Washington</t>
  </si>
  <si>
    <t>(310) 743-4177</t>
  </si>
  <si>
    <t>Simon &amp; Schuster Building, 1230 Ave of the Americas at Rockefeller Center, NYC, NY, 10031</t>
  </si>
  <si>
    <t>Michael Schechter</t>
  </si>
  <si>
    <t>646-859-8119</t>
  </si>
  <si>
    <t>Simon &amp; Schuster Building, 1230 Ave of the Americas at Rockefeller Center, NYC, NY, 10032</t>
  </si>
  <si>
    <t>Mick Leconte</t>
  </si>
  <si>
    <t>Mick Leconte Photography</t>
  </si>
  <si>
    <t>917 686 7493</t>
  </si>
  <si>
    <t>Simon &amp; Schuster Building, 1230 Ave of the Americas at Rockefeller Center, NYC, NY, 10033</t>
  </si>
  <si>
    <t>Peter Karoczkai</t>
  </si>
  <si>
    <t>Gotham Cloud</t>
  </si>
  <si>
    <t>Simon &amp; Schuster Building, 1230 Ave of the Americas at Rockefeller Center, NYC, NY, 10034</t>
  </si>
  <si>
    <t>Robert Henry</t>
  </si>
  <si>
    <t>ServiceMaster Clean</t>
  </si>
  <si>
    <t>Simon &amp; Schuster Building, 1230 Ave of the Americas at Rockefeller Center, NYC, NY, 10035</t>
  </si>
  <si>
    <t>Sam Shlivko</t>
  </si>
  <si>
    <t>Shlivko Giancola LLC</t>
  </si>
  <si>
    <t>(212) 888-6601</t>
  </si>
  <si>
    <t>Simon &amp; Schuster Building, 1230 Ave of the Americas at Rockefeller Center, NYC, NY, 10036</t>
  </si>
  <si>
    <t>Stephanie L. Weiss</t>
  </si>
  <si>
    <t>Brooklyn Digital Boost</t>
  </si>
  <si>
    <t>Simon &amp; Schuster Building, 1230 Ave of the Americas at Rockefeller Center, NYC, NY, 10037</t>
  </si>
  <si>
    <t>Stewart Miller</t>
  </si>
  <si>
    <t>+16466167932</t>
  </si>
  <si>
    <t>Simon &amp; Schuster Building, 1230 Ave of the Americas at Rockefeller Center, NYC, NY, 10038</t>
  </si>
  <si>
    <t>Walter Cullispuma</t>
  </si>
  <si>
    <t>W3M Inc</t>
  </si>
  <si>
    <t>347 806 0037</t>
  </si>
  <si>
    <t>Manhattan 11 - Millennium</t>
  </si>
  <si>
    <t>Schwartz Sladkus Reich Greenberg Atlas LLP, 444 Madison Avenue, Bet 49th &amp; 50th St., NYC, NY, 10022</t>
  </si>
  <si>
    <t>Alex Alexandrov</t>
  </si>
  <si>
    <t>Atlas Builders LLC</t>
  </si>
  <si>
    <t>Event &amp; Business Service &gt; Corporate Events</t>
  </si>
  <si>
    <t>(516) 382-0645</t>
  </si>
  <si>
    <t>Schwartz Sladkus Reich Greenberg Atlas LLP, 444 Madison Avenue, Bet 49th &amp; 50th St., NYC, NY, 10023</t>
  </si>
  <si>
    <t>Angel Pimentel</t>
  </si>
  <si>
    <t>Lightning Junk Removal</t>
  </si>
  <si>
    <t>Real Estate Services &gt; Waste Disposal</t>
  </si>
  <si>
    <t>718-737-7161</t>
  </si>
  <si>
    <t>Schwartz Sladkus Reich Greenberg Atlas LLP, 444 Madison Avenue, Bet 49th &amp; 50th St., NYC, NY, 10024</t>
  </si>
  <si>
    <t>Anna Villa-Bager</t>
  </si>
  <si>
    <t>MarbleJam Kids Inc.</t>
  </si>
  <si>
    <t>Schwartz Sladkus Reich Greenberg Atlas LLP, 444 Madison Avenue, Bet 49th &amp; 50th St., NYC, NY, 10025</t>
  </si>
  <si>
    <t>Cecile Caer</t>
  </si>
  <si>
    <t>917-340-6456</t>
  </si>
  <si>
    <t>Schwartz Sladkus Reich Greenberg Atlas LLP, 444 Madison Avenue, Bet 49th &amp; 50th St., NYC, NY, 10026</t>
  </si>
  <si>
    <t>Cynthia Peacock</t>
  </si>
  <si>
    <t>Real Broker LLC</t>
  </si>
  <si>
    <t>Schwartz Sladkus Reich Greenberg Atlas LLP, 444 Madison Avenue, Bet 49th &amp; 50th St., NYC, NY, 10027</t>
  </si>
  <si>
    <t>Daniel O'Connor</t>
  </si>
  <si>
    <t>Daniel O'Connor Architects</t>
  </si>
  <si>
    <t>212 685 0472</t>
  </si>
  <si>
    <t>Schwartz Sladkus Reich Greenberg Atlas LLP, 444 Madison Avenue, Bet 49th &amp; 50th St., NYC, NY, 10028</t>
  </si>
  <si>
    <t>David Drucker</t>
  </si>
  <si>
    <t>Highresolution Printing and Packaging</t>
  </si>
  <si>
    <t>Advertising &amp; Marketing &gt; Printer - Digital</t>
  </si>
  <si>
    <t>732 740 0560</t>
  </si>
  <si>
    <t>Schwartz Sladkus Reich Greenberg Atlas LLP, 444 Madison Avenue, Bet 49th &amp; 50th St., NYC, NY, 10029</t>
  </si>
  <si>
    <t>David Lee</t>
  </si>
  <si>
    <t>Popular Bank</t>
  </si>
  <si>
    <t>Schwartz Sladkus Reich Greenberg Atlas LLP, 444 Madison Avenue, Bet 49th &amp; 50th St., NYC, NY, 10030</t>
  </si>
  <si>
    <t>David Ofsie</t>
  </si>
  <si>
    <t>CARJOY</t>
  </si>
  <si>
    <t>516-260-8595</t>
  </si>
  <si>
    <t>Schwartz Sladkus Reich Greenberg Atlas LLP, 444 Madison Avenue, Bet 49th &amp; 50th St., NYC, NY, 10031</t>
  </si>
  <si>
    <t>Elise Langsam</t>
  </si>
  <si>
    <t>Langsam Law LLP</t>
  </si>
  <si>
    <t>Schwartz Sladkus Reich Greenberg Atlas LLP, 444 Madison Avenue, Bet 49th &amp; 50th St., NYC, NY, 10032</t>
  </si>
  <si>
    <t>Erica Cohen</t>
  </si>
  <si>
    <t>Cohen Residential</t>
  </si>
  <si>
    <t>Schwartz Sladkus Reich Greenberg Atlas LLP, 444 Madison Avenue, Bet 49th &amp; 50th St., NYC, NY, 10033</t>
  </si>
  <si>
    <t>Erin Silber</t>
  </si>
  <si>
    <t>Erin Silber Photography</t>
  </si>
  <si>
    <t>929 295 1983</t>
  </si>
  <si>
    <t>Schwartz Sladkus Reich Greenberg Atlas LLP, 444 Madison Avenue, Bet 49th &amp; 50th St., NYC, NY, 10034</t>
  </si>
  <si>
    <t>Glenn Busch</t>
  </si>
  <si>
    <t>Busch &amp; Associates</t>
  </si>
  <si>
    <t>212 661 3600</t>
  </si>
  <si>
    <t>Schwartz Sladkus Reich Greenberg Atlas LLP, 444 Madison Avenue, Bet 49th &amp; 50th St., NYC, NY, 10035</t>
  </si>
  <si>
    <t>Greg Vabre</t>
  </si>
  <si>
    <t>212 316 3228</t>
  </si>
  <si>
    <t>Schwartz Sladkus Reich Greenberg Atlas LLP, 444 Madison Avenue, Bet 49th &amp; 50th St., NYC, NY, 10036</t>
  </si>
  <si>
    <t>Helene Pangalos</t>
  </si>
  <si>
    <t>Law Office of Helene Pangalos PC</t>
  </si>
  <si>
    <t>Schwartz Sladkus Reich Greenberg Atlas LLP, 444 Madison Avenue, Bet 49th &amp; 50th St., NYC, NY, 10037</t>
  </si>
  <si>
    <t>Ilan Weiser</t>
  </si>
  <si>
    <t>Ellenoff Grossman &amp; Schole LLP</t>
  </si>
  <si>
    <t>Schwartz Sladkus Reich Greenberg Atlas LLP, 444 Madison Avenue, Bet 49th &amp; 50th St., NYC, NY, 10038</t>
  </si>
  <si>
    <t>James Lombardo Jr.</t>
  </si>
  <si>
    <t>Managing Director Clear Ocean Capital Advisors - Ameriprise Financial Services LLC</t>
  </si>
  <si>
    <t>Schwartz Sladkus Reich Greenberg Atlas LLP, 444 Madison Avenue, Bet 49th &amp; 50th St., NYC, NY, 10039</t>
  </si>
  <si>
    <t>Jared Stavsky</t>
  </si>
  <si>
    <t>Fine Dental</t>
  </si>
  <si>
    <t>Schwartz Sladkus Reich Greenberg Atlas LLP, 444 Madison Avenue, Bet 49th &amp; 50th St., NYC, NY, 10040</t>
  </si>
  <si>
    <t>Jason Ritchie</t>
  </si>
  <si>
    <t>HSBC</t>
  </si>
  <si>
    <t>Schwartz Sladkus Reich Greenberg Atlas LLP, 444 Madison Avenue, Bet 49th &amp; 50th St., NYC, NY, 10041</t>
  </si>
  <si>
    <t>Jason Wang</t>
  </si>
  <si>
    <t>646-265-5300</t>
  </si>
  <si>
    <t>Schwartz Sladkus Reich Greenberg Atlas LLP, 444 Madison Avenue, Bet 49th &amp; 50th St., NYC, NY, 10042</t>
  </si>
  <si>
    <t>John Serrano</t>
  </si>
  <si>
    <t>Serrgroup</t>
  </si>
  <si>
    <t>Schwartz Sladkus Reich Greenberg Atlas LLP, 444 Madison Avenue, Bet 49th &amp; 50th St., NYC, NY, 10043</t>
  </si>
  <si>
    <t>Jon Fiorella</t>
  </si>
  <si>
    <t>TriNet HR</t>
  </si>
  <si>
    <t>Schwartz Sladkus Reich Greenberg Atlas LLP, 444 Madison Avenue, Bet 49th &amp; 50th St., NYC, NY, 10044</t>
  </si>
  <si>
    <t>Ken Williams</t>
  </si>
  <si>
    <t>SeBriN Technology Inc</t>
  </si>
  <si>
    <t>Consulting &gt; Business Advisor</t>
  </si>
  <si>
    <t>Schwartz Sladkus Reich Greenberg Atlas LLP, 444 Madison Avenue, Bet 49th &amp; 50th St., NYC, NY, 10045</t>
  </si>
  <si>
    <t>Larry Morrison</t>
  </si>
  <si>
    <t>Morrison Tenenbaum PLLC</t>
  </si>
  <si>
    <t>347-236-2895</t>
  </si>
  <si>
    <t>Schwartz Sladkus Reich Greenberg Atlas LLP, 444 Madison Avenue, Bet 49th &amp; 50th St., NYC, NY, 10046</t>
  </si>
  <si>
    <t>Lora Sappenfield</t>
  </si>
  <si>
    <t>Lumina Skin</t>
  </si>
  <si>
    <t>Personal Services &gt; Cosmetics/Skin Care</t>
  </si>
  <si>
    <t>646 342-5146</t>
  </si>
  <si>
    <t>Schwartz Sladkus Reich Greenberg Atlas LLP, 444 Madison Avenue, Bet 49th &amp; 50th St., NYC, NY, 10047</t>
  </si>
  <si>
    <t>Matthew Kesten</t>
  </si>
  <si>
    <t>212-743-7029</t>
  </si>
  <si>
    <t>Schwartz Sladkus Reich Greenberg Atlas LLP, 444 Madison Avenue, Bet 49th &amp; 50th St., NYC, NY, 10048</t>
  </si>
  <si>
    <t>Michael Farber</t>
  </si>
  <si>
    <t>Farber Schneider Ferrari LLP</t>
  </si>
  <si>
    <t>Schwartz Sladkus Reich Greenberg Atlas LLP, 444 Madison Avenue, Bet 49th &amp; 50th St., NYC, NY, 10049</t>
  </si>
  <si>
    <t>Michael Kanjo</t>
  </si>
  <si>
    <t>LMC CPAs</t>
  </si>
  <si>
    <t>Legal &amp; Accounting &gt; Auditor</t>
  </si>
  <si>
    <t>212-819-8054</t>
  </si>
  <si>
    <t>Schwartz Sladkus Reich Greenberg Atlas LLP, 444 Madison Avenue, Bet 49th &amp; 50th St., NYC, NY, 10050</t>
  </si>
  <si>
    <t>Miles Ramboyong</t>
  </si>
  <si>
    <t>SGU Consulting</t>
  </si>
  <si>
    <t>Schwartz Sladkus Reich Greenberg Atlas LLP, 444 Madison Avenue, Bet 49th &amp; 50th St., NYC, NY, 10051</t>
  </si>
  <si>
    <t>Naomi Halpern</t>
  </si>
  <si>
    <t>PromoShop</t>
  </si>
  <si>
    <t>Schwartz Sladkus Reich Greenberg Atlas LLP, 444 Madison Avenue, Bet 49th &amp; 50th St., NYC, NY, 10052</t>
  </si>
  <si>
    <t>Neha Bhalani</t>
  </si>
  <si>
    <t>Chiesa Shahinian &amp; Giantomasi PC</t>
  </si>
  <si>
    <t>Schwartz Sladkus Reich Greenberg Atlas LLP, 444 Madison Avenue, Bet 49th &amp; 50th St., NYC, NY, 10053</t>
  </si>
  <si>
    <t>Neil Miller</t>
  </si>
  <si>
    <t>Neil Miller Consulting</t>
  </si>
  <si>
    <t>Schwartz Sladkus Reich Greenberg Atlas LLP, 444 Madison Avenue, Bet 49th &amp; 50th St., NYC, NY, 10054</t>
  </si>
  <si>
    <t>Norma-Jean Lopez</t>
  </si>
  <si>
    <t>Kingsway Inc.</t>
  </si>
  <si>
    <t>Schwartz Sladkus Reich Greenberg Atlas LLP, 444 Madison Avenue, Bet 49th &amp; 50th St., NYC, NY, 10055</t>
  </si>
  <si>
    <t>Oren Adler</t>
  </si>
  <si>
    <t>Gideon Adler &amp; Co. CPAs</t>
  </si>
  <si>
    <t>201 791-6696</t>
  </si>
  <si>
    <t>Schwartz Sladkus Reich Greenberg Atlas LLP, 444 Madison Avenue, Bet 49th &amp; 50th St., NYC, NY, 10056</t>
  </si>
  <si>
    <t>Patrick Sasso</t>
  </si>
  <si>
    <t>Podcast On The Fly</t>
  </si>
  <si>
    <t>Advertising &amp; Marketing &gt; Podcasts</t>
  </si>
  <si>
    <t>Schwartz Sladkus Reich Greenberg Atlas LLP, 444 Madison Avenue, Bet 49th &amp; 50th St., NYC, NY, 10057</t>
  </si>
  <si>
    <t>Rick Biolsi</t>
  </si>
  <si>
    <t>Bartley &amp; Dick - Advertising &amp; Design</t>
  </si>
  <si>
    <t>Schwartz Sladkus Reich Greenberg Atlas LLP, 444 Madison Avenue, Bet 49th &amp; 50th St., NYC, NY, 10058</t>
  </si>
  <si>
    <t>Seth Fried</t>
  </si>
  <si>
    <t>Hub International Insurance Agency</t>
  </si>
  <si>
    <t>917-733-3653</t>
  </si>
  <si>
    <t>Schwartz Sladkus Reich Greenberg Atlas LLP, 444 Madison Avenue, Bet 49th &amp; 50th St., NYC, NY, 10059</t>
  </si>
  <si>
    <t>Shabir Ahmad</t>
  </si>
  <si>
    <t>SMY Solutions</t>
  </si>
  <si>
    <t>Schwartz Sladkus Reich Greenberg Atlas LLP, 444 Madison Avenue, Bet 49th &amp; 50th St., NYC, NY, 10060</t>
  </si>
  <si>
    <t>Stephen Goldstein</t>
  </si>
  <si>
    <t>Law Office of Stephen Mark Goldstein</t>
  </si>
  <si>
    <t>Schwartz Sladkus Reich Greenberg Atlas LLP, 444 Madison Avenue, Bet 49th &amp; 50th St., NYC, NY, 10061</t>
  </si>
  <si>
    <t>Susan Salter</t>
  </si>
  <si>
    <t>Life Styled By Susan</t>
  </si>
  <si>
    <t>Schwartz Sladkus Reich Greenberg Atlas LLP, 444 Madison Avenue, Bet 49th &amp; 50th St., NYC, NY, 10062</t>
  </si>
  <si>
    <t>Todd Cymbol</t>
  </si>
  <si>
    <t>Kensington Vanguard National Land Services</t>
  </si>
  <si>
    <t>Real Estate &gt; Title Service</t>
  </si>
  <si>
    <t>917 748-7703</t>
  </si>
  <si>
    <t>Schwartz Sladkus Reich Greenberg Atlas LLP, 444 Madison Avenue, Bet 49th &amp; 50th St., NYC, NY, 10063</t>
  </si>
  <si>
    <t>Todd Parker</t>
  </si>
  <si>
    <t>212 536-7716</t>
  </si>
  <si>
    <t xml:space="preserve">Manhattan 07
</t>
  </si>
  <si>
    <t>Citizens Bank - 437 Madison, 437 Madison Avenue - 18th Floor, New York, NY, 10022</t>
  </si>
  <si>
    <t>Agnieszka Chomicz-Grabowska</t>
  </si>
  <si>
    <t>Citizens Bank - 437 Madison, 437 Madison Avenue - 18th Floor, New York, NY, 10023</t>
  </si>
  <si>
    <t>Bill Allen</t>
  </si>
  <si>
    <t>William C. Allen Insurance Agency</t>
  </si>
  <si>
    <t>516 881-4422</t>
  </si>
  <si>
    <t>Citizens Bank - 437 Madison, 437 Madison Avenue - 18th Floor, New York, NY, 10024</t>
  </si>
  <si>
    <t>Chirag Mody</t>
  </si>
  <si>
    <t>(646) 750-3053</t>
  </si>
  <si>
    <t>Citizens Bank - 437 Madison, 437 Madison Avenue - 18th Floor, New York, NY, 10025</t>
  </si>
  <si>
    <t>Connor Jamsion</t>
  </si>
  <si>
    <t>Strategies for Wealth</t>
  </si>
  <si>
    <t>Citizens Bank - 437 Madison, 437 Madison Avenue - 18th Floor, New York, NY, 10026</t>
  </si>
  <si>
    <t>Howard Globus</t>
  </si>
  <si>
    <t>IT On Demand</t>
  </si>
  <si>
    <t>212-235-0266</t>
  </si>
  <si>
    <t>Citizens Bank - 437 Madison, 437 Madison Avenue - 18th Floor, New York, NY, 10027</t>
  </si>
  <si>
    <t>James Rubinowitz</t>
  </si>
  <si>
    <t>Rubinowitz Law Firm P.C.</t>
  </si>
  <si>
    <t>Citizens Bank - 437 Madison, 437 Madison Avenue - 18th Floor, New York, NY, 10028</t>
  </si>
  <si>
    <t>Jason Kapoor</t>
  </si>
  <si>
    <t>ASK Abstract</t>
  </si>
  <si>
    <t>301 351 9193</t>
  </si>
  <si>
    <t>Citizens Bank - 437 Madison, 437 Madison Avenue - 18th Floor, New York, NY, 10029</t>
  </si>
  <si>
    <t>Jessica Allen</t>
  </si>
  <si>
    <t>D Books</t>
  </si>
  <si>
    <t>314-368-4083</t>
  </si>
  <si>
    <t>Citizens Bank - 437 Madison, 437 Madison Avenue - 18th Floor, New York, NY, 10030</t>
  </si>
  <si>
    <t>Jessica DeLeon-Delfin</t>
  </si>
  <si>
    <t>SLR Real Estate</t>
  </si>
  <si>
    <t>(201) 294-0964</t>
  </si>
  <si>
    <t>Citizens Bank - 437 Madison, 437 Madison Avenue - 18th Floor, New York, NY, 10031</t>
  </si>
  <si>
    <t>Paul Cole</t>
  </si>
  <si>
    <t>Citizens Bank - 437 Madison, 437 Madison Avenue - 18th Floor, New York, NY, 10032</t>
  </si>
  <si>
    <t>Ralph Kassin</t>
  </si>
  <si>
    <t>Federated Tax Service Inc.</t>
  </si>
  <si>
    <t>Citizens Bank - 437 Madison, 437 Madison Avenue - 18th Floor, New York, NY, 10033</t>
  </si>
  <si>
    <t>Robert Soler</t>
  </si>
  <si>
    <t>212 701 2539</t>
  </si>
  <si>
    <t>Citizens Bank - 437 Madison, 437 Madison Avenue - 18th Floor, New York, NY, 10034</t>
  </si>
  <si>
    <t>Robert J. Smith</t>
  </si>
  <si>
    <t>Law Office of Robert J. Smith</t>
  </si>
  <si>
    <t>917-757-6866</t>
  </si>
  <si>
    <t xml:space="preserve">Manhattan 32 - We Mean, Business
</t>
  </si>
  <si>
    <t xml:space="preserve">Citizens Bank - 437 Madison, 437 Madison Avenue - 18th Floor, New York, NY, 10022
</t>
  </si>
  <si>
    <t>Annie Cavlov</t>
  </si>
  <si>
    <t>Debra Seaton</t>
  </si>
  <si>
    <t>Newmark Title Services LLC</t>
  </si>
  <si>
    <t>917 520 9959</t>
  </si>
  <si>
    <t>Jamie Heinlien</t>
  </si>
  <si>
    <t>(646) 337-8200</t>
  </si>
  <si>
    <t>Joey Antar</t>
  </si>
  <si>
    <t>718 288 1692</t>
  </si>
  <si>
    <t>Kenny Sumsky</t>
  </si>
  <si>
    <t>PKF O'Connor Davies</t>
  </si>
  <si>
    <t>(332) 910-7951</t>
  </si>
  <si>
    <t>Kris Li</t>
  </si>
  <si>
    <t>+1 (412) 638-2966</t>
  </si>
  <si>
    <t>Laiby Klein</t>
  </si>
  <si>
    <t>Oak Tree Insurance</t>
  </si>
  <si>
    <t>718 514 7288</t>
  </si>
  <si>
    <t>Lawrence Chaifetz</t>
  </si>
  <si>
    <t>Chaifetz &amp; Chaifetz</t>
  </si>
  <si>
    <t>Lee Smathers</t>
  </si>
  <si>
    <t>Lee Smathers Photography</t>
  </si>
  <si>
    <t>Mickey Laniado</t>
  </si>
  <si>
    <t>Planning Alliance</t>
  </si>
  <si>
    <t>Nicolas Zapata</t>
  </si>
  <si>
    <t>NiZa Works</t>
  </si>
  <si>
    <t>646 4903033</t>
  </si>
  <si>
    <t>Taylor Chaplin</t>
  </si>
  <si>
    <t>212-626-8564</t>
  </si>
  <si>
    <t xml:space="preserve">Manhattan 54
</t>
  </si>
  <si>
    <t>The Kimberly Hotel, 145 East 50th Street, Bet 3rd &amp; Lex Avenue, New York, NY, 10022</t>
  </si>
  <si>
    <t>Ankit Kapoor</t>
  </si>
  <si>
    <t>Cohen Stine Kapoor</t>
  </si>
  <si>
    <t>646 763 3833</t>
  </si>
  <si>
    <t>The Kimberly Hotel, 145 East 50th Street, Bet 3rd &amp; Lex Avenue, New York, NY, 10023</t>
  </si>
  <si>
    <t>Breege Rohan</t>
  </si>
  <si>
    <t>917-885-7040</t>
  </si>
  <si>
    <t>The Kimberly Hotel, 145 East 50th Street, Bet 3rd &amp; Lex Avenue, New York, NY, 10024</t>
  </si>
  <si>
    <t>Chance Kelly</t>
  </si>
  <si>
    <t>Prospect Development Corp.</t>
  </si>
  <si>
    <t>914-560-6566</t>
  </si>
  <si>
    <t>The Kimberly Hotel, 145 East 50th Street, Bet 3rd &amp; Lex Avenue, New York, NY, 10025</t>
  </si>
  <si>
    <t>Edward Smolka</t>
  </si>
  <si>
    <t>Edward R. Smolka</t>
  </si>
  <si>
    <t>212 689-6060</t>
  </si>
  <si>
    <t>The Kimberly Hotel, 145 East 50th Street, Bet 3rd &amp; Lex Avenue, New York, NY, 10026</t>
  </si>
  <si>
    <t>Eugene Rodriguez</t>
  </si>
  <si>
    <t>Webster bank</t>
  </si>
  <si>
    <t>The Kimberly Hotel, 145 East 50th Street, Bet 3rd &amp; Lex Avenue, New York, NY, 10027</t>
  </si>
  <si>
    <t>Harriet Erskine-Joseph</t>
  </si>
  <si>
    <t>Interiors by Harriet</t>
  </si>
  <si>
    <t>347 843 0681</t>
  </si>
  <si>
    <t>The Kimberly Hotel, 145 East 50th Street, Bet 3rd &amp; Lex Avenue, New York, NY, 10028</t>
  </si>
  <si>
    <t>Jason Alicea</t>
  </si>
  <si>
    <t>Well Psychotherapy</t>
  </si>
  <si>
    <t>The Kimberly Hotel, 145 East 50th Street, Bet 3rd &amp; Lex Avenue, New York, NY, 10029</t>
  </si>
  <si>
    <t>John O'Gara</t>
  </si>
  <si>
    <t>John O'Gara Esq PC</t>
  </si>
  <si>
    <t>The Kimberly Hotel, 145 East 50th Street, Bet 3rd &amp; Lex Avenue, New York, NY, 10030</t>
  </si>
  <si>
    <t>Keith Furer</t>
  </si>
  <si>
    <t>Guardhill Financial LLC</t>
  </si>
  <si>
    <t>The Kimberly Hotel, 145 East 50th Street, Bet 3rd &amp; Lex Avenue, New York, NY, 10031</t>
  </si>
  <si>
    <t>Marcela Barraza</t>
  </si>
  <si>
    <t>MB Green Cleaning</t>
  </si>
  <si>
    <t>646 238 9576</t>
  </si>
  <si>
    <t>The Kimberly Hotel, 145 East 50th Street, Bet 3rd &amp; Lex Avenue, New York, NY, 10032</t>
  </si>
  <si>
    <t>Ravee Shrinivas</t>
  </si>
  <si>
    <t>BergerCPA First</t>
  </si>
  <si>
    <t>(917) 607 1900</t>
  </si>
  <si>
    <t>The Kimberly Hotel, 145 East 50th Street, Bet 3rd &amp; Lex Avenue, New York, NY, 10033</t>
  </si>
  <si>
    <t>Rebecca Buchanan</t>
  </si>
  <si>
    <t>917 882 9533</t>
  </si>
  <si>
    <t>The Kimberly Hotel, 145 East 50th Street, Bet 3rd &amp; Lex Avenue, New York, NY, 10034</t>
  </si>
  <si>
    <t>Richard Langsam</t>
  </si>
  <si>
    <t>Langsam Law</t>
  </si>
  <si>
    <t>917-922-6929</t>
  </si>
  <si>
    <t>The Kimberly Hotel, 145 East 50th Street, Bet 3rd &amp; Lex Avenue, New York, NY, 10035</t>
  </si>
  <si>
    <t>Stephane Avouac</t>
  </si>
  <si>
    <t>917 244-2308</t>
  </si>
  <si>
    <t>The Kimberly Hotel, 145 East 50th Street, Bet 3rd &amp; Lex Avenue, New York, NY, 10036</t>
  </si>
  <si>
    <t>Thomas Regalbuto</t>
  </si>
  <si>
    <t>Platinum Resources</t>
  </si>
  <si>
    <t>The Kimberly Hotel, 145 East 50th Street, Bet 3rd &amp; Lex Avenue, New York, NY, 10037</t>
  </si>
  <si>
    <t>Todd Feldman</t>
  </si>
  <si>
    <t>212 626 8663</t>
  </si>
  <si>
    <t xml:space="preserve">Manhattan 02
</t>
  </si>
  <si>
    <t>Zoom Online Meeting, Access by Computer or Phone, New York, NY, 10021</t>
  </si>
  <si>
    <t>Adam Paskoff</t>
  </si>
  <si>
    <t>Paskoff &amp; Tamber</t>
  </si>
  <si>
    <t>Zoom Online Meeting, Access by Computer or Phone, New York, NY, 10022</t>
  </si>
  <si>
    <t>Amanda Rieben</t>
  </si>
  <si>
    <t>Abrams Fensterman</t>
  </si>
  <si>
    <t>Zoom Online Meeting, Access by Computer or Phone, New York, NY, 10023</t>
  </si>
  <si>
    <t>Bansi Kachalia</t>
  </si>
  <si>
    <t>516 395-3399</t>
  </si>
  <si>
    <t>Zoom Online Meeting, Access by Computer or Phone, New York, NY, 10024</t>
  </si>
  <si>
    <t>Belinda Jackson</t>
  </si>
  <si>
    <t>Prosell International</t>
  </si>
  <si>
    <t>646-256-2250</t>
  </si>
  <si>
    <t>Zoom Online Meeting, Access by Computer or Phone, New York, NY, 10025</t>
  </si>
  <si>
    <t>Cabot Marks</t>
  </si>
  <si>
    <t>Cabot J. Marks</t>
  </si>
  <si>
    <t>212 370-4477</t>
  </si>
  <si>
    <t>Zoom Online Meeting, Access by Computer or Phone, New York, NY, 10026</t>
  </si>
  <si>
    <t>Carlos Dolmo</t>
  </si>
  <si>
    <t>(347)681-5366</t>
  </si>
  <si>
    <t>Zoom Online Meeting, Access by Computer or Phone, New York, NY, 10027</t>
  </si>
  <si>
    <t>Charles Vorbach</t>
  </si>
  <si>
    <t>John L. Vorbach Company</t>
  </si>
  <si>
    <t>212 825 1162</t>
  </si>
  <si>
    <t>Zoom Online Meeting, Access by Computer or Phone, New York, NY, 10028</t>
  </si>
  <si>
    <t>Daquan Hawkins</t>
  </si>
  <si>
    <t>LBX Sports Inc.</t>
  </si>
  <si>
    <t>Zoom Online Meeting, Access by Computer or Phone, New York, NY, 10029</t>
  </si>
  <si>
    <t>Eamon Walsh</t>
  </si>
  <si>
    <t>McGowan Financial Group</t>
  </si>
  <si>
    <t>Zoom Online Meeting, Access by Computer or Phone, New York, NY, 10030</t>
  </si>
  <si>
    <t>Ethan Karavani</t>
  </si>
  <si>
    <t>Centerstone Property Group</t>
  </si>
  <si>
    <t>Zoom Online Meeting, Access by Computer or Phone, New York, NY, 10031</t>
  </si>
  <si>
    <t>Jacob Letowsky NMLS ID 460195</t>
  </si>
  <si>
    <t>Zoom Online Meeting, Access by Computer or Phone, New York, NY, 10032</t>
  </si>
  <si>
    <t>Jaime Jimenez</t>
  </si>
  <si>
    <t>Interact Marketing</t>
  </si>
  <si>
    <t>845-567-7703 x333</t>
  </si>
  <si>
    <t>Zoom Online Meeting, Access by Computer or Phone, New York, NY, 10033</t>
  </si>
  <si>
    <t>Jonathan Schachter</t>
  </si>
  <si>
    <t>Delta Vega</t>
  </si>
  <si>
    <t>917 856 5554</t>
  </si>
  <si>
    <t>Zoom Online Meeting, Access by Computer or Phone, New York, NY, 10034</t>
  </si>
  <si>
    <t>Karim Wahib</t>
  </si>
  <si>
    <t>FixCare Direct Health Ins.</t>
  </si>
  <si>
    <t>(917) 495-3858</t>
  </si>
  <si>
    <t>Zoom Online Meeting, Access by Computer or Phone, New York, NY, 10035</t>
  </si>
  <si>
    <t>Nicole Israel</t>
  </si>
  <si>
    <t>Nicole Israel Law</t>
  </si>
  <si>
    <t>Zoom Online Meeting, Access by Computer or Phone, New York, NY, 10036</t>
  </si>
  <si>
    <t>Ralph Andrews</t>
  </si>
  <si>
    <t>Andrews &amp; Leung</t>
  </si>
  <si>
    <t>888-202-2285</t>
  </si>
  <si>
    <t>Zoom Online Meeting, Access by Computer or Phone, New York, NY, 10037</t>
  </si>
  <si>
    <t>Stephen Bruno</t>
  </si>
  <si>
    <t>Bruno CPA &amp; Associates</t>
  </si>
  <si>
    <t>914-743-3370</t>
  </si>
  <si>
    <t>Zoom Online Meeting, Access by Computer or Phone, New York, NY, 10038</t>
  </si>
  <si>
    <t>Victoria Rivera</t>
  </si>
  <si>
    <t>917 495 3858</t>
  </si>
  <si>
    <t>Zoom Online Meeting, Access by Computer or Phone, New York, NY, 10039</t>
  </si>
  <si>
    <t>Wendy Allegart</t>
  </si>
  <si>
    <t>Wendy Allegart LLC</t>
  </si>
  <si>
    <t>646-696-0288</t>
  </si>
  <si>
    <t>Zoom Online Meeting, Access by Computer or Phone, New York, NY, 10040</t>
  </si>
  <si>
    <t>Zak Weisberg</t>
  </si>
  <si>
    <t>Certain &amp; Zilberg</t>
  </si>
  <si>
    <t>(917) 620-5819</t>
  </si>
  <si>
    <t xml:space="preserve">Manhattan 04 - Business Builders
</t>
  </si>
  <si>
    <t>Alexander Kay</t>
  </si>
  <si>
    <t>631-880-1622</t>
  </si>
  <si>
    <t>Alexandre Zelinski</t>
  </si>
  <si>
    <t>917-488-8729</t>
  </si>
  <si>
    <t>Beth Gittleman</t>
  </si>
  <si>
    <t>Brad Kesler</t>
  </si>
  <si>
    <t>Paint Works</t>
  </si>
  <si>
    <t>+19173009870</t>
  </si>
  <si>
    <t>Chris LeBeau</t>
  </si>
  <si>
    <t>Daniel Eckman</t>
  </si>
  <si>
    <t>Home Inspect NY</t>
  </si>
  <si>
    <t>516-482-0900</t>
  </si>
  <si>
    <t>David Gouldstone</t>
  </si>
  <si>
    <t>Loan Depot</t>
  </si>
  <si>
    <t>212 351 8013</t>
  </si>
  <si>
    <t>David Luzon</t>
  </si>
  <si>
    <t>Barclay Damon LLP</t>
  </si>
  <si>
    <t>212 784-5827</t>
  </si>
  <si>
    <t>Donald Daly</t>
  </si>
  <si>
    <t>REIS Group</t>
  </si>
  <si>
    <t>212 213 2035</t>
  </si>
  <si>
    <t>Edward Andrews</t>
  </si>
  <si>
    <t>Andrews Real Estate Advisors</t>
  </si>
  <si>
    <t>(646) 764-8702</t>
  </si>
  <si>
    <t>Fred DaCosta</t>
  </si>
  <si>
    <t>LegalShield</t>
  </si>
  <si>
    <t>Legal &gt; Legal Services Plans</t>
  </si>
  <si>
    <t>347-203-2528</t>
  </si>
  <si>
    <t>James Addy</t>
  </si>
  <si>
    <t>L &amp; J Promotional Products</t>
  </si>
  <si>
    <t>212 933-0593</t>
  </si>
  <si>
    <t>Jeff Ruderman</t>
  </si>
  <si>
    <t>Times Union/Hearst Media Group</t>
  </si>
  <si>
    <t>518-424-0389</t>
  </si>
  <si>
    <t>Jennifer Cona</t>
  </si>
  <si>
    <t>ICC Automation</t>
  </si>
  <si>
    <t>Jennifer Trepeck</t>
  </si>
  <si>
    <t>Better life Now</t>
  </si>
  <si>
    <t>248 884 1056</t>
  </si>
  <si>
    <t>Joanne Saab</t>
  </si>
  <si>
    <t>Curated Travel</t>
  </si>
  <si>
    <t>John Occhiogrosso</t>
  </si>
  <si>
    <t>Segan</t>
  </si>
  <si>
    <t>Joseph Hastreiter</t>
  </si>
  <si>
    <t>EWH University for Small Business</t>
  </si>
  <si>
    <t>414-436-5810</t>
  </si>
  <si>
    <t>Kristin Palmeri</t>
  </si>
  <si>
    <t>Palmeri Law PLLC</t>
  </si>
  <si>
    <t>718-948-1721</t>
  </si>
  <si>
    <t>Lori Falk</t>
  </si>
  <si>
    <t>Individual Design</t>
  </si>
  <si>
    <t>212 410 6397</t>
  </si>
  <si>
    <t>Zoom Online Meeting, Access by Computer or Phone, New York, NY, 10041</t>
  </si>
  <si>
    <t>Matthew Halperin</t>
  </si>
  <si>
    <t>The Manhattan Agency</t>
  </si>
  <si>
    <t>+19177643234</t>
  </si>
  <si>
    <t>Zoom Online Meeting, Access by Computer or Phone, New York, NY, 10042</t>
  </si>
  <si>
    <t>Michael Wentzel</t>
  </si>
  <si>
    <t>Michael S. Wentzel Photography</t>
  </si>
  <si>
    <t>917-710-6967</t>
  </si>
  <si>
    <t>Zoom Online Meeting, Access by Computer or Phone, New York, NY, 10043</t>
  </si>
  <si>
    <t>Moji Onabanjo</t>
  </si>
  <si>
    <t>GV Legal</t>
  </si>
  <si>
    <t>212-210-1693</t>
  </si>
  <si>
    <t>Zoom Online Meeting, Access by Computer or Phone, New York, NY, 10044</t>
  </si>
  <si>
    <t>Natalie Acevedo</t>
  </si>
  <si>
    <t>Horizon Land Services of NY</t>
  </si>
  <si>
    <t>212 921 4141</t>
  </si>
  <si>
    <t>Zoom Online Meeting, Access by Computer or Phone, New York, NY, 10045</t>
  </si>
  <si>
    <t>Natasha Moskvina</t>
  </si>
  <si>
    <t>Moskvina Law</t>
  </si>
  <si>
    <t>212 946 2747</t>
  </si>
  <si>
    <t>Zoom Online Meeting, Access by Computer or Phone, New York, NY, 10046</t>
  </si>
  <si>
    <t>Nina Edwards</t>
  </si>
  <si>
    <t>nea studio</t>
  </si>
  <si>
    <t>Zoom Online Meeting, Access by Computer or Phone, New York, NY, 10047</t>
  </si>
  <si>
    <t>Paul Donas</t>
  </si>
  <si>
    <t>Zoom Online Meeting, Access by Computer or Phone, New York, NY, 10048</t>
  </si>
  <si>
    <t>Reilly Richardson</t>
  </si>
  <si>
    <t>DwellWell</t>
  </si>
  <si>
    <t>Consulting &gt; Professional Organizer</t>
  </si>
  <si>
    <t>Zoom Online Meeting, Access by Computer or Phone, New York, NY, 10049</t>
  </si>
  <si>
    <t>Samuel Rizzo</t>
  </si>
  <si>
    <t>Emerging Solutions</t>
  </si>
  <si>
    <t>212-391-4191</t>
  </si>
  <si>
    <t>Zoom Online Meeting, Access by Computer or Phone, New York, NY, 10050</t>
  </si>
  <si>
    <t>Sean Rosenfeld</t>
  </si>
  <si>
    <t>Risk Strategies</t>
  </si>
  <si>
    <t>516-336-5962</t>
  </si>
  <si>
    <t>Zoom Online Meeting, Access by Computer or Phone, New York, NY, 10051</t>
  </si>
  <si>
    <t>Sharon Neimanis</t>
  </si>
  <si>
    <t>Zoom Online Meeting, Access by Computer or Phone, New York, NY, 10052</t>
  </si>
  <si>
    <t>Thomas Newman</t>
  </si>
  <si>
    <t>Custom Associates Inc.</t>
  </si>
  <si>
    <t>917 270 0874</t>
  </si>
  <si>
    <t>Zoom Online Meeting, Access by Computer or Phone, New York, NY, 10053</t>
  </si>
  <si>
    <t>Thomas Toy</t>
  </si>
  <si>
    <t>212 246-2112</t>
  </si>
  <si>
    <t>Zoom Online Meeting, Access by Computer or Phone, New York, NY, 10054</t>
  </si>
  <si>
    <t>Zongyu Zhang</t>
  </si>
  <si>
    <t>+16465547357</t>
  </si>
  <si>
    <t xml:space="preserve">Manhattan 16 - Sweet 16
</t>
  </si>
  <si>
    <t>Alan Bennett</t>
  </si>
  <si>
    <t>Alan J. Bennett</t>
  </si>
  <si>
    <t>(212) 696-2116</t>
  </si>
  <si>
    <t>Allison Dolzani</t>
  </si>
  <si>
    <t>Julie Kessler LLP</t>
  </si>
  <si>
    <t>212-687-1466</t>
  </si>
  <si>
    <t>David Artis</t>
  </si>
  <si>
    <t>646-746-8950</t>
  </si>
  <si>
    <t>David A. Kaminsky</t>
  </si>
  <si>
    <t>David A. Kaminsky &amp; Associates P.C.</t>
  </si>
  <si>
    <t>(212) 571-1227</t>
  </si>
  <si>
    <t>EMINA VUKEL</t>
  </si>
  <si>
    <t>VUKEL GROUP INSURANCE</t>
  </si>
  <si>
    <t>718-267-1500</t>
  </si>
  <si>
    <t>Evan Attinger</t>
  </si>
  <si>
    <t>United Real Estate LLC</t>
  </si>
  <si>
    <t>Glenn Edelstein</t>
  </si>
  <si>
    <t>IDSAutoshred</t>
  </si>
  <si>
    <t>212 344 1010</t>
  </si>
  <si>
    <t>John Parisi</t>
  </si>
  <si>
    <t>Joseph Piras</t>
  </si>
  <si>
    <t>JSP Appraisal Services</t>
  </si>
  <si>
    <t>917-783-1787</t>
  </si>
  <si>
    <t>Keith Bebick</t>
  </si>
  <si>
    <t>Sessler Macklin LLP</t>
  </si>
  <si>
    <t>212 682-0660</t>
  </si>
  <si>
    <t>Keith Lulewich</t>
  </si>
  <si>
    <t>The Judicial Title Ins Agcy LLC</t>
  </si>
  <si>
    <t>917-733-8522</t>
  </si>
  <si>
    <t>Michael Caserta</t>
  </si>
  <si>
    <t>917 579 6773</t>
  </si>
  <si>
    <t>Noah Baum</t>
  </si>
  <si>
    <t>Merril Lynch</t>
  </si>
  <si>
    <t>+17326938384</t>
  </si>
  <si>
    <t>Rafael Torres</t>
  </si>
  <si>
    <t>Golden Bridge Capital</t>
  </si>
  <si>
    <t>Regan Wilders</t>
  </si>
  <si>
    <t>Wilders &amp; Co.</t>
  </si>
  <si>
    <t>Advertising &amp; Marketing &gt; Web Development</t>
  </si>
  <si>
    <t>Steve Millhollon</t>
  </si>
  <si>
    <t>Yogi Patel</t>
  </si>
  <si>
    <t>Outside Legal Counsel LLP</t>
  </si>
  <si>
    <t>212 729 4266</t>
  </si>
  <si>
    <t xml:space="preserve">Manhattan 27 - Business Before Breakfast
</t>
  </si>
  <si>
    <t>Location To Be Determined, Location To Be Determined, New York, NY, 10021</t>
  </si>
  <si>
    <t>Andrea Wolff</t>
  </si>
  <si>
    <t>Andrea Wolff Esq.</t>
  </si>
  <si>
    <t>Location To Be Determined, Location To Be Determined, New York, NY, 10022</t>
  </si>
  <si>
    <t>Arthur Mandell</t>
  </si>
  <si>
    <t>Mandell Associates</t>
  </si>
  <si>
    <t>347 244 1000</t>
  </si>
  <si>
    <t>Location To Be Determined, Location To Be Determined, New York, NY, 10023</t>
  </si>
  <si>
    <t>Chioma Onyekwere</t>
  </si>
  <si>
    <t>Core Seven</t>
  </si>
  <si>
    <t>Computer &amp; Programming &gt; Computer &amp; Programming (Other)</t>
  </si>
  <si>
    <t>Location To Be Determined, Location To Be Determined, New York, NY, 10024</t>
  </si>
  <si>
    <t>Daniela Olivares</t>
  </si>
  <si>
    <t>Location To Be Determined, Location To Be Determined, New York, NY, 10025</t>
  </si>
  <si>
    <t>David Dukoff</t>
  </si>
  <si>
    <t>212-967-7638</t>
  </si>
  <si>
    <t>Location To Be Determined, Location To Be Determined, New York, NY, 10026</t>
  </si>
  <si>
    <t>Igor Noble</t>
  </si>
  <si>
    <t>Great Northern Mortgage Corp.</t>
  </si>
  <si>
    <t>917-397-3000</t>
  </si>
  <si>
    <t>Location To Be Determined, Location To Be Determined, New York, NY, 10027</t>
  </si>
  <si>
    <t>Jackson Kerr</t>
  </si>
  <si>
    <t>Tesser Ryan &amp; Rochman</t>
  </si>
  <si>
    <t>212-754-9000</t>
  </si>
  <si>
    <t>Location To Be Determined, Location To Be Determined, New York, NY, 10028</t>
  </si>
  <si>
    <t>Jon Smilowitz</t>
  </si>
  <si>
    <t>212 7699827</t>
  </si>
  <si>
    <t>Location To Be Determined, Location To Be Determined, New York, NY, 10029</t>
  </si>
  <si>
    <t>Mariia Khorun</t>
  </si>
  <si>
    <t>Law Office of Mariia Khorun</t>
  </si>
  <si>
    <t>+19175121332</t>
  </si>
  <si>
    <t>Location To Be Determined, Location To Be Determined, New York, NY, 10030</t>
  </si>
  <si>
    <t>Mark Teitelbaum</t>
  </si>
  <si>
    <t>Ashirus llc</t>
  </si>
  <si>
    <t>201 645 5228</t>
  </si>
  <si>
    <t>Location To Be Determined, Location To Be Determined, New York, NY, 10031</t>
  </si>
  <si>
    <t>Max Cadet</t>
  </si>
  <si>
    <t>Location To Be Determined, Location To Be Determined, New York, NY, 10032</t>
  </si>
  <si>
    <t>Michael Vargetto</t>
  </si>
  <si>
    <t>+17325466799</t>
  </si>
  <si>
    <t>Location To Be Determined, Location To Be Determined, New York, NY, 10033</t>
  </si>
  <si>
    <t>Michael Rapps</t>
  </si>
  <si>
    <t>Rapps &amp; Associates</t>
  </si>
  <si>
    <t>516-342-3756</t>
  </si>
  <si>
    <t>Location To Be Determined, Location To Be Determined, New York, NY, 10034</t>
  </si>
  <si>
    <t>Mill Harris</t>
  </si>
  <si>
    <t>917 836 9161</t>
  </si>
  <si>
    <t>Location To Be Determined, Location To Be Determined, New York, NY, 10035</t>
  </si>
  <si>
    <t>Nicole Fiene</t>
  </si>
  <si>
    <t>516 728 7935</t>
  </si>
  <si>
    <t>Location To Be Determined, Location To Be Determined, New York, NY, 10036</t>
  </si>
  <si>
    <t>Orsolya Bartha</t>
  </si>
  <si>
    <t>Bartha Law</t>
  </si>
  <si>
    <t>+17186444071</t>
  </si>
  <si>
    <t>Location To Be Determined, Location To Be Determined, New York, NY, 10037</t>
  </si>
  <si>
    <t>Patrick Anarumo</t>
  </si>
  <si>
    <t>Madison Commercial Real Estate Services</t>
  </si>
  <si>
    <t>646 519 2565</t>
  </si>
  <si>
    <t>Location To Be Determined, Location To Be Determined, New York, NY, 10038</t>
  </si>
  <si>
    <t>Shoshanna Matatova</t>
  </si>
  <si>
    <t>Magendzo Law</t>
  </si>
  <si>
    <t>Location To Be Determined, Location To Be Determined, New York, NY, 10039</t>
  </si>
  <si>
    <t>Thomas Hollingsworth</t>
  </si>
  <si>
    <t>Location To Be Determined, Location To Be Determined, New York, NY, 10040</t>
  </si>
  <si>
    <t>Victor Deutsch</t>
  </si>
  <si>
    <t>Mister Promotion Inc.</t>
  </si>
  <si>
    <t>212-677-7666</t>
  </si>
  <si>
    <t>Location To Be Determined, Location To Be Determined, New York, NY, 10041</t>
  </si>
  <si>
    <t>Zeke Zimmerman</t>
  </si>
  <si>
    <t>CFS Certified Financial Services</t>
  </si>
  <si>
    <t xml:space="preserve">Manhattan 34 - Mighty 34
</t>
  </si>
  <si>
    <t>Anne Piecoro Gilsten</t>
  </si>
  <si>
    <t>Tripleten Bootcamp</t>
  </si>
  <si>
    <t>+1 (917) 841-5287</t>
  </si>
  <si>
    <t>Benjamin Wolf</t>
  </si>
  <si>
    <t>Jones</t>
  </si>
  <si>
    <t>646 459 7971</t>
  </si>
  <si>
    <t>Beth Broyles</t>
  </si>
  <si>
    <t>BBorganizing</t>
  </si>
  <si>
    <t>718-360-9935</t>
  </si>
  <si>
    <t>Brandon DeGraff</t>
  </si>
  <si>
    <t>Cushman &amp; Wakefield</t>
  </si>
  <si>
    <t>David Benedek</t>
  </si>
  <si>
    <t>BSD</t>
  </si>
  <si>
    <t>Dora Dmitriev</t>
  </si>
  <si>
    <t>Dora Dmitriev Design LLC</t>
  </si>
  <si>
    <t>Eman Abdur-Rahman</t>
  </si>
  <si>
    <t>Your Virtual Keeper</t>
  </si>
  <si>
    <t>Eric Leeb</t>
  </si>
  <si>
    <t>Whitehorse Home Solutions</t>
  </si>
  <si>
    <t>Event &amp; Business Service &gt; Event Venue/Room Rental</t>
  </si>
  <si>
    <t>Gerard Dunne</t>
  </si>
  <si>
    <t>Law Office of Gerard F. Dunne</t>
  </si>
  <si>
    <t>Jimmi Circosta</t>
  </si>
  <si>
    <t>Corcoran</t>
  </si>
  <si>
    <t>917-273-4723</t>
  </si>
  <si>
    <t>Monica Liang-Allen</t>
  </si>
  <si>
    <t>World Insurance Associates LLC</t>
  </si>
  <si>
    <t>646-494-1450</t>
  </si>
  <si>
    <t>Paul Babych</t>
  </si>
  <si>
    <t>R. Diego Velazquez</t>
  </si>
  <si>
    <t>Jaffe &amp; Velazquez</t>
  </si>
  <si>
    <t>212 809 7800</t>
  </si>
  <si>
    <t>Richard Goldstein NMLS IND 1374577 | CO 2072896</t>
  </si>
  <si>
    <t>Go Rascal</t>
  </si>
  <si>
    <t>917 855 2198</t>
  </si>
  <si>
    <t>Robert Russo</t>
  </si>
  <si>
    <t>Robert Russo &amp; Co.</t>
  </si>
  <si>
    <t>212-279-9800</t>
  </si>
  <si>
    <t>Sally Brooke-Smith</t>
  </si>
  <si>
    <t>Sally Brooke-Smith Chiropractic</t>
  </si>
  <si>
    <t>212 727 9799</t>
  </si>
  <si>
    <t>Sheri Wolfe</t>
  </si>
  <si>
    <t>Berkshire Hathaway HomesServices NY Properties (Westchester)</t>
  </si>
  <si>
    <t>917-693-8210</t>
  </si>
  <si>
    <t>Susanne Schropp</t>
  </si>
  <si>
    <t>Von Schropp</t>
  </si>
  <si>
    <t>212-633-2828</t>
  </si>
  <si>
    <t>Wayne Lee</t>
  </si>
  <si>
    <t>Zoran Prodanovic</t>
  </si>
  <si>
    <t>Ready Steady Cinema</t>
  </si>
  <si>
    <t xml:space="preserve">Manhattan 36 - Rise and Prosper
</t>
  </si>
  <si>
    <t>Alan Lustrin</t>
  </si>
  <si>
    <t>Lustrin &amp; Tetelman</t>
  </si>
  <si>
    <t>212 991 9590 X 11</t>
  </si>
  <si>
    <t>Andre Roland Castillo</t>
  </si>
  <si>
    <t>CBIZ Forensic Accounting Group</t>
  </si>
  <si>
    <t>212 790 5921</t>
  </si>
  <si>
    <t>Chris Gautieri</t>
  </si>
  <si>
    <t>Cliffco Mortgage Bankers</t>
  </si>
  <si>
    <t>914-384-1528</t>
  </si>
  <si>
    <t>David Stern</t>
  </si>
  <si>
    <t>Mathey &amp; Stern</t>
  </si>
  <si>
    <t>917 960 7534</t>
  </si>
  <si>
    <t>Diana Bianrosa</t>
  </si>
  <si>
    <t>Flushing Bank</t>
  </si>
  <si>
    <t>+16467659941</t>
  </si>
  <si>
    <t>Donna Zanger</t>
  </si>
  <si>
    <t>dbooks bookkeeping</t>
  </si>
  <si>
    <t>Eric Michael</t>
  </si>
  <si>
    <t>Atlas NYC Property Management</t>
  </si>
  <si>
    <t>718-768-8888</t>
  </si>
  <si>
    <t>Jane Becker</t>
  </si>
  <si>
    <t>J. B. Jewels</t>
  </si>
  <si>
    <t>212 923 3328</t>
  </si>
  <si>
    <t>Jason Albano</t>
  </si>
  <si>
    <t>Northwestern mutual</t>
  </si>
  <si>
    <t>516 454 5252</t>
  </si>
  <si>
    <t>Jeffrey Tucker</t>
  </si>
  <si>
    <t>JMT Communications</t>
  </si>
  <si>
    <t>Jim Farah</t>
  </si>
  <si>
    <t>Josh Goldberg</t>
  </si>
  <si>
    <t>Kayla Klinge</t>
  </si>
  <si>
    <t>(760) 525-5695</t>
  </si>
  <si>
    <t>Mariana Riobom</t>
  </si>
  <si>
    <t>Mariana Riobom Architecture</t>
  </si>
  <si>
    <t>Mary Torres</t>
  </si>
  <si>
    <t>Modern Spaces</t>
  </si>
  <si>
    <t>347 302 2100</t>
  </si>
  <si>
    <t>Melissa Colabella</t>
  </si>
  <si>
    <t>Westchester Realtor</t>
  </si>
  <si>
    <t>914-438-0139</t>
  </si>
  <si>
    <t>Nicole Tyler</t>
  </si>
  <si>
    <t>Tyler &amp; Martin LLC</t>
  </si>
  <si>
    <t>212 255 7604</t>
  </si>
  <si>
    <t>Richard Krasner</t>
  </si>
  <si>
    <t>Tower Abstract Services</t>
  </si>
  <si>
    <t>914 424-7243</t>
  </si>
  <si>
    <t>Ross Levine</t>
  </si>
  <si>
    <t>516-454-5258</t>
  </si>
  <si>
    <t>Sam Zungre</t>
  </si>
  <si>
    <t>Capstone NYC</t>
  </si>
  <si>
    <t>929 628 7535</t>
  </si>
  <si>
    <t>Sean Mathey</t>
  </si>
  <si>
    <t>917 667 3567</t>
  </si>
  <si>
    <t>Seth Hochman</t>
  </si>
  <si>
    <t>Seth Hochman Insurance Agency</t>
  </si>
  <si>
    <t>212 512-0524</t>
  </si>
  <si>
    <t>Virginia Richardson</t>
  </si>
  <si>
    <t>Virginia Mason Design</t>
  </si>
  <si>
    <t>William Wright</t>
  </si>
  <si>
    <t>Core Remastered</t>
  </si>
  <si>
    <t>646 645 1509</t>
  </si>
  <si>
    <t>Zack Tolmie</t>
  </si>
  <si>
    <t>212 559 2666</t>
  </si>
  <si>
    <t xml:space="preserve">Manhattan 48 - The Always Great 48
</t>
  </si>
  <si>
    <t>Andy Cheung</t>
  </si>
  <si>
    <t>(917) 731-1956</t>
  </si>
  <si>
    <t>Bridget Eichinger</t>
  </si>
  <si>
    <t>The Law Offices of Bridget T. Eichinger</t>
  </si>
  <si>
    <t>845-347-5676</t>
  </si>
  <si>
    <t>Claud Cornetti</t>
  </si>
  <si>
    <t>Clever Taxes</t>
  </si>
  <si>
    <t>201-648-5015</t>
  </si>
  <si>
    <t>Inqiyad Wahid</t>
  </si>
  <si>
    <t>M &amp; T Bank</t>
  </si>
  <si>
    <t>646 786-2000</t>
  </si>
  <si>
    <t>John Crane</t>
  </si>
  <si>
    <t>John M. Crane</t>
  </si>
  <si>
    <t>212 748 9477</t>
  </si>
  <si>
    <t>John J. Lynch</t>
  </si>
  <si>
    <t>Law Office of John J. Lynch</t>
  </si>
  <si>
    <t>917 287 0257</t>
  </si>
  <si>
    <t>Jonathan Trotman</t>
  </si>
  <si>
    <t>Vertex Security</t>
  </si>
  <si>
    <t>Security &amp; Investigation &gt; Security Systems</t>
  </si>
  <si>
    <t>Justin Brandel</t>
  </si>
  <si>
    <t>Law Offices of Justin D. Brandel</t>
  </si>
  <si>
    <t>646 522 8052</t>
  </si>
  <si>
    <t>Mel Reveil</t>
  </si>
  <si>
    <t>KCT Abstract LLC</t>
  </si>
  <si>
    <t>+1 (516) 410-0907</t>
  </si>
  <si>
    <t>Neil Tilbury</t>
  </si>
  <si>
    <t>917 312 4953</t>
  </si>
  <si>
    <t>Roger Makombo</t>
  </si>
  <si>
    <t>Roger Advisory Services</t>
  </si>
  <si>
    <t>212 931 8102</t>
  </si>
  <si>
    <t>Shawn McMaster</t>
  </si>
  <si>
    <t>603-391-9132</t>
  </si>
  <si>
    <t>Sibongile Yancy</t>
  </si>
  <si>
    <t>BHGRE Shore &amp; Country Properties</t>
  </si>
  <si>
    <t>(914)979-1733</t>
  </si>
  <si>
    <t>Steven D'Andrea</t>
  </si>
  <si>
    <t>Dipaola Financial Group</t>
  </si>
  <si>
    <t>914-837-8544</t>
  </si>
  <si>
    <t>Steven Hartstein</t>
  </si>
  <si>
    <t>FM</t>
  </si>
  <si>
    <t xml:space="preserve">Manhattan 64
</t>
  </si>
  <si>
    <t>Alan Markowitz</t>
  </si>
  <si>
    <t>Sandmark Realty</t>
  </si>
  <si>
    <t>Alix Bien-Aime</t>
  </si>
  <si>
    <t>Q6 Advisors</t>
  </si>
  <si>
    <t>516 394 2523</t>
  </si>
  <si>
    <t>Allan Pearlman</t>
  </si>
  <si>
    <t>Law Office of Allan R Pearlman</t>
  </si>
  <si>
    <t>646 827 4257</t>
  </si>
  <si>
    <t>Amit Patankar</t>
  </si>
  <si>
    <t>Clerk-Tech</t>
  </si>
  <si>
    <t>Andrew Lehrfeld</t>
  </si>
  <si>
    <t>Internet Presence LLC</t>
  </si>
  <si>
    <t>203-548-0070</t>
  </si>
  <si>
    <t>Ann Di Chen</t>
  </si>
  <si>
    <t>Graphene Physical Therapy PLLC</t>
  </si>
  <si>
    <t>Ashley Bancroft</t>
  </si>
  <si>
    <t>Premiere Systems Design</t>
  </si>
  <si>
    <t>631-552-5165</t>
  </si>
  <si>
    <t>Bryan Reilly</t>
  </si>
  <si>
    <t>East Side Movers</t>
  </si>
  <si>
    <t>Daniel Gotlieb</t>
  </si>
  <si>
    <t>Digs Realty Group</t>
  </si>
  <si>
    <t>LLC</t>
  </si>
  <si>
    <t>Diana Maltz</t>
  </si>
  <si>
    <t>RN</t>
  </si>
  <si>
    <t>Eric Turk</t>
  </si>
  <si>
    <t>Comprhensive Chiropractic &amp; Rehabilitation</t>
  </si>
  <si>
    <t>Francisco Villalobos</t>
  </si>
  <si>
    <t>Inner Strength Fitness</t>
  </si>
  <si>
    <t>646-760-9330</t>
  </si>
  <si>
    <t>Kyle Kirby</t>
  </si>
  <si>
    <t>USI Insurance Services LLC</t>
  </si>
  <si>
    <t>Lawrence Adler</t>
  </si>
  <si>
    <t>Lustrin Tetelman Adler</t>
  </si>
  <si>
    <t>212 991 9590</t>
  </si>
  <si>
    <t>Leona Krasner</t>
  </si>
  <si>
    <t>Krasner Law</t>
  </si>
  <si>
    <t>917 589 6519</t>
  </si>
  <si>
    <t>Luke Berglund</t>
  </si>
  <si>
    <t>SGP International</t>
  </si>
  <si>
    <t>Mary Chandrahasan</t>
  </si>
  <si>
    <t>917 691 3416</t>
  </si>
  <si>
    <t>Melinda Pearson</t>
  </si>
  <si>
    <t>914-204-1597</t>
  </si>
  <si>
    <t>Nelida Landin</t>
  </si>
  <si>
    <t>AffirmedHome Care</t>
  </si>
  <si>
    <t>Nicholas Liebman</t>
  </si>
  <si>
    <t>773-514-9027</t>
  </si>
  <si>
    <t>Nicholas Plinio</t>
  </si>
  <si>
    <t>Zukerman Gore Brandeis &amp; Crossman</t>
  </si>
  <si>
    <t>Nydia Shahjahan</t>
  </si>
  <si>
    <t>646 450 8443</t>
  </si>
  <si>
    <t>Philip Berkeley</t>
  </si>
  <si>
    <t>646 448 2002</t>
  </si>
  <si>
    <t>Ralph Rodriguez</t>
  </si>
  <si>
    <t>Valley Bank</t>
  </si>
  <si>
    <t>760 672 6242</t>
  </si>
  <si>
    <t>Rick Lasher</t>
  </si>
  <si>
    <t>Buitrago &amp; Associates</t>
  </si>
  <si>
    <t>Robert Begley</t>
  </si>
  <si>
    <t>Speaking With Purpose LLC</t>
  </si>
  <si>
    <t>Sandy Silverberg</t>
  </si>
  <si>
    <t>TEConsult</t>
  </si>
  <si>
    <t>Scott Valins</t>
  </si>
  <si>
    <t>Scott Capital Group</t>
  </si>
  <si>
    <t>Sherri Phillips</t>
  </si>
  <si>
    <t>Steven Mancinelli</t>
  </si>
  <si>
    <t>Mancinelli &amp; Associates</t>
  </si>
  <si>
    <t>646-863-6490</t>
  </si>
  <si>
    <t>Steven D. Fleischer Esq.</t>
  </si>
  <si>
    <t>Steven D. Fleischer Esq. PLLC</t>
  </si>
  <si>
    <t>(212) 760-0990</t>
  </si>
  <si>
    <t>Susan Henner</t>
  </si>
  <si>
    <t>Henner Law Group</t>
  </si>
  <si>
    <t>Tara Zacharzuk-Marciano</t>
  </si>
  <si>
    <t>Victoria Shaw</t>
  </si>
  <si>
    <t>VICTORIA SHAW ART APPRAISALS AND ADVISORY</t>
  </si>
  <si>
    <t>917 319 9145</t>
  </si>
  <si>
    <t>Zoom Online Meeting, Access by Computer or Phone, New York, NY, 10055</t>
  </si>
  <si>
    <t>Walter VanSchaick Jr.</t>
  </si>
  <si>
    <t>Palmetto</t>
  </si>
  <si>
    <t>631-944-9609</t>
  </si>
  <si>
    <t xml:space="preserve">Manhattan 42
</t>
  </si>
  <si>
    <t>Anthony DiGuiseppe</t>
  </si>
  <si>
    <t>DiGuiseppe LLC</t>
  </si>
  <si>
    <t>Bill Tortora</t>
  </si>
  <si>
    <t>973 289 6781</t>
  </si>
  <si>
    <t>Carlo Mantica</t>
  </si>
  <si>
    <t>New York Life Insurance Company / Eagle Strategies LLC</t>
  </si>
  <si>
    <t>Daphne Bartal</t>
  </si>
  <si>
    <t>Bartal Law Life &amp; Legacy Planning</t>
  </si>
  <si>
    <t>Elizabeth Lind Johnson</t>
  </si>
  <si>
    <t>Leslie Tilles</t>
  </si>
  <si>
    <t>The Klein and Cardali Law Group</t>
  </si>
  <si>
    <t>212 344 9022</t>
  </si>
  <si>
    <t>Linda DeCorato</t>
  </si>
  <si>
    <t>Rawle &amp; Henderson LLP</t>
  </si>
  <si>
    <t>212 742 8700</t>
  </si>
  <si>
    <t>Mendy Morris</t>
  </si>
  <si>
    <t>Oak Tree Insurance Services</t>
  </si>
  <si>
    <t>Michael Plata</t>
  </si>
  <si>
    <t>loanDepot</t>
  </si>
  <si>
    <t>646-772-9461</t>
  </si>
  <si>
    <t>Michele Holzer</t>
  </si>
  <si>
    <t>Horizon Land Services</t>
  </si>
  <si>
    <t>Naeem Hussain</t>
  </si>
  <si>
    <t>ADS Business Management Services</t>
  </si>
  <si>
    <t>301 675 4608</t>
  </si>
  <si>
    <t>Robert Cannata</t>
  </si>
  <si>
    <t>Cannata</t>
  </si>
  <si>
    <t>Sara Kaplan-Khodorovsky</t>
  </si>
  <si>
    <t>Green Savits LLC</t>
  </si>
  <si>
    <t xml:space="preserve">Manhattan 56 - Unstoppable 56
</t>
  </si>
  <si>
    <t>Adam Katzman</t>
  </si>
  <si>
    <t>CFS - Certified Financial Services</t>
  </si>
  <si>
    <t>Ariel Dybner</t>
  </si>
  <si>
    <t>Dybner &amp; Dybner</t>
  </si>
  <si>
    <t>973 951 7704</t>
  </si>
  <si>
    <t>Danielle Gizzo</t>
  </si>
  <si>
    <t>Candor Pay</t>
  </si>
  <si>
    <t>914 557 8940</t>
  </si>
  <si>
    <t>Elizabeth Lastique-Farr</t>
  </si>
  <si>
    <t>Keller Willliams NYC</t>
  </si>
  <si>
    <t>917-833-8353</t>
  </si>
  <si>
    <t>Gil Ledany</t>
  </si>
  <si>
    <t>201-921-3455</t>
  </si>
  <si>
    <t>Joseph Benincasa</t>
  </si>
  <si>
    <t>631 465 9070</t>
  </si>
  <si>
    <t>Marci Goldfarb</t>
  </si>
  <si>
    <t>Schwartz Ettenger</t>
  </si>
  <si>
    <t>Maria Octavio</t>
  </si>
  <si>
    <t>305 213 2801</t>
  </si>
  <si>
    <t>Meryl Cooperman</t>
  </si>
  <si>
    <t>Zero6 Creative</t>
  </si>
  <si>
    <t>Michael Son</t>
  </si>
  <si>
    <t>CORE</t>
  </si>
  <si>
    <t>+13129349457</t>
  </si>
  <si>
    <t>Roman Grutman</t>
  </si>
  <si>
    <t>Steven Golodny</t>
  </si>
  <si>
    <t>212 583 1100</t>
  </si>
  <si>
    <t>Steven Seltzer</t>
  </si>
  <si>
    <t>The Seltzer Law Group P.C.</t>
  </si>
  <si>
    <t>646-863-1854</t>
  </si>
  <si>
    <t>Susan May-Mclean</t>
  </si>
  <si>
    <t>Tina Louise Vespoli</t>
  </si>
  <si>
    <t>516-429-3488</t>
  </si>
  <si>
    <t xml:space="preserve">Manhattan 10 - Perfect 10
</t>
  </si>
  <si>
    <t>BNI Online - Video Conference, The Chapter will send the Login Info to all Participants.,This will be temporary until, we resume our standard in-person meetings.
Virtual Meeting, 10021</t>
  </si>
  <si>
    <t>Aaron Ser</t>
  </si>
  <si>
    <t>Gair Gair Conason</t>
  </si>
  <si>
    <t>Alice Chin</t>
  </si>
  <si>
    <t>Your Other Half</t>
  </si>
  <si>
    <t>646 4341385</t>
  </si>
  <si>
    <t>Amy Ruiz</t>
  </si>
  <si>
    <t>Citizens</t>
  </si>
  <si>
    <t>240-515-7712</t>
  </si>
  <si>
    <t>Andrea Saenz</t>
  </si>
  <si>
    <t>(917)742-4377</t>
  </si>
  <si>
    <t>BRIGITTE DALMAS</t>
  </si>
  <si>
    <t>R &amp; B Accounting</t>
  </si>
  <si>
    <t>Carlos Garcia-Tunon</t>
  </si>
  <si>
    <t>Murphy Business Sales - Stamford</t>
  </si>
  <si>
    <t>Carol Siege</t>
  </si>
  <si>
    <t>Family Pathways Coaching</t>
  </si>
  <si>
    <t>Charles Wilson</t>
  </si>
  <si>
    <t>Berkshire Hathaway HomeServices- River Towns</t>
  </si>
  <si>
    <t>+12564261537</t>
  </si>
  <si>
    <t>Daniel Boisrond</t>
  </si>
  <si>
    <t>3:5 Creative[s] LLC</t>
  </si>
  <si>
    <t>Deborah Notis</t>
  </si>
  <si>
    <t>GAMECHANGER Tutoring Connection</t>
  </si>
  <si>
    <t>Diana Feinstein</t>
  </si>
  <si>
    <t>Max Pact Health</t>
  </si>
  <si>
    <t>Dominick Dimino</t>
  </si>
  <si>
    <t>Hoffman &amp; Mulligan CPAs</t>
  </si>
  <si>
    <t>(212) 583-1100</t>
  </si>
  <si>
    <t>Eileen Vazquez Thornton</t>
  </si>
  <si>
    <t>(718) 637-7834</t>
  </si>
  <si>
    <t>Elisabeth Goldberg</t>
  </si>
  <si>
    <t>Elissa Hecker</t>
  </si>
  <si>
    <t>The Law Office of Elissa D. Hecker</t>
  </si>
  <si>
    <t>914-478-0457</t>
  </si>
  <si>
    <t>Jeffrey Pearson</t>
  </si>
  <si>
    <t>Big River Insurance Brokerage</t>
  </si>
  <si>
    <t>(917) 848-0109</t>
  </si>
  <si>
    <t>Jennifer Bocian</t>
  </si>
  <si>
    <t>917-854-2705</t>
  </si>
  <si>
    <t>Le'Marr Hue</t>
  </si>
  <si>
    <t>LMR Interiors</t>
  </si>
  <si>
    <t>347-728-4080</t>
  </si>
  <si>
    <t>Lily Weseley</t>
  </si>
  <si>
    <t>Malia Faleafine</t>
  </si>
  <si>
    <t>Social Reverie Consulting LLC</t>
  </si>
  <si>
    <t>Consulting &gt; Business Consultant - Organization &amp; Process</t>
  </si>
  <si>
    <t>Matthew Masseo</t>
  </si>
  <si>
    <t>(212) 626-8582</t>
  </si>
  <si>
    <t>Michael Pepin</t>
  </si>
  <si>
    <t>Law Office of Michael Pepin</t>
  </si>
  <si>
    <t>+1 (212) 363-4312</t>
  </si>
  <si>
    <t>Nora Tronto</t>
  </si>
  <si>
    <t>917-647-2243</t>
  </si>
  <si>
    <t>Orin Kurtz</t>
  </si>
  <si>
    <t>(917) 627-2840</t>
  </si>
  <si>
    <t>Ryan White</t>
  </si>
  <si>
    <t>RAW Physio and Wellness</t>
  </si>
  <si>
    <t>Spiro Geroulanos</t>
  </si>
  <si>
    <t>SCHIM Luxury Renovations</t>
  </si>
  <si>
    <t>(347) 885-7933</t>
  </si>
  <si>
    <t>Stan G. Horowitz</t>
  </si>
  <si>
    <t>Sydney</t>
  </si>
  <si>
    <t>(646) 448-1351</t>
  </si>
  <si>
    <t xml:space="preserve">Manhattan 47 - Founders Club
</t>
  </si>
  <si>
    <t>Daniel Hochler</t>
  </si>
  <si>
    <t>David Rein</t>
  </si>
  <si>
    <t>Rein Group</t>
  </si>
  <si>
    <t>Hector Rivera CFP® CLU®</t>
  </si>
  <si>
    <t>646 376 7034</t>
  </si>
  <si>
    <t>Jane Lvovskiy</t>
  </si>
  <si>
    <t>Supporting Strategies - Brooklyn &amp; Staten Island</t>
  </si>
  <si>
    <t>718-504-5643</t>
  </si>
  <si>
    <t>Jeff Gechlik</t>
  </si>
  <si>
    <t>Kelly Cole</t>
  </si>
  <si>
    <t>917 575-8375</t>
  </si>
  <si>
    <t>Kylan Johnson</t>
  </si>
  <si>
    <t>Hudson Valley Estate Planning PLLC</t>
  </si>
  <si>
    <t>Mathew Peretz</t>
  </si>
  <si>
    <t>Lehman Flynn Vollaro</t>
  </si>
  <si>
    <t>212 736 8250</t>
  </si>
  <si>
    <t>Michael Solomon</t>
  </si>
  <si>
    <t>Smiley &amp; Smiley</t>
  </si>
  <si>
    <t>212 986 2022</t>
  </si>
  <si>
    <t>Mike Kurtish</t>
  </si>
  <si>
    <t>GC</t>
  </si>
  <si>
    <t>+1 (646) 515-1505</t>
  </si>
  <si>
    <t>Morris Cohen</t>
  </si>
  <si>
    <t>TD Bank NA</t>
  </si>
  <si>
    <t>Nathan lewkowicz</t>
  </si>
  <si>
    <t>Grober Imbey Agency (GIA)</t>
  </si>
  <si>
    <t>Paul Alvear</t>
  </si>
  <si>
    <t>Spearhead Staffing</t>
  </si>
  <si>
    <t>732-766-0098</t>
  </si>
  <si>
    <t>Sandy Schwartz</t>
  </si>
  <si>
    <t>Schwartz Levine Pinkas Stark PLLC</t>
  </si>
  <si>
    <t>Susan Grant</t>
  </si>
  <si>
    <t>Grants Jewelry</t>
  </si>
  <si>
    <t>212 398 1256</t>
  </si>
  <si>
    <t xml:space="preserve">Manhattan 19 - The Rocket Ship
</t>
  </si>
  <si>
    <t>Anna Livshits</t>
  </si>
  <si>
    <t>Erlanger Law Firm PLLC</t>
  </si>
  <si>
    <t>Christopher Lickman</t>
  </si>
  <si>
    <t>CS Scott Enterprises</t>
  </si>
  <si>
    <t>(917) 709-9427</t>
  </si>
  <si>
    <t>Daniel Levine</t>
  </si>
  <si>
    <t>Russell-Walsh Law Group PLLC</t>
  </si>
  <si>
    <t>917-929-7396</t>
  </si>
  <si>
    <t>Deborah Schaub</t>
  </si>
  <si>
    <t>C&amp;B Accounting</t>
  </si>
  <si>
    <t>Ellen Z. Wright</t>
  </si>
  <si>
    <t>Apartment Rehab NYC</t>
  </si>
  <si>
    <t>(646) 284-7631</t>
  </si>
  <si>
    <t>James Wolff</t>
  </si>
  <si>
    <t>Warshaw Burstein LLP</t>
  </si>
  <si>
    <t>Katia Conte</t>
  </si>
  <si>
    <t>Daniela Conte Foundation</t>
  </si>
  <si>
    <t>718-781-2156</t>
  </si>
  <si>
    <t>Kenny Bollin</t>
  </si>
  <si>
    <t>Finance &amp; Insurance &gt; Supplemental Insurance</t>
  </si>
  <si>
    <t>Laura Cook</t>
  </si>
  <si>
    <t>Marcus Chau</t>
  </si>
  <si>
    <t>Lexor Strategies</t>
  </si>
  <si>
    <t>Mark DiConzo</t>
  </si>
  <si>
    <t>KMDECO Creative Solutions</t>
  </si>
  <si>
    <t>Melissa Louie Young</t>
  </si>
  <si>
    <t>GuardHill Financial</t>
  </si>
  <si>
    <t>Michael Gardner</t>
  </si>
  <si>
    <t>+19143843948</t>
  </si>
  <si>
    <t>Michelle Marie Adams</t>
  </si>
  <si>
    <t>Keller Williams Realty Metropolitan</t>
  </si>
  <si>
    <t>Rick Bier</t>
  </si>
  <si>
    <t>Law Offices of Richard Bier</t>
  </si>
  <si>
    <t>(973) 868-2628</t>
  </si>
  <si>
    <t>Sean McBride</t>
  </si>
  <si>
    <t>Wells Fargo</t>
  </si>
  <si>
    <t>212 916 8810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</si>
</sst>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rgb="FF434343"/>
      <name val="Roboto"/>
    </font>
    <font>
      <color theme="1"/>
      <name val="Arial"/>
    </font>
    <font>
      <color rgb="FF383A4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0" fillId="0" fontId="1" numFmtId="49" xfId="0" applyFont="1" applyNumberFormat="1"/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3" fillId="3" fontId="3" numFmtId="0" xfId="0" applyAlignment="1" applyBorder="1" applyFill="1" applyFont="1">
      <alignment horizontal="right" shrinkToFit="0" vertical="center" wrapText="0"/>
    </xf>
    <xf borderId="4" fillId="3" fontId="3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readingOrder="0"/>
    </xf>
    <xf borderId="1" fillId="2" fontId="3" numFmtId="0" xfId="0" applyAlignment="1" applyBorder="1" applyFont="1">
      <alignment horizontal="right" readingOrder="0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0" fontId="4" numFmtId="49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49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3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righ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Vari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.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.1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5" displayName="Variables" name="Variables" id="1">
  <tableColumns count="10">
    <tableColumn name="Month" id="1"/>
    <tableColumn name="Week" id="2"/>
    <tableColumn name="Year" id="3"/>
    <tableColumn name="Outreachs" id="4"/>
    <tableColumn name="Scheduled 1:1" id="5"/>
    <tableColumn name="Scheduling rate" id="6"/>
    <tableColumn name="No show " id="7"/>
    <tableColumn name="1:1 rate" id="8"/>
    <tableColumn name="Deals" id="9"/>
    <tableColumn name="Deal rate" id="10"/>
  </tableColumns>
  <tableStyleInfo name="Variables-style" showColumnStripes="0" showFirstColumn="1" showLastColumn="1" showRowStripes="1"/>
</table>
</file>

<file path=xl/tables/table2.xml><?xml version="1.0" encoding="utf-8"?>
<table xmlns="http://schemas.openxmlformats.org/spreadsheetml/2006/main" ref="C6:L2030" displayName="OTR_2025_10" name="OTR_2025_10" id="2">
  <autoFilter ref="$C$6:$L$2030"/>
  <tableColumns count="10">
    <tableColumn name="BNI Chapter" id="1"/>
    <tableColumn name="Address" id="2"/>
    <tableColumn name="Member Name" id="3"/>
    <tableColumn name="Company" id="4"/>
    <tableColumn name="Profession" id="5"/>
    <tableColumn name="Phone" id="6"/>
    <tableColumn name="Contact" id="7"/>
    <tableColumn name="Sales Executive" id="8"/>
    <tableColumn name="SDR" id="9"/>
    <tableColumn name="Status" id="10"/>
  </tableColumns>
  <tableStyleInfo name="2025.10-style" showColumnStripes="0" showFirstColumn="1" showLastColumn="1" showRowStripes="1"/>
</table>
</file>

<file path=xl/tables/table3.xml><?xml version="1.0" encoding="utf-8"?>
<table xmlns="http://schemas.openxmlformats.org/spreadsheetml/2006/main" ref="C6:L2137" displayName="OTR_2025_11" name="OTR_2025_11" id="3">
  <autoFilter ref="$C$6:$L$2137"/>
  <tableColumns count="10">
    <tableColumn name="BNI Chapter" id="1"/>
    <tableColumn name="Address" id="2"/>
    <tableColumn name="Member Name" id="3"/>
    <tableColumn name="Company" id="4"/>
    <tableColumn name="Profession" id="5"/>
    <tableColumn name="Phone" id="6"/>
    <tableColumn name="Contact" id="7"/>
    <tableColumn name="Sales Executive" id="8"/>
    <tableColumn name="SDR" id="9"/>
    <tableColumn name="Status" id="10"/>
  </tableColumns>
  <tableStyleInfo name="2025.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2.63"/>
    <col customWidth="1" min="9" max="9" width="12.88"/>
    <col customWidth="1" min="10" max="10" width="15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ht="22.5" customHeight="1">
      <c r="A2" s="4" t="s">
        <v>10</v>
      </c>
      <c r="B2" s="5">
        <v>40.0</v>
      </c>
      <c r="C2" s="5">
        <v>2025.0</v>
      </c>
      <c r="D2" s="5">
        <f>COUNTIFS('2025.10'!I:I,"&gt;="&amp;DATE(2025,10,1),'2025.10'!I:I,"&lt;="&amp;DATE(2025,10,3))</f>
        <v>354</v>
      </c>
      <c r="E2" s="6">
        <f>COUNTIFS('2025.10'!I:I,"&gt;="&amp;DATE(2025,10,1),'2025.10'!I:I,"&lt;="&amp;DATE(2025,10,3), '2025.10'!L:L, "Call Done")+G2</f>
        <v>25</v>
      </c>
      <c r="F2" s="7">
        <f t="shared" ref="F2:F8" si="1">E2/D2</f>
        <v>0.07062146893</v>
      </c>
      <c r="G2" s="8">
        <f>COUNTIFS('2025.10'!I:I,"&gt;="&amp;DATE(2025,10,1),'2025.10'!I:I,"&lt;="&amp;DATE(2025,10,3), '2025.10'!L:L, "No show")</f>
        <v>13</v>
      </c>
      <c r="H2" s="7">
        <f t="shared" ref="H2:H8" si="2">(E2-G2)/E2</f>
        <v>0.48</v>
      </c>
      <c r="I2" s="5">
        <v>0.0</v>
      </c>
      <c r="J2" s="7">
        <f t="shared" ref="J2:J8" si="3">I2/E2</f>
        <v>0</v>
      </c>
    </row>
    <row r="3" ht="22.5" customHeight="1">
      <c r="A3" s="4" t="s">
        <v>10</v>
      </c>
      <c r="B3" s="5">
        <v>41.0</v>
      </c>
      <c r="C3" s="5">
        <v>2025.0</v>
      </c>
      <c r="D3" s="5">
        <f>COUNTIFS('2025.10'!I:I,"&gt;="&amp;DATE(2025,10,6),'2025.10'!I:I,"&lt;="&amp;DATE(2025,10,10))</f>
        <v>557</v>
      </c>
      <c r="E3" s="5">
        <f>COUNTIFS('2025.10'!I:I,"&gt;="&amp;DATE(2025,10,6),'2025.10'!I:I,"&lt;="&amp;DATE(2025,10,10), '2025.10'!L:L, "Call Done")+G3</f>
        <v>43</v>
      </c>
      <c r="F3" s="7">
        <f t="shared" si="1"/>
        <v>0.07719928187</v>
      </c>
      <c r="G3" s="8">
        <f>COUNTIFS('2025.10'!I:I,"&gt;="&amp;DATE(2025,10,6),'2025.10'!I:I,"&lt;="&amp;DATE(2025,10,10), '2025.10'!L:L, "No show")</f>
        <v>20</v>
      </c>
      <c r="H3" s="7">
        <f t="shared" si="2"/>
        <v>0.5348837209</v>
      </c>
      <c r="I3" s="5">
        <v>0.0</v>
      </c>
      <c r="J3" s="7">
        <f t="shared" si="3"/>
        <v>0</v>
      </c>
    </row>
    <row r="4" ht="22.5" customHeight="1">
      <c r="A4" s="4" t="s">
        <v>10</v>
      </c>
      <c r="B4" s="5">
        <v>42.0</v>
      </c>
      <c r="C4" s="5">
        <v>2025.0</v>
      </c>
      <c r="D4" s="5">
        <f>COUNTIFS('2025.10'!I:I,"&gt;="&amp;DATE(2025,10,13),'2025.10'!I:I,"&lt;="&amp;DATE(2025,10,17))</f>
        <v>454</v>
      </c>
      <c r="E4" s="5">
        <f>COUNTIFS('2025.10'!I:I,"&gt;="&amp;DATE(2025,10,13),'2025.10'!I:I,"&lt;="&amp;DATE(2025,10,17), '2025.10'!L:L, "Call Done")+G4</f>
        <v>15</v>
      </c>
      <c r="F4" s="7">
        <f t="shared" si="1"/>
        <v>0.03303964758</v>
      </c>
      <c r="G4" s="8">
        <f>COUNTIFS('2025.10'!I:I,"&gt;="&amp;DATE(2025,10,13),'2025.10'!I:I,"&lt;="&amp;DATE(2025,10,17), '2025.10'!L:L, "No show")</f>
        <v>10</v>
      </c>
      <c r="H4" s="7">
        <f t="shared" si="2"/>
        <v>0.3333333333</v>
      </c>
      <c r="I4" s="5">
        <v>0.0</v>
      </c>
      <c r="J4" s="7">
        <f t="shared" si="3"/>
        <v>0</v>
      </c>
    </row>
    <row r="5" ht="22.5" customHeight="1">
      <c r="A5" s="4" t="s">
        <v>10</v>
      </c>
      <c r="B5" s="5">
        <v>43.0</v>
      </c>
      <c r="C5" s="5">
        <v>2025.0</v>
      </c>
      <c r="D5" s="5">
        <f>COUNTIFS('2025.10'!I:I,"&gt;="&amp;DATE(2025,10,20),'2025.10'!I:I,"&lt;="&amp;DATE(2025,10,24))</f>
        <v>183</v>
      </c>
      <c r="E5" s="5">
        <f>COUNTIFS('2025.10'!I:I,"&gt;="&amp;DATE(2025,10,20),'2025.10'!I:I,"&lt;="&amp;DATE(2025,10,24),'2025.10'!L:L, "Call Done")+G5</f>
        <v>12</v>
      </c>
      <c r="F5" s="7">
        <f t="shared" si="1"/>
        <v>0.06557377049</v>
      </c>
      <c r="G5" s="8">
        <f>COUNTIFS('2025.10'!I:I,"&gt;="&amp;DATE(2025,10,20),'2025.10'!I:I,"&lt;="&amp;DATE(2025,10,24),'2025.10'!L:L, "No show")</f>
        <v>3</v>
      </c>
      <c r="H5" s="7">
        <f t="shared" si="2"/>
        <v>0.75</v>
      </c>
      <c r="I5" s="5">
        <v>0.0</v>
      </c>
      <c r="J5" s="7">
        <f t="shared" si="3"/>
        <v>0</v>
      </c>
    </row>
    <row r="6" ht="22.5" customHeight="1">
      <c r="A6" s="4" t="s">
        <v>10</v>
      </c>
      <c r="B6" s="5">
        <v>44.0</v>
      </c>
      <c r="C6" s="5">
        <v>2025.0</v>
      </c>
      <c r="D6" s="5">
        <f>COUNTIFS('2025.10'!I:I,"&gt;="&amp;DATE(2025,10,27),'2025.10'!I:I,"&lt;="&amp;DATE(2025,10,31))</f>
        <v>476</v>
      </c>
      <c r="E6" s="5">
        <f>COUNTIFS('2025.10'!I:I,"&gt;="&amp;DATE(2025,10,27),'2025.10'!I:I,"&lt;="&amp;DATE(2025,10,31), '2025.10'!L:L, "Call Done")+G6</f>
        <v>17</v>
      </c>
      <c r="F6" s="7">
        <f t="shared" si="1"/>
        <v>0.03571428571</v>
      </c>
      <c r="G6" s="8">
        <f>COUNTIFS('2025.10'!I:I,"&gt;="&amp;DATE(2025,10,27),'2025.10'!I:I,"&lt;="&amp;DATE(2025,10,31), '2025.10'!L:L, "No show")</f>
        <v>8</v>
      </c>
      <c r="H6" s="7">
        <f t="shared" si="2"/>
        <v>0.5294117647</v>
      </c>
      <c r="I6" s="5">
        <v>0.0</v>
      </c>
      <c r="J6" s="7">
        <f t="shared" si="3"/>
        <v>0</v>
      </c>
    </row>
    <row r="7" ht="22.5" customHeight="1">
      <c r="A7" s="4" t="s">
        <v>11</v>
      </c>
      <c r="B7" s="5">
        <v>45.0</v>
      </c>
      <c r="C7" s="5">
        <v>2025.0</v>
      </c>
      <c r="D7" s="5">
        <f>COUNTIFS('2025.11'!I:I,"&gt;="&amp;DATE(2025,11,3),'2025.11'!I:I,"&lt;="&amp;DATE(2025,11,7))</f>
        <v>303</v>
      </c>
      <c r="E7" s="5">
        <f>COUNTIFS('2025.11'!I:I,"&gt;="&amp;DATE(2025,11,3),'2025.11'!I:I,"&lt;="&amp;DATE(2025,11,7), '2025.11'!L:L, "Call Done")+G7</f>
        <v>13</v>
      </c>
      <c r="F7" s="7">
        <f t="shared" si="1"/>
        <v>0.04290429043</v>
      </c>
      <c r="G7" s="8">
        <f>COUNTIFS('2025.11'!I:I,"&gt;="&amp;DATE(2025,11,3),'2025.11'!I:I,"&lt;="&amp;DATE(2025,11,7), '2025.11'!L:L, "No show")</f>
        <v>8</v>
      </c>
      <c r="H7" s="7">
        <f t="shared" si="2"/>
        <v>0.3846153846</v>
      </c>
      <c r="I7" s="5">
        <v>0.0</v>
      </c>
      <c r="J7" s="7">
        <f t="shared" si="3"/>
        <v>0</v>
      </c>
    </row>
    <row r="8" ht="22.5" customHeight="1">
      <c r="A8" s="4" t="s">
        <v>11</v>
      </c>
      <c r="B8" s="5">
        <v>46.0</v>
      </c>
      <c r="C8" s="5">
        <v>2025.0</v>
      </c>
      <c r="D8" s="5">
        <f>COUNTIFS('2025.11'!I:I,"&gt;="&amp;DATE(2025,11,10),'2025.11'!I:I,"&lt;="&amp;DATE(2025,11,14))</f>
        <v>475</v>
      </c>
      <c r="E8" s="5">
        <f>COUNTIFS('2025.11'!I:I,"&gt;="&amp;DATE(2025,11,10),'2025.11'!I:I,"&lt;="&amp;DATE(2025,11,14), '2025.11'!L:L, "Call Done")+G8</f>
        <v>3</v>
      </c>
      <c r="F8" s="7">
        <f t="shared" si="1"/>
        <v>0.006315789474</v>
      </c>
      <c r="G8" s="8">
        <f>COUNTIFS('2025.11'!I:I,"&gt;="&amp;DATE(2025,11,10),'2025.11'!I:I,"&lt;="&amp;DATE(2025,11,14), '2025.11'!L:L, "No show")</f>
        <v>1</v>
      </c>
      <c r="H8" s="7">
        <f t="shared" si="2"/>
        <v>0.6666666667</v>
      </c>
      <c r="I8" s="5">
        <v>0.0</v>
      </c>
      <c r="J8" s="7">
        <f t="shared" si="3"/>
        <v>0</v>
      </c>
    </row>
    <row r="9" ht="22.5" customHeight="1">
      <c r="A9" s="4" t="s">
        <v>11</v>
      </c>
      <c r="B9" s="5">
        <v>47.0</v>
      </c>
      <c r="C9" s="5">
        <v>2025.0</v>
      </c>
      <c r="D9" s="8"/>
      <c r="E9" s="8"/>
      <c r="F9" s="7"/>
      <c r="G9" s="8"/>
      <c r="H9" s="7"/>
      <c r="I9" s="8"/>
      <c r="J9" s="7"/>
    </row>
    <row r="10" ht="22.5" customHeight="1">
      <c r="A10" s="4" t="s">
        <v>11</v>
      </c>
      <c r="B10" s="5">
        <v>48.0</v>
      </c>
      <c r="C10" s="5">
        <v>2025.0</v>
      </c>
      <c r="D10" s="8"/>
      <c r="E10" s="8"/>
      <c r="F10" s="7"/>
      <c r="G10" s="8"/>
      <c r="H10" s="7"/>
      <c r="I10" s="8"/>
      <c r="J10" s="7"/>
    </row>
    <row r="11" ht="22.5" customHeight="1">
      <c r="A11" s="9"/>
      <c r="B11" s="5"/>
      <c r="C11" s="5">
        <v>2025.0</v>
      </c>
      <c r="D11" s="8"/>
      <c r="E11" s="8"/>
      <c r="F11" s="7"/>
      <c r="G11" s="8"/>
      <c r="H11" s="7"/>
      <c r="I11" s="8"/>
      <c r="J11" s="7"/>
    </row>
    <row r="12" ht="22.5" customHeight="1">
      <c r="A12" s="9"/>
      <c r="B12" s="8"/>
      <c r="C12" s="5">
        <v>2025.0</v>
      </c>
      <c r="D12" s="8"/>
      <c r="E12" s="8"/>
      <c r="F12" s="7"/>
      <c r="G12" s="8"/>
      <c r="H12" s="7"/>
      <c r="I12" s="8"/>
      <c r="J12" s="7"/>
    </row>
    <row r="13" ht="22.5" customHeight="1">
      <c r="A13" s="9"/>
      <c r="B13" s="8"/>
      <c r="C13" s="5">
        <v>2025.0</v>
      </c>
      <c r="D13" s="8"/>
      <c r="E13" s="8"/>
      <c r="F13" s="7"/>
      <c r="G13" s="8"/>
      <c r="H13" s="7"/>
      <c r="I13" s="8"/>
      <c r="J13" s="7"/>
    </row>
    <row r="14" ht="22.5" customHeight="1">
      <c r="A14" s="9"/>
      <c r="B14" s="8"/>
      <c r="C14" s="5">
        <v>2025.0</v>
      </c>
      <c r="D14" s="8"/>
      <c r="E14" s="8"/>
      <c r="F14" s="7"/>
      <c r="G14" s="8"/>
      <c r="H14" s="7"/>
      <c r="I14" s="8"/>
      <c r="J14" s="7"/>
    </row>
    <row r="15" ht="22.5" customHeight="1">
      <c r="A15" s="9"/>
      <c r="B15" s="8"/>
      <c r="C15" s="5">
        <v>2025.0</v>
      </c>
      <c r="D15" s="8"/>
      <c r="E15" s="8"/>
      <c r="F15" s="7"/>
      <c r="G15" s="8"/>
      <c r="H15" s="7"/>
      <c r="I15" s="8"/>
      <c r="J15" s="7"/>
    </row>
  </sheetData>
  <dataValidations>
    <dataValidation type="custom" allowBlank="1" showDropDown="1" sqref="B2:J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88"/>
    <col customWidth="1" min="4" max="4" width="23.38"/>
    <col customWidth="1" min="5" max="5" width="27.13"/>
    <col customWidth="1" min="6" max="6" width="24.5"/>
    <col customWidth="1" min="7" max="7" width="13.63"/>
    <col customWidth="1" min="10" max="10" width="17.0"/>
    <col customWidth="1" min="11" max="11" width="15.13"/>
    <col customWidth="1" min="12" max="12" width="14.75"/>
  </cols>
  <sheetData>
    <row r="1">
      <c r="A1" s="10"/>
      <c r="H1" s="11"/>
    </row>
    <row r="2">
      <c r="H2" s="11"/>
    </row>
    <row r="3">
      <c r="H3" s="11"/>
    </row>
    <row r="4">
      <c r="H4" s="11"/>
    </row>
    <row r="5">
      <c r="H5" s="11"/>
    </row>
    <row r="6" ht="22.5" customHeight="1">
      <c r="C6" s="12" t="s">
        <v>12</v>
      </c>
      <c r="D6" s="13" t="s">
        <v>13</v>
      </c>
      <c r="E6" s="12" t="s">
        <v>14</v>
      </c>
      <c r="F6" s="12" t="s">
        <v>15</v>
      </c>
      <c r="G6" s="12" t="s">
        <v>16</v>
      </c>
      <c r="H6" s="14" t="s">
        <v>17</v>
      </c>
      <c r="I6" s="15" t="s">
        <v>18</v>
      </c>
      <c r="J6" s="15" t="s">
        <v>19</v>
      </c>
      <c r="K6" s="15" t="s">
        <v>20</v>
      </c>
      <c r="L6" s="15" t="s">
        <v>21</v>
      </c>
    </row>
    <row r="7" ht="22.5" customHeight="1">
      <c r="C7" s="16" t="s">
        <v>22</v>
      </c>
      <c r="D7" s="17" t="s">
        <v>23</v>
      </c>
      <c r="E7" s="12" t="s">
        <v>24</v>
      </c>
      <c r="F7" s="12" t="s">
        <v>25</v>
      </c>
      <c r="G7" s="12" t="s">
        <v>26</v>
      </c>
      <c r="H7" s="14" t="s">
        <v>27</v>
      </c>
      <c r="I7" s="18">
        <f t="shared" ref="I7:I186" si="1">DATE(2025, 10, 1)</f>
        <v>45931</v>
      </c>
      <c r="J7" s="19" t="s">
        <v>28</v>
      </c>
      <c r="K7" s="19" t="s">
        <v>28</v>
      </c>
      <c r="L7" s="19"/>
    </row>
    <row r="8" ht="22.5" customHeight="1">
      <c r="C8" s="20" t="s">
        <v>22</v>
      </c>
      <c r="D8" s="21" t="s">
        <v>29</v>
      </c>
      <c r="E8" s="12" t="s">
        <v>30</v>
      </c>
      <c r="F8" s="12" t="s">
        <v>31</v>
      </c>
      <c r="G8" s="12" t="s">
        <v>32</v>
      </c>
      <c r="H8" s="14" t="s">
        <v>33</v>
      </c>
      <c r="I8" s="18">
        <f t="shared" si="1"/>
        <v>45931</v>
      </c>
      <c r="J8" s="19" t="s">
        <v>28</v>
      </c>
      <c r="K8" s="19" t="s">
        <v>28</v>
      </c>
      <c r="L8" s="19"/>
    </row>
    <row r="9" ht="22.5" customHeight="1">
      <c r="C9" s="16" t="s">
        <v>22</v>
      </c>
      <c r="D9" s="17" t="s">
        <v>34</v>
      </c>
      <c r="E9" s="12" t="s">
        <v>35</v>
      </c>
      <c r="F9" s="12" t="s">
        <v>36</v>
      </c>
      <c r="G9" s="12" t="s">
        <v>37</v>
      </c>
      <c r="H9" s="14" t="s">
        <v>38</v>
      </c>
      <c r="I9" s="18">
        <f t="shared" si="1"/>
        <v>45931</v>
      </c>
      <c r="J9" s="19" t="s">
        <v>28</v>
      </c>
      <c r="K9" s="19" t="s">
        <v>28</v>
      </c>
      <c r="L9" s="19"/>
    </row>
    <row r="10" ht="22.5" customHeight="1">
      <c r="C10" s="20" t="s">
        <v>22</v>
      </c>
      <c r="D10" s="21" t="s">
        <v>39</v>
      </c>
      <c r="E10" s="12" t="s">
        <v>40</v>
      </c>
      <c r="F10" s="12" t="s">
        <v>41</v>
      </c>
      <c r="G10" s="12" t="s">
        <v>42</v>
      </c>
      <c r="H10" s="14" t="s">
        <v>43</v>
      </c>
      <c r="I10" s="18">
        <f t="shared" si="1"/>
        <v>45931</v>
      </c>
      <c r="J10" s="19" t="s">
        <v>28</v>
      </c>
      <c r="K10" s="19" t="s">
        <v>28</v>
      </c>
      <c r="L10" s="19"/>
    </row>
    <row r="11" ht="22.5" customHeight="1">
      <c r="C11" s="16" t="s">
        <v>22</v>
      </c>
      <c r="D11" s="17" t="s">
        <v>44</v>
      </c>
      <c r="E11" s="12" t="s">
        <v>45</v>
      </c>
      <c r="F11" s="12" t="s">
        <v>46</v>
      </c>
      <c r="G11" s="12" t="s">
        <v>47</v>
      </c>
      <c r="H11" s="14" t="s">
        <v>48</v>
      </c>
      <c r="I11" s="18">
        <f t="shared" si="1"/>
        <v>45931</v>
      </c>
      <c r="J11" s="19" t="s">
        <v>28</v>
      </c>
      <c r="K11" s="19" t="s">
        <v>28</v>
      </c>
      <c r="L11" s="19"/>
    </row>
    <row r="12" ht="22.5" customHeight="1">
      <c r="C12" s="20" t="s">
        <v>22</v>
      </c>
      <c r="D12" s="21" t="s">
        <v>49</v>
      </c>
      <c r="E12" s="12" t="s">
        <v>50</v>
      </c>
      <c r="F12" s="12" t="s">
        <v>51</v>
      </c>
      <c r="G12" s="12" t="s">
        <v>52</v>
      </c>
      <c r="H12" s="14" t="s">
        <v>53</v>
      </c>
      <c r="I12" s="18">
        <f t="shared" si="1"/>
        <v>45931</v>
      </c>
      <c r="J12" s="19" t="s">
        <v>28</v>
      </c>
      <c r="K12" s="19" t="s">
        <v>28</v>
      </c>
      <c r="L12" s="19"/>
    </row>
    <row r="13" ht="22.5" customHeight="1">
      <c r="C13" s="16" t="s">
        <v>22</v>
      </c>
      <c r="D13" s="17" t="s">
        <v>54</v>
      </c>
      <c r="E13" s="12" t="s">
        <v>55</v>
      </c>
      <c r="F13" s="12" t="s">
        <v>56</v>
      </c>
      <c r="G13" s="12" t="s">
        <v>57</v>
      </c>
      <c r="H13" s="14" t="s">
        <v>58</v>
      </c>
      <c r="I13" s="18">
        <f t="shared" si="1"/>
        <v>45931</v>
      </c>
      <c r="J13" s="19" t="s">
        <v>28</v>
      </c>
      <c r="K13" s="19" t="s">
        <v>28</v>
      </c>
      <c r="L13" s="19"/>
    </row>
    <row r="14" ht="22.5" customHeight="1">
      <c r="C14" s="20" t="s">
        <v>22</v>
      </c>
      <c r="D14" s="21" t="s">
        <v>59</v>
      </c>
      <c r="E14" s="12" t="s">
        <v>60</v>
      </c>
      <c r="F14" s="12" t="s">
        <v>61</v>
      </c>
      <c r="G14" s="12" t="s">
        <v>62</v>
      </c>
      <c r="H14" s="14" t="s">
        <v>63</v>
      </c>
      <c r="I14" s="18">
        <f t="shared" si="1"/>
        <v>45931</v>
      </c>
      <c r="J14" s="19" t="s">
        <v>28</v>
      </c>
      <c r="K14" s="19" t="s">
        <v>28</v>
      </c>
      <c r="L14" s="19"/>
    </row>
    <row r="15" ht="22.5" customHeight="1">
      <c r="C15" s="16" t="s">
        <v>22</v>
      </c>
      <c r="D15" s="17" t="s">
        <v>64</v>
      </c>
      <c r="E15" s="12" t="s">
        <v>65</v>
      </c>
      <c r="F15" s="12" t="s">
        <v>66</v>
      </c>
      <c r="G15" s="12" t="s">
        <v>67</v>
      </c>
      <c r="H15" s="14" t="s">
        <v>68</v>
      </c>
      <c r="I15" s="18">
        <f t="shared" si="1"/>
        <v>45931</v>
      </c>
      <c r="J15" s="19" t="s">
        <v>28</v>
      </c>
      <c r="K15" s="19" t="s">
        <v>28</v>
      </c>
      <c r="L15" s="19"/>
    </row>
    <row r="16" ht="22.5" customHeight="1">
      <c r="C16" s="20" t="s">
        <v>22</v>
      </c>
      <c r="D16" s="21" t="s">
        <v>69</v>
      </c>
      <c r="E16" s="12" t="s">
        <v>70</v>
      </c>
      <c r="F16" s="12" t="s">
        <v>71</v>
      </c>
      <c r="G16" s="12" t="s">
        <v>72</v>
      </c>
      <c r="H16" s="14" t="s">
        <v>73</v>
      </c>
      <c r="I16" s="18">
        <f t="shared" si="1"/>
        <v>45931</v>
      </c>
      <c r="J16" s="19" t="s">
        <v>28</v>
      </c>
      <c r="K16" s="19" t="s">
        <v>28</v>
      </c>
      <c r="L16" s="19"/>
    </row>
    <row r="17" ht="22.5" customHeight="1">
      <c r="C17" s="16" t="s">
        <v>22</v>
      </c>
      <c r="D17" s="17" t="s">
        <v>74</v>
      </c>
      <c r="E17" s="12" t="s">
        <v>75</v>
      </c>
      <c r="F17" s="12" t="s">
        <v>76</v>
      </c>
      <c r="G17" s="12" t="s">
        <v>77</v>
      </c>
      <c r="H17" s="14" t="s">
        <v>78</v>
      </c>
      <c r="I17" s="18">
        <f t="shared" si="1"/>
        <v>45931</v>
      </c>
      <c r="J17" s="19" t="s">
        <v>28</v>
      </c>
      <c r="K17" s="19" t="s">
        <v>28</v>
      </c>
      <c r="L17" s="19"/>
    </row>
    <row r="18" ht="22.5" customHeight="1">
      <c r="C18" s="20" t="s">
        <v>22</v>
      </c>
      <c r="D18" s="21" t="s">
        <v>79</v>
      </c>
      <c r="E18" s="12" t="s">
        <v>80</v>
      </c>
      <c r="F18" s="12" t="s">
        <v>81</v>
      </c>
      <c r="G18" s="12" t="s">
        <v>82</v>
      </c>
      <c r="H18" s="14" t="s">
        <v>83</v>
      </c>
      <c r="I18" s="18">
        <f t="shared" si="1"/>
        <v>45931</v>
      </c>
      <c r="J18" s="19" t="s">
        <v>28</v>
      </c>
      <c r="K18" s="19" t="s">
        <v>28</v>
      </c>
      <c r="L18" s="19"/>
    </row>
    <row r="19" ht="22.5" customHeight="1">
      <c r="A19" s="22"/>
      <c r="C19" s="23" t="s">
        <v>84</v>
      </c>
      <c r="D19" s="24" t="s">
        <v>85</v>
      </c>
      <c r="E19" s="25" t="s">
        <v>86</v>
      </c>
      <c r="F19" s="25" t="s">
        <v>87</v>
      </c>
      <c r="G19" s="25" t="s">
        <v>57</v>
      </c>
      <c r="H19" s="26" t="s">
        <v>88</v>
      </c>
      <c r="I19" s="18">
        <f t="shared" si="1"/>
        <v>45931</v>
      </c>
      <c r="J19" s="19" t="s">
        <v>28</v>
      </c>
      <c r="K19" s="19" t="s">
        <v>28</v>
      </c>
      <c r="L19" s="19" t="s">
        <v>89</v>
      </c>
    </row>
    <row r="20" ht="22.5" customHeight="1">
      <c r="A20" s="22"/>
      <c r="C20" s="23" t="s">
        <v>84</v>
      </c>
      <c r="D20" s="24" t="s">
        <v>90</v>
      </c>
      <c r="E20" s="27" t="s">
        <v>91</v>
      </c>
      <c r="F20" s="27" t="s">
        <v>92</v>
      </c>
      <c r="G20" s="27" t="s">
        <v>67</v>
      </c>
      <c r="H20" s="26" t="s">
        <v>93</v>
      </c>
      <c r="I20" s="18">
        <f t="shared" si="1"/>
        <v>45931</v>
      </c>
      <c r="J20" s="19" t="s">
        <v>28</v>
      </c>
      <c r="K20" s="19" t="s">
        <v>28</v>
      </c>
      <c r="L20" s="19"/>
    </row>
    <row r="21" ht="22.5" customHeight="1">
      <c r="A21" s="22"/>
      <c r="C21" s="23" t="s">
        <v>84</v>
      </c>
      <c r="D21" s="24" t="s">
        <v>94</v>
      </c>
      <c r="E21" s="27" t="s">
        <v>95</v>
      </c>
      <c r="F21" s="27" t="s">
        <v>96</v>
      </c>
      <c r="G21" s="27" t="s">
        <v>97</v>
      </c>
      <c r="H21" s="26" t="s">
        <v>98</v>
      </c>
      <c r="I21" s="18">
        <f t="shared" si="1"/>
        <v>45931</v>
      </c>
      <c r="J21" s="19" t="s">
        <v>28</v>
      </c>
      <c r="K21" s="19" t="s">
        <v>28</v>
      </c>
      <c r="L21" s="19" t="s">
        <v>99</v>
      </c>
    </row>
    <row r="22" ht="22.5" customHeight="1">
      <c r="A22" s="22"/>
      <c r="C22" s="23" t="s">
        <v>84</v>
      </c>
      <c r="D22" s="24" t="s">
        <v>100</v>
      </c>
      <c r="E22" s="27" t="s">
        <v>101</v>
      </c>
      <c r="F22" s="27" t="s">
        <v>102</v>
      </c>
      <c r="G22" s="27" t="s">
        <v>103</v>
      </c>
      <c r="H22" s="26" t="s">
        <v>104</v>
      </c>
      <c r="I22" s="18">
        <f t="shared" si="1"/>
        <v>45931</v>
      </c>
      <c r="J22" s="19" t="s">
        <v>28</v>
      </c>
      <c r="K22" s="19" t="s">
        <v>28</v>
      </c>
      <c r="L22" s="19" t="s">
        <v>89</v>
      </c>
    </row>
    <row r="23" ht="22.5" customHeight="1">
      <c r="C23" s="23" t="s">
        <v>84</v>
      </c>
      <c r="D23" s="24" t="s">
        <v>105</v>
      </c>
      <c r="E23" s="27" t="s">
        <v>106</v>
      </c>
      <c r="F23" s="27" t="s">
        <v>107</v>
      </c>
      <c r="G23" s="27" t="s">
        <v>108</v>
      </c>
      <c r="H23" s="26" t="s">
        <v>109</v>
      </c>
      <c r="I23" s="18">
        <f t="shared" si="1"/>
        <v>45931</v>
      </c>
      <c r="J23" s="19" t="s">
        <v>28</v>
      </c>
      <c r="K23" s="19" t="s">
        <v>28</v>
      </c>
      <c r="L23" s="19"/>
    </row>
    <row r="24" ht="22.5" customHeight="1">
      <c r="C24" s="23" t="s">
        <v>84</v>
      </c>
      <c r="D24" s="24" t="s">
        <v>110</v>
      </c>
      <c r="E24" s="27" t="s">
        <v>111</v>
      </c>
      <c r="F24" s="27" t="s">
        <v>112</v>
      </c>
      <c r="G24" s="27" t="s">
        <v>113</v>
      </c>
      <c r="H24" s="26" t="s">
        <v>114</v>
      </c>
      <c r="I24" s="18">
        <f t="shared" si="1"/>
        <v>45931</v>
      </c>
      <c r="J24" s="19" t="s">
        <v>28</v>
      </c>
      <c r="K24" s="19" t="s">
        <v>28</v>
      </c>
      <c r="L24" s="19"/>
    </row>
    <row r="25" ht="22.5" customHeight="1">
      <c r="C25" s="23" t="s">
        <v>84</v>
      </c>
      <c r="D25" s="24" t="s">
        <v>115</v>
      </c>
      <c r="E25" s="27" t="s">
        <v>116</v>
      </c>
      <c r="F25" s="27" t="s">
        <v>117</v>
      </c>
      <c r="G25" s="27" t="s">
        <v>118</v>
      </c>
      <c r="H25" s="26" t="s">
        <v>119</v>
      </c>
      <c r="I25" s="18">
        <f t="shared" si="1"/>
        <v>45931</v>
      </c>
      <c r="J25" s="19" t="s">
        <v>28</v>
      </c>
      <c r="K25" s="19" t="s">
        <v>28</v>
      </c>
      <c r="L25" s="19" t="s">
        <v>99</v>
      </c>
    </row>
    <row r="26" ht="22.5" customHeight="1">
      <c r="C26" s="23" t="s">
        <v>84</v>
      </c>
      <c r="D26" s="24" t="s">
        <v>120</v>
      </c>
      <c r="E26" s="27" t="s">
        <v>121</v>
      </c>
      <c r="F26" s="27" t="s">
        <v>122</v>
      </c>
      <c r="G26" s="27" t="s">
        <v>72</v>
      </c>
      <c r="H26" s="26">
        <v>13059169123</v>
      </c>
      <c r="I26" s="18">
        <f t="shared" si="1"/>
        <v>45931</v>
      </c>
      <c r="J26" s="19" t="s">
        <v>28</v>
      </c>
      <c r="K26" s="19" t="s">
        <v>28</v>
      </c>
      <c r="L26" s="19"/>
    </row>
    <row r="27" ht="22.5" customHeight="1">
      <c r="C27" s="23" t="s">
        <v>84</v>
      </c>
      <c r="D27" s="24" t="s">
        <v>123</v>
      </c>
      <c r="E27" s="27" t="s">
        <v>124</v>
      </c>
      <c r="F27" s="27" t="s">
        <v>125</v>
      </c>
      <c r="G27" s="27" t="s">
        <v>126</v>
      </c>
      <c r="H27" s="26" t="s">
        <v>127</v>
      </c>
      <c r="I27" s="18">
        <f t="shared" si="1"/>
        <v>45931</v>
      </c>
      <c r="J27" s="19" t="s">
        <v>28</v>
      </c>
      <c r="K27" s="19" t="s">
        <v>28</v>
      </c>
      <c r="L27" s="19"/>
    </row>
    <row r="28" ht="22.5" customHeight="1">
      <c r="C28" s="23" t="s">
        <v>84</v>
      </c>
      <c r="D28" s="24" t="s">
        <v>128</v>
      </c>
      <c r="E28" s="27" t="s">
        <v>129</v>
      </c>
      <c r="F28" s="27" t="s">
        <v>130</v>
      </c>
      <c r="G28" s="27" t="s">
        <v>131</v>
      </c>
      <c r="H28" s="26" t="s">
        <v>132</v>
      </c>
      <c r="I28" s="18">
        <f t="shared" si="1"/>
        <v>45931</v>
      </c>
      <c r="J28" s="19" t="s">
        <v>28</v>
      </c>
      <c r="K28" s="19" t="s">
        <v>28</v>
      </c>
      <c r="L28" s="19"/>
    </row>
    <row r="29" ht="22.5" customHeight="1">
      <c r="C29" s="23" t="s">
        <v>84</v>
      </c>
      <c r="D29" s="24" t="s">
        <v>133</v>
      </c>
      <c r="E29" s="27" t="s">
        <v>134</v>
      </c>
      <c r="F29" s="27" t="s">
        <v>135</v>
      </c>
      <c r="G29" s="27" t="s">
        <v>136</v>
      </c>
      <c r="H29" s="26">
        <v>17862538975</v>
      </c>
      <c r="I29" s="18">
        <f t="shared" si="1"/>
        <v>45931</v>
      </c>
      <c r="J29" s="19" t="s">
        <v>28</v>
      </c>
      <c r="K29" s="19" t="s">
        <v>28</v>
      </c>
      <c r="L29" s="19" t="s">
        <v>137</v>
      </c>
    </row>
    <row r="30" ht="22.5" customHeight="1">
      <c r="C30" s="23" t="s">
        <v>138</v>
      </c>
      <c r="D30" s="24" t="s">
        <v>139</v>
      </c>
      <c r="E30" s="27" t="s">
        <v>140</v>
      </c>
      <c r="F30" s="27" t="s">
        <v>141</v>
      </c>
      <c r="G30" s="27" t="s">
        <v>142</v>
      </c>
      <c r="H30" s="26" t="s">
        <v>143</v>
      </c>
      <c r="I30" s="18">
        <f t="shared" si="1"/>
        <v>45931</v>
      </c>
      <c r="J30" s="19" t="s">
        <v>28</v>
      </c>
      <c r="K30" s="19" t="s">
        <v>28</v>
      </c>
      <c r="L30" s="19"/>
    </row>
    <row r="31" ht="22.5" customHeight="1">
      <c r="C31" s="23" t="s">
        <v>138</v>
      </c>
      <c r="D31" s="24" t="s">
        <v>144</v>
      </c>
      <c r="E31" s="27" t="s">
        <v>145</v>
      </c>
      <c r="F31" s="27" t="s">
        <v>146</v>
      </c>
      <c r="G31" s="27" t="s">
        <v>126</v>
      </c>
      <c r="H31" s="26" t="s">
        <v>147</v>
      </c>
      <c r="I31" s="18">
        <f t="shared" si="1"/>
        <v>45931</v>
      </c>
      <c r="J31" s="19" t="s">
        <v>28</v>
      </c>
      <c r="K31" s="19" t="s">
        <v>28</v>
      </c>
      <c r="L31" s="19" t="s">
        <v>148</v>
      </c>
    </row>
    <row r="32" ht="22.5" customHeight="1">
      <c r="C32" s="23" t="s">
        <v>138</v>
      </c>
      <c r="D32" s="24" t="s">
        <v>149</v>
      </c>
      <c r="E32" s="27" t="s">
        <v>150</v>
      </c>
      <c r="F32" s="27" t="s">
        <v>151</v>
      </c>
      <c r="G32" s="27" t="s">
        <v>152</v>
      </c>
      <c r="H32" s="26" t="s">
        <v>153</v>
      </c>
      <c r="I32" s="18">
        <f t="shared" si="1"/>
        <v>45931</v>
      </c>
      <c r="J32" s="19" t="s">
        <v>28</v>
      </c>
      <c r="K32" s="19" t="s">
        <v>28</v>
      </c>
      <c r="L32" s="19"/>
    </row>
    <row r="33" ht="22.5" customHeight="1">
      <c r="C33" s="23" t="s">
        <v>138</v>
      </c>
      <c r="D33" s="24" t="s">
        <v>154</v>
      </c>
      <c r="E33" s="27" t="s">
        <v>155</v>
      </c>
      <c r="F33" s="27" t="s">
        <v>156</v>
      </c>
      <c r="G33" s="27" t="s">
        <v>77</v>
      </c>
      <c r="H33" s="26" t="s">
        <v>157</v>
      </c>
      <c r="I33" s="18">
        <f t="shared" si="1"/>
        <v>45931</v>
      </c>
      <c r="J33" s="19" t="s">
        <v>28</v>
      </c>
      <c r="K33" s="19" t="s">
        <v>28</v>
      </c>
      <c r="L33" s="19"/>
    </row>
    <row r="34" ht="22.5" customHeight="1">
      <c r="C34" s="23" t="s">
        <v>138</v>
      </c>
      <c r="D34" s="24" t="s">
        <v>158</v>
      </c>
      <c r="E34" s="27" t="s">
        <v>159</v>
      </c>
      <c r="F34" s="27" t="s">
        <v>160</v>
      </c>
      <c r="G34" s="27" t="s">
        <v>67</v>
      </c>
      <c r="H34" s="26" t="s">
        <v>161</v>
      </c>
      <c r="I34" s="18">
        <f t="shared" si="1"/>
        <v>45931</v>
      </c>
      <c r="J34" s="19" t="s">
        <v>28</v>
      </c>
      <c r="K34" s="19" t="s">
        <v>28</v>
      </c>
      <c r="L34" s="19"/>
    </row>
    <row r="35" ht="22.5" customHeight="1">
      <c r="C35" s="23" t="s">
        <v>138</v>
      </c>
      <c r="D35" s="24" t="s">
        <v>162</v>
      </c>
      <c r="E35" s="27" t="s">
        <v>163</v>
      </c>
      <c r="F35" s="27" t="s">
        <v>164</v>
      </c>
      <c r="G35" s="27" t="s">
        <v>165</v>
      </c>
      <c r="H35" s="26" t="s">
        <v>166</v>
      </c>
      <c r="I35" s="18">
        <f t="shared" si="1"/>
        <v>45931</v>
      </c>
      <c r="J35" s="19" t="s">
        <v>28</v>
      </c>
      <c r="K35" s="19" t="s">
        <v>28</v>
      </c>
      <c r="L35" s="19"/>
    </row>
    <row r="36" ht="22.5" customHeight="1">
      <c r="C36" s="23" t="s">
        <v>138</v>
      </c>
      <c r="D36" s="24" t="s">
        <v>167</v>
      </c>
      <c r="E36" s="27" t="s">
        <v>168</v>
      </c>
      <c r="F36" s="27" t="s">
        <v>169</v>
      </c>
      <c r="G36" s="27" t="s">
        <v>170</v>
      </c>
      <c r="H36" s="26" t="s">
        <v>171</v>
      </c>
      <c r="I36" s="18">
        <f t="shared" si="1"/>
        <v>45931</v>
      </c>
      <c r="J36" s="19" t="s">
        <v>28</v>
      </c>
      <c r="K36" s="19" t="s">
        <v>28</v>
      </c>
      <c r="L36" s="19"/>
    </row>
    <row r="37" ht="22.5" customHeight="1">
      <c r="C37" s="23" t="s">
        <v>138</v>
      </c>
      <c r="D37" s="24" t="s">
        <v>172</v>
      </c>
      <c r="E37" s="27" t="s">
        <v>173</v>
      </c>
      <c r="F37" s="27" t="s">
        <v>174</v>
      </c>
      <c r="G37" s="27" t="s">
        <v>57</v>
      </c>
      <c r="H37" s="26" t="s">
        <v>175</v>
      </c>
      <c r="I37" s="18">
        <f t="shared" si="1"/>
        <v>45931</v>
      </c>
      <c r="J37" s="19" t="s">
        <v>28</v>
      </c>
      <c r="K37" s="19" t="s">
        <v>28</v>
      </c>
      <c r="L37" s="19"/>
    </row>
    <row r="38" ht="22.5" customHeight="1">
      <c r="C38" s="23" t="s">
        <v>138</v>
      </c>
      <c r="D38" s="24" t="s">
        <v>176</v>
      </c>
      <c r="E38" s="27" t="s">
        <v>177</v>
      </c>
      <c r="F38" s="27" t="s">
        <v>178</v>
      </c>
      <c r="G38" s="27" t="s">
        <v>26</v>
      </c>
      <c r="H38" s="26" t="s">
        <v>179</v>
      </c>
      <c r="I38" s="18">
        <f t="shared" si="1"/>
        <v>45931</v>
      </c>
      <c r="J38" s="19" t="s">
        <v>28</v>
      </c>
      <c r="K38" s="19" t="s">
        <v>28</v>
      </c>
      <c r="L38" s="19"/>
    </row>
    <row r="39" ht="22.5" customHeight="1">
      <c r="C39" s="23" t="s">
        <v>138</v>
      </c>
      <c r="D39" s="24" t="s">
        <v>180</v>
      </c>
      <c r="E39" s="27" t="s">
        <v>181</v>
      </c>
      <c r="F39" s="28" t="s">
        <v>182</v>
      </c>
      <c r="G39" s="27" t="s">
        <v>72</v>
      </c>
      <c r="H39" s="26" t="s">
        <v>183</v>
      </c>
      <c r="I39" s="18">
        <f t="shared" si="1"/>
        <v>45931</v>
      </c>
      <c r="J39" s="19" t="s">
        <v>28</v>
      </c>
      <c r="K39" s="19" t="s">
        <v>28</v>
      </c>
      <c r="L39" s="19"/>
    </row>
    <row r="40" ht="22.5" customHeight="1">
      <c r="C40" s="23" t="s">
        <v>138</v>
      </c>
      <c r="D40" s="24" t="s">
        <v>184</v>
      </c>
      <c r="E40" s="27" t="s">
        <v>185</v>
      </c>
      <c r="F40" s="27" t="s">
        <v>186</v>
      </c>
      <c r="G40" s="27" t="s">
        <v>113</v>
      </c>
      <c r="H40" s="26" t="s">
        <v>187</v>
      </c>
      <c r="I40" s="18">
        <f t="shared" si="1"/>
        <v>45931</v>
      </c>
      <c r="J40" s="19" t="s">
        <v>28</v>
      </c>
      <c r="K40" s="19" t="s">
        <v>28</v>
      </c>
      <c r="L40" s="19"/>
    </row>
    <row r="41" ht="22.5" customHeight="1">
      <c r="C41" s="23" t="s">
        <v>138</v>
      </c>
      <c r="D41" s="24" t="s">
        <v>188</v>
      </c>
      <c r="E41" s="27" t="s">
        <v>189</v>
      </c>
      <c r="F41" s="27" t="s">
        <v>190</v>
      </c>
      <c r="G41" s="27" t="s">
        <v>191</v>
      </c>
      <c r="H41" s="26" t="s">
        <v>192</v>
      </c>
      <c r="I41" s="18">
        <f t="shared" si="1"/>
        <v>45931</v>
      </c>
      <c r="J41" s="19" t="s">
        <v>28</v>
      </c>
      <c r="K41" s="19" t="s">
        <v>28</v>
      </c>
      <c r="L41" s="19"/>
    </row>
    <row r="42" ht="22.5" customHeight="1">
      <c r="C42" s="23" t="s">
        <v>193</v>
      </c>
      <c r="D42" s="24" t="s">
        <v>139</v>
      </c>
      <c r="E42" s="27" t="s">
        <v>194</v>
      </c>
      <c r="F42" s="27" t="s">
        <v>195</v>
      </c>
      <c r="G42" s="27" t="s">
        <v>57</v>
      </c>
      <c r="H42" s="26" t="s">
        <v>196</v>
      </c>
      <c r="I42" s="18">
        <f t="shared" si="1"/>
        <v>45931</v>
      </c>
      <c r="J42" s="19" t="s">
        <v>28</v>
      </c>
      <c r="K42" s="19" t="s">
        <v>28</v>
      </c>
      <c r="L42" s="19" t="s">
        <v>99</v>
      </c>
    </row>
    <row r="43" ht="22.5" customHeight="1">
      <c r="C43" s="23" t="s">
        <v>193</v>
      </c>
      <c r="D43" s="24" t="s">
        <v>144</v>
      </c>
      <c r="E43" s="27" t="s">
        <v>197</v>
      </c>
      <c r="F43" s="27" t="s">
        <v>198</v>
      </c>
      <c r="G43" s="27" t="s">
        <v>113</v>
      </c>
      <c r="H43" s="26" t="s">
        <v>199</v>
      </c>
      <c r="I43" s="18">
        <f t="shared" si="1"/>
        <v>45931</v>
      </c>
      <c r="J43" s="19" t="s">
        <v>28</v>
      </c>
      <c r="K43" s="19" t="s">
        <v>28</v>
      </c>
      <c r="L43" s="19"/>
    </row>
    <row r="44" ht="22.5" customHeight="1">
      <c r="C44" s="23" t="s">
        <v>193</v>
      </c>
      <c r="D44" s="24" t="s">
        <v>149</v>
      </c>
      <c r="E44" s="27" t="s">
        <v>200</v>
      </c>
      <c r="F44" s="27" t="s">
        <v>201</v>
      </c>
      <c r="G44" s="27" t="s">
        <v>62</v>
      </c>
      <c r="H44" s="26" t="s">
        <v>202</v>
      </c>
      <c r="I44" s="18">
        <f t="shared" si="1"/>
        <v>45931</v>
      </c>
      <c r="J44" s="19" t="s">
        <v>28</v>
      </c>
      <c r="K44" s="19" t="s">
        <v>28</v>
      </c>
      <c r="L44" s="19"/>
    </row>
    <row r="45" ht="22.5" customHeight="1">
      <c r="C45" s="23" t="s">
        <v>193</v>
      </c>
      <c r="D45" s="24" t="s">
        <v>154</v>
      </c>
      <c r="E45" s="27" t="s">
        <v>203</v>
      </c>
      <c r="F45" s="27" t="s">
        <v>204</v>
      </c>
      <c r="G45" s="27" t="s">
        <v>72</v>
      </c>
      <c r="H45" s="26">
        <v>19173404037</v>
      </c>
      <c r="I45" s="18">
        <f t="shared" si="1"/>
        <v>45931</v>
      </c>
      <c r="J45" s="19" t="s">
        <v>28</v>
      </c>
      <c r="K45" s="19" t="s">
        <v>28</v>
      </c>
      <c r="L45" s="19"/>
    </row>
    <row r="46" ht="22.5" customHeight="1">
      <c r="C46" s="23" t="s">
        <v>193</v>
      </c>
      <c r="D46" s="24" t="s">
        <v>158</v>
      </c>
      <c r="E46" s="27" t="s">
        <v>205</v>
      </c>
      <c r="F46" s="27" t="s">
        <v>206</v>
      </c>
      <c r="G46" s="27" t="s">
        <v>126</v>
      </c>
      <c r="H46" s="26" t="s">
        <v>207</v>
      </c>
      <c r="I46" s="18">
        <f t="shared" si="1"/>
        <v>45931</v>
      </c>
      <c r="J46" s="19" t="s">
        <v>28</v>
      </c>
      <c r="K46" s="19" t="s">
        <v>28</v>
      </c>
      <c r="L46" s="19"/>
    </row>
    <row r="47" ht="22.5" customHeight="1">
      <c r="C47" s="23" t="s">
        <v>193</v>
      </c>
      <c r="D47" s="24" t="s">
        <v>162</v>
      </c>
      <c r="E47" s="27" t="s">
        <v>208</v>
      </c>
      <c r="F47" s="27" t="s">
        <v>209</v>
      </c>
      <c r="G47" s="27" t="s">
        <v>67</v>
      </c>
      <c r="H47" s="26" t="s">
        <v>210</v>
      </c>
      <c r="I47" s="18">
        <f t="shared" si="1"/>
        <v>45931</v>
      </c>
      <c r="J47" s="19" t="s">
        <v>28</v>
      </c>
      <c r="K47" s="19" t="s">
        <v>28</v>
      </c>
      <c r="L47" s="19"/>
    </row>
    <row r="48" ht="22.5" customHeight="1">
      <c r="C48" s="23" t="s">
        <v>193</v>
      </c>
      <c r="D48" s="24" t="s">
        <v>167</v>
      </c>
      <c r="E48" s="27" t="s">
        <v>211</v>
      </c>
      <c r="F48" s="27" t="s">
        <v>212</v>
      </c>
      <c r="G48" s="27" t="s">
        <v>213</v>
      </c>
      <c r="H48" s="26" t="s">
        <v>214</v>
      </c>
      <c r="I48" s="18">
        <f t="shared" si="1"/>
        <v>45931</v>
      </c>
      <c r="J48" s="19" t="s">
        <v>28</v>
      </c>
      <c r="K48" s="19" t="s">
        <v>28</v>
      </c>
      <c r="L48" s="19"/>
    </row>
    <row r="49" ht="22.5" customHeight="1">
      <c r="C49" s="23" t="s">
        <v>193</v>
      </c>
      <c r="D49" s="24" t="s">
        <v>172</v>
      </c>
      <c r="E49" s="27" t="s">
        <v>215</v>
      </c>
      <c r="F49" s="27" t="s">
        <v>216</v>
      </c>
      <c r="G49" s="27" t="s">
        <v>217</v>
      </c>
      <c r="H49" s="26" t="s">
        <v>218</v>
      </c>
      <c r="I49" s="18">
        <f t="shared" si="1"/>
        <v>45931</v>
      </c>
      <c r="J49" s="19" t="s">
        <v>28</v>
      </c>
      <c r="K49" s="19" t="s">
        <v>28</v>
      </c>
      <c r="L49" s="19"/>
    </row>
    <row r="50" ht="22.5" customHeight="1">
      <c r="C50" s="23" t="s">
        <v>193</v>
      </c>
      <c r="D50" s="24" t="s">
        <v>176</v>
      </c>
      <c r="E50" s="27" t="s">
        <v>219</v>
      </c>
      <c r="F50" s="27" t="s">
        <v>220</v>
      </c>
      <c r="G50" s="27" t="s">
        <v>26</v>
      </c>
      <c r="H50" s="26" t="s">
        <v>221</v>
      </c>
      <c r="I50" s="18">
        <f t="shared" si="1"/>
        <v>45931</v>
      </c>
      <c r="J50" s="19" t="s">
        <v>28</v>
      </c>
      <c r="K50" s="19" t="s">
        <v>28</v>
      </c>
      <c r="L50" s="19" t="s">
        <v>148</v>
      </c>
    </row>
    <row r="51" ht="22.5" customHeight="1">
      <c r="C51" s="23" t="s">
        <v>193</v>
      </c>
      <c r="D51" s="24" t="s">
        <v>180</v>
      </c>
      <c r="E51" s="27" t="s">
        <v>222</v>
      </c>
      <c r="F51" s="27" t="s">
        <v>223</v>
      </c>
      <c r="G51" s="27" t="s">
        <v>224</v>
      </c>
      <c r="H51" s="26">
        <v>17865465339</v>
      </c>
      <c r="I51" s="18">
        <f t="shared" si="1"/>
        <v>45931</v>
      </c>
      <c r="J51" s="19" t="s">
        <v>28</v>
      </c>
      <c r="K51" s="19" t="s">
        <v>28</v>
      </c>
      <c r="L51" s="19" t="s">
        <v>137</v>
      </c>
    </row>
    <row r="52" ht="22.5" customHeight="1">
      <c r="C52" s="23" t="s">
        <v>193</v>
      </c>
      <c r="D52" s="24" t="s">
        <v>184</v>
      </c>
      <c r="E52" s="27" t="s">
        <v>225</v>
      </c>
      <c r="F52" s="27" t="s">
        <v>226</v>
      </c>
      <c r="G52" s="27" t="s">
        <v>152</v>
      </c>
      <c r="H52" s="26" t="s">
        <v>227</v>
      </c>
      <c r="I52" s="18">
        <f t="shared" si="1"/>
        <v>45931</v>
      </c>
      <c r="J52" s="19" t="s">
        <v>28</v>
      </c>
      <c r="K52" s="19" t="s">
        <v>28</v>
      </c>
      <c r="L52" s="19"/>
    </row>
    <row r="53" ht="22.5" customHeight="1">
      <c r="C53" s="23" t="s">
        <v>193</v>
      </c>
      <c r="D53" s="24" t="s">
        <v>188</v>
      </c>
      <c r="E53" s="27" t="s">
        <v>228</v>
      </c>
      <c r="F53" s="27" t="s">
        <v>229</v>
      </c>
      <c r="G53" s="27" t="s">
        <v>230</v>
      </c>
      <c r="H53" s="26" t="s">
        <v>231</v>
      </c>
      <c r="I53" s="18">
        <f t="shared" si="1"/>
        <v>45931</v>
      </c>
      <c r="J53" s="19" t="s">
        <v>28</v>
      </c>
      <c r="K53" s="19" t="s">
        <v>28</v>
      </c>
      <c r="L53" s="19"/>
    </row>
    <row r="54" ht="22.5" customHeight="1">
      <c r="C54" s="23" t="s">
        <v>193</v>
      </c>
      <c r="D54" s="24" t="s">
        <v>232</v>
      </c>
      <c r="E54" s="27" t="s">
        <v>233</v>
      </c>
      <c r="F54" s="27" t="s">
        <v>234</v>
      </c>
      <c r="G54" s="27" t="s">
        <v>142</v>
      </c>
      <c r="H54" s="26" t="s">
        <v>235</v>
      </c>
      <c r="I54" s="18">
        <f t="shared" si="1"/>
        <v>45931</v>
      </c>
      <c r="J54" s="19" t="s">
        <v>28</v>
      </c>
      <c r="K54" s="19" t="s">
        <v>28</v>
      </c>
      <c r="L54" s="19" t="s">
        <v>148</v>
      </c>
    </row>
    <row r="55" ht="22.5" customHeight="1">
      <c r="C55" s="19" t="s">
        <v>236</v>
      </c>
      <c r="D55" s="19" t="s">
        <v>237</v>
      </c>
      <c r="E55" s="27" t="s">
        <v>238</v>
      </c>
      <c r="F55" s="27" t="s">
        <v>239</v>
      </c>
      <c r="G55" s="27" t="s">
        <v>113</v>
      </c>
      <c r="H55" s="26" t="s">
        <v>240</v>
      </c>
      <c r="I55" s="18">
        <f t="shared" si="1"/>
        <v>45931</v>
      </c>
      <c r="J55" s="19" t="s">
        <v>28</v>
      </c>
      <c r="K55" s="19" t="s">
        <v>28</v>
      </c>
      <c r="L55" s="19"/>
    </row>
    <row r="56" ht="22.5" customHeight="1">
      <c r="C56" s="19" t="s">
        <v>236</v>
      </c>
      <c r="D56" s="19" t="s">
        <v>241</v>
      </c>
      <c r="E56" s="27" t="s">
        <v>242</v>
      </c>
      <c r="F56" s="27" t="s">
        <v>243</v>
      </c>
      <c r="G56" s="27" t="s">
        <v>108</v>
      </c>
      <c r="H56" s="26">
        <v>13057106718</v>
      </c>
      <c r="I56" s="18">
        <f t="shared" si="1"/>
        <v>45931</v>
      </c>
      <c r="J56" s="19" t="s">
        <v>28</v>
      </c>
      <c r="K56" s="19" t="s">
        <v>28</v>
      </c>
      <c r="L56" s="19"/>
    </row>
    <row r="57" ht="22.5" customHeight="1">
      <c r="C57" s="19" t="s">
        <v>236</v>
      </c>
      <c r="D57" s="19" t="s">
        <v>244</v>
      </c>
      <c r="E57" s="27" t="s">
        <v>245</v>
      </c>
      <c r="F57" s="27" t="s">
        <v>246</v>
      </c>
      <c r="G57" s="27" t="s">
        <v>247</v>
      </c>
      <c r="H57" s="26" t="s">
        <v>248</v>
      </c>
      <c r="I57" s="18">
        <f t="shared" si="1"/>
        <v>45931</v>
      </c>
      <c r="J57" s="19" t="s">
        <v>28</v>
      </c>
      <c r="K57" s="19" t="s">
        <v>28</v>
      </c>
      <c r="L57" s="19"/>
    </row>
    <row r="58" ht="22.5" customHeight="1">
      <c r="C58" s="19" t="s">
        <v>236</v>
      </c>
      <c r="D58" s="19" t="s">
        <v>249</v>
      </c>
      <c r="E58" s="27" t="s">
        <v>250</v>
      </c>
      <c r="F58" s="27" t="s">
        <v>251</v>
      </c>
      <c r="G58" s="27" t="s">
        <v>67</v>
      </c>
      <c r="H58" s="26">
        <v>13059231042</v>
      </c>
      <c r="I58" s="18">
        <f t="shared" si="1"/>
        <v>45931</v>
      </c>
      <c r="J58" s="19" t="s">
        <v>28</v>
      </c>
      <c r="K58" s="19" t="s">
        <v>28</v>
      </c>
      <c r="L58" s="19"/>
    </row>
    <row r="59" ht="22.5" customHeight="1">
      <c r="C59" s="19" t="s">
        <v>236</v>
      </c>
      <c r="D59" s="19" t="s">
        <v>252</v>
      </c>
      <c r="E59" s="27" t="s">
        <v>253</v>
      </c>
      <c r="F59" s="27" t="s">
        <v>254</v>
      </c>
      <c r="G59" s="27" t="s">
        <v>126</v>
      </c>
      <c r="H59" s="26" t="s">
        <v>255</v>
      </c>
      <c r="I59" s="18">
        <f t="shared" si="1"/>
        <v>45931</v>
      </c>
      <c r="J59" s="19" t="s">
        <v>28</v>
      </c>
      <c r="K59" s="19" t="s">
        <v>28</v>
      </c>
      <c r="L59" s="19"/>
    </row>
    <row r="60" ht="22.5" customHeight="1">
      <c r="C60" s="19" t="s">
        <v>236</v>
      </c>
      <c r="D60" s="19" t="s">
        <v>256</v>
      </c>
      <c r="E60" s="27" t="s">
        <v>257</v>
      </c>
      <c r="F60" s="27" t="s">
        <v>258</v>
      </c>
      <c r="G60" s="27" t="s">
        <v>259</v>
      </c>
      <c r="H60" s="26" t="s">
        <v>260</v>
      </c>
      <c r="I60" s="18">
        <f t="shared" si="1"/>
        <v>45931</v>
      </c>
      <c r="J60" s="19" t="s">
        <v>28</v>
      </c>
      <c r="K60" s="19" t="s">
        <v>28</v>
      </c>
      <c r="L60" s="19"/>
    </row>
    <row r="61" ht="22.5" customHeight="1">
      <c r="C61" s="19" t="s">
        <v>236</v>
      </c>
      <c r="D61" s="19" t="s">
        <v>261</v>
      </c>
      <c r="E61" s="27" t="s">
        <v>262</v>
      </c>
      <c r="F61" s="27" t="s">
        <v>263</v>
      </c>
      <c r="G61" s="27" t="s">
        <v>264</v>
      </c>
      <c r="H61" s="26" t="s">
        <v>265</v>
      </c>
      <c r="I61" s="18">
        <f t="shared" si="1"/>
        <v>45931</v>
      </c>
      <c r="J61" s="19" t="s">
        <v>28</v>
      </c>
      <c r="K61" s="19" t="s">
        <v>28</v>
      </c>
      <c r="L61" s="19"/>
    </row>
    <row r="62" ht="22.5" customHeight="1">
      <c r="C62" s="19" t="s">
        <v>236</v>
      </c>
      <c r="D62" s="19" t="s">
        <v>266</v>
      </c>
      <c r="E62" s="27" t="s">
        <v>267</v>
      </c>
      <c r="F62" s="27" t="s">
        <v>268</v>
      </c>
      <c r="G62" s="27" t="s">
        <v>269</v>
      </c>
      <c r="H62" s="26" t="s">
        <v>270</v>
      </c>
      <c r="I62" s="18">
        <f t="shared" si="1"/>
        <v>45931</v>
      </c>
      <c r="J62" s="19" t="s">
        <v>28</v>
      </c>
      <c r="K62" s="19" t="s">
        <v>28</v>
      </c>
      <c r="L62" s="19"/>
    </row>
    <row r="63" ht="22.5" customHeight="1">
      <c r="C63" s="19" t="s">
        <v>271</v>
      </c>
      <c r="D63" s="19" t="s">
        <v>272</v>
      </c>
      <c r="E63" s="27" t="s">
        <v>273</v>
      </c>
      <c r="F63" s="27" t="s">
        <v>274</v>
      </c>
      <c r="G63" s="27" t="s">
        <v>77</v>
      </c>
      <c r="H63" s="26" t="s">
        <v>275</v>
      </c>
      <c r="I63" s="18">
        <f t="shared" si="1"/>
        <v>45931</v>
      </c>
      <c r="J63" s="19" t="s">
        <v>28</v>
      </c>
      <c r="K63" s="19" t="s">
        <v>28</v>
      </c>
      <c r="L63" s="19"/>
    </row>
    <row r="64" ht="22.5" customHeight="1">
      <c r="C64" s="19" t="s">
        <v>271</v>
      </c>
      <c r="D64" s="19" t="s">
        <v>276</v>
      </c>
      <c r="E64" s="27" t="s">
        <v>277</v>
      </c>
      <c r="F64" s="27" t="s">
        <v>278</v>
      </c>
      <c r="G64" s="27" t="s">
        <v>279</v>
      </c>
      <c r="H64" s="26" t="s">
        <v>280</v>
      </c>
      <c r="I64" s="18">
        <f t="shared" si="1"/>
        <v>45931</v>
      </c>
      <c r="J64" s="19" t="s">
        <v>28</v>
      </c>
      <c r="K64" s="19" t="s">
        <v>28</v>
      </c>
      <c r="L64" s="19"/>
    </row>
    <row r="65" ht="22.5" customHeight="1">
      <c r="C65" s="19" t="s">
        <v>271</v>
      </c>
      <c r="D65" s="19" t="s">
        <v>281</v>
      </c>
      <c r="E65" s="27" t="s">
        <v>282</v>
      </c>
      <c r="F65" s="27" t="s">
        <v>283</v>
      </c>
      <c r="G65" s="27" t="s">
        <v>72</v>
      </c>
      <c r="H65" s="26" t="s">
        <v>284</v>
      </c>
      <c r="I65" s="18">
        <f t="shared" si="1"/>
        <v>45931</v>
      </c>
      <c r="J65" s="19" t="s">
        <v>28</v>
      </c>
      <c r="K65" s="19" t="s">
        <v>28</v>
      </c>
      <c r="L65" s="19" t="s">
        <v>99</v>
      </c>
    </row>
    <row r="66" ht="22.5" customHeight="1">
      <c r="C66" s="19" t="s">
        <v>271</v>
      </c>
      <c r="D66" s="19" t="s">
        <v>285</v>
      </c>
      <c r="E66" s="27" t="s">
        <v>286</v>
      </c>
      <c r="F66" s="27" t="s">
        <v>287</v>
      </c>
      <c r="G66" s="27" t="s">
        <v>288</v>
      </c>
      <c r="H66" s="26" t="s">
        <v>289</v>
      </c>
      <c r="I66" s="18">
        <f t="shared" si="1"/>
        <v>45931</v>
      </c>
      <c r="J66" s="19" t="s">
        <v>28</v>
      </c>
      <c r="K66" s="19" t="s">
        <v>28</v>
      </c>
      <c r="L66" s="19"/>
    </row>
    <row r="67" ht="22.5" customHeight="1">
      <c r="C67" s="19" t="s">
        <v>271</v>
      </c>
      <c r="D67" s="19" t="s">
        <v>290</v>
      </c>
      <c r="E67" s="27" t="s">
        <v>291</v>
      </c>
      <c r="F67" s="27" t="s">
        <v>292</v>
      </c>
      <c r="G67" s="27" t="s">
        <v>136</v>
      </c>
      <c r="H67" s="26" t="s">
        <v>293</v>
      </c>
      <c r="I67" s="18">
        <f t="shared" si="1"/>
        <v>45931</v>
      </c>
      <c r="J67" s="19" t="s">
        <v>28</v>
      </c>
      <c r="K67" s="19" t="s">
        <v>28</v>
      </c>
      <c r="L67" s="19"/>
    </row>
    <row r="68" ht="22.5" customHeight="1">
      <c r="C68" s="19" t="s">
        <v>271</v>
      </c>
      <c r="D68" s="19" t="s">
        <v>294</v>
      </c>
      <c r="E68" s="27" t="s">
        <v>295</v>
      </c>
      <c r="F68" s="27" t="s">
        <v>296</v>
      </c>
      <c r="G68" s="27" t="s">
        <v>57</v>
      </c>
      <c r="H68" s="26" t="s">
        <v>297</v>
      </c>
      <c r="I68" s="18">
        <f t="shared" si="1"/>
        <v>45931</v>
      </c>
      <c r="J68" s="19" t="s">
        <v>28</v>
      </c>
      <c r="K68" s="19" t="s">
        <v>28</v>
      </c>
      <c r="L68" s="19"/>
    </row>
    <row r="69" ht="22.5" customHeight="1">
      <c r="C69" s="19" t="s">
        <v>271</v>
      </c>
      <c r="D69" s="19" t="s">
        <v>298</v>
      </c>
      <c r="E69" s="27" t="s">
        <v>299</v>
      </c>
      <c r="F69" s="27" t="s">
        <v>300</v>
      </c>
      <c r="G69" s="27" t="s">
        <v>301</v>
      </c>
      <c r="H69" s="26" t="s">
        <v>302</v>
      </c>
      <c r="I69" s="18">
        <f t="shared" si="1"/>
        <v>45931</v>
      </c>
      <c r="J69" s="19" t="s">
        <v>28</v>
      </c>
      <c r="K69" s="19" t="s">
        <v>28</v>
      </c>
      <c r="L69" s="19"/>
    </row>
    <row r="70" ht="22.5" customHeight="1">
      <c r="C70" s="19" t="s">
        <v>271</v>
      </c>
      <c r="D70" s="19" t="s">
        <v>303</v>
      </c>
      <c r="E70" s="27" t="s">
        <v>304</v>
      </c>
      <c r="F70" s="27" t="s">
        <v>305</v>
      </c>
      <c r="G70" s="27" t="s">
        <v>118</v>
      </c>
      <c r="H70" s="26" t="s">
        <v>306</v>
      </c>
      <c r="I70" s="18">
        <f t="shared" si="1"/>
        <v>45931</v>
      </c>
      <c r="J70" s="19" t="s">
        <v>28</v>
      </c>
      <c r="K70" s="19" t="s">
        <v>28</v>
      </c>
      <c r="L70" s="19"/>
    </row>
    <row r="71" ht="22.5" customHeight="1">
      <c r="C71" s="19" t="s">
        <v>271</v>
      </c>
      <c r="D71" s="19" t="s">
        <v>307</v>
      </c>
      <c r="E71" s="27" t="s">
        <v>308</v>
      </c>
      <c r="F71" s="27" t="s">
        <v>309</v>
      </c>
      <c r="G71" s="27" t="s">
        <v>67</v>
      </c>
      <c r="H71" s="26" t="s">
        <v>310</v>
      </c>
      <c r="I71" s="18">
        <f t="shared" si="1"/>
        <v>45931</v>
      </c>
      <c r="J71" s="19" t="s">
        <v>28</v>
      </c>
      <c r="K71" s="19" t="s">
        <v>28</v>
      </c>
      <c r="L71" s="19"/>
    </row>
    <row r="72" ht="22.5" customHeight="1">
      <c r="C72" s="19" t="s">
        <v>271</v>
      </c>
      <c r="D72" s="19" t="s">
        <v>311</v>
      </c>
      <c r="E72" s="27" t="s">
        <v>312</v>
      </c>
      <c r="F72" s="27" t="s">
        <v>313</v>
      </c>
      <c r="G72" s="27" t="s">
        <v>26</v>
      </c>
      <c r="H72" s="26" t="s">
        <v>314</v>
      </c>
      <c r="I72" s="18">
        <f t="shared" si="1"/>
        <v>45931</v>
      </c>
      <c r="J72" s="19" t="s">
        <v>28</v>
      </c>
      <c r="K72" s="19" t="s">
        <v>28</v>
      </c>
      <c r="L72" s="19"/>
    </row>
    <row r="73" ht="22.5" customHeight="1">
      <c r="C73" s="19" t="s">
        <v>271</v>
      </c>
      <c r="D73" s="19" t="s">
        <v>315</v>
      </c>
      <c r="E73" s="27" t="s">
        <v>316</v>
      </c>
      <c r="F73" s="27" t="s">
        <v>317</v>
      </c>
      <c r="G73" s="27" t="s">
        <v>126</v>
      </c>
      <c r="H73" s="26" t="s">
        <v>318</v>
      </c>
      <c r="I73" s="18">
        <f t="shared" si="1"/>
        <v>45931</v>
      </c>
      <c r="J73" s="19" t="s">
        <v>28</v>
      </c>
      <c r="K73" s="19" t="s">
        <v>28</v>
      </c>
      <c r="L73" s="19"/>
    </row>
    <row r="74" ht="22.5" customHeight="1">
      <c r="C74" s="19" t="s">
        <v>319</v>
      </c>
      <c r="D74" s="19" t="s">
        <v>320</v>
      </c>
      <c r="E74" s="27" t="s">
        <v>321</v>
      </c>
      <c r="F74" s="27" t="s">
        <v>322</v>
      </c>
      <c r="G74" s="27" t="s">
        <v>323</v>
      </c>
      <c r="H74" s="26" t="s">
        <v>324</v>
      </c>
      <c r="I74" s="18">
        <f t="shared" si="1"/>
        <v>45931</v>
      </c>
      <c r="J74" s="19" t="s">
        <v>28</v>
      </c>
      <c r="K74" s="19" t="s">
        <v>325</v>
      </c>
      <c r="L74" s="19"/>
    </row>
    <row r="75" ht="22.5" customHeight="1">
      <c r="C75" s="19" t="s">
        <v>319</v>
      </c>
      <c r="D75" s="19" t="s">
        <v>326</v>
      </c>
      <c r="E75" s="27" t="s">
        <v>327</v>
      </c>
      <c r="F75" s="27" t="s">
        <v>328</v>
      </c>
      <c r="G75" s="27" t="s">
        <v>126</v>
      </c>
      <c r="H75" s="26" t="s">
        <v>329</v>
      </c>
      <c r="I75" s="18">
        <f t="shared" si="1"/>
        <v>45931</v>
      </c>
      <c r="J75" s="19" t="s">
        <v>28</v>
      </c>
      <c r="K75" s="19" t="s">
        <v>325</v>
      </c>
      <c r="L75" s="19"/>
    </row>
    <row r="76" ht="22.5" customHeight="1">
      <c r="C76" s="19" t="s">
        <v>319</v>
      </c>
      <c r="D76" s="19" t="s">
        <v>330</v>
      </c>
      <c r="E76" s="27" t="s">
        <v>331</v>
      </c>
      <c r="F76" s="27" t="s">
        <v>332</v>
      </c>
      <c r="G76" s="27" t="s">
        <v>333</v>
      </c>
      <c r="H76" s="26" t="s">
        <v>334</v>
      </c>
      <c r="I76" s="18">
        <f t="shared" si="1"/>
        <v>45931</v>
      </c>
      <c r="J76" s="19" t="s">
        <v>28</v>
      </c>
      <c r="K76" s="19" t="s">
        <v>325</v>
      </c>
      <c r="L76" s="19"/>
    </row>
    <row r="77" ht="22.5" customHeight="1">
      <c r="C77" s="19" t="s">
        <v>319</v>
      </c>
      <c r="D77" s="19" t="s">
        <v>335</v>
      </c>
      <c r="E77" s="27" t="s">
        <v>336</v>
      </c>
      <c r="F77" s="27" t="s">
        <v>337</v>
      </c>
      <c r="G77" s="27" t="s">
        <v>136</v>
      </c>
      <c r="H77" s="26" t="s">
        <v>338</v>
      </c>
      <c r="I77" s="18">
        <f t="shared" si="1"/>
        <v>45931</v>
      </c>
      <c r="J77" s="19" t="s">
        <v>28</v>
      </c>
      <c r="K77" s="19" t="s">
        <v>325</v>
      </c>
      <c r="L77" s="19"/>
    </row>
    <row r="78" ht="22.5" customHeight="1">
      <c r="C78" s="19" t="s">
        <v>319</v>
      </c>
      <c r="D78" s="19" t="s">
        <v>339</v>
      </c>
      <c r="E78" s="27" t="s">
        <v>340</v>
      </c>
      <c r="F78" s="27" t="s">
        <v>341</v>
      </c>
      <c r="G78" s="27" t="s">
        <v>108</v>
      </c>
      <c r="H78" s="26" t="s">
        <v>342</v>
      </c>
      <c r="I78" s="18">
        <f t="shared" si="1"/>
        <v>45931</v>
      </c>
      <c r="J78" s="19" t="s">
        <v>28</v>
      </c>
      <c r="K78" s="19" t="s">
        <v>325</v>
      </c>
      <c r="L78" s="19"/>
    </row>
    <row r="79" ht="22.5" customHeight="1">
      <c r="C79" s="19" t="s">
        <v>319</v>
      </c>
      <c r="D79" s="19" t="s">
        <v>343</v>
      </c>
      <c r="E79" s="27" t="s">
        <v>344</v>
      </c>
      <c r="F79" s="27" t="s">
        <v>345</v>
      </c>
      <c r="G79" s="27" t="s">
        <v>346</v>
      </c>
      <c r="H79" s="26" t="s">
        <v>347</v>
      </c>
      <c r="I79" s="18">
        <f t="shared" si="1"/>
        <v>45931</v>
      </c>
      <c r="J79" s="19" t="s">
        <v>28</v>
      </c>
      <c r="K79" s="19" t="s">
        <v>325</v>
      </c>
      <c r="L79" s="19"/>
    </row>
    <row r="80" ht="22.5" customHeight="1">
      <c r="C80" s="19" t="s">
        <v>319</v>
      </c>
      <c r="D80" s="19" t="s">
        <v>348</v>
      </c>
      <c r="E80" s="27" t="s">
        <v>349</v>
      </c>
      <c r="F80" s="27" t="s">
        <v>350</v>
      </c>
      <c r="G80" s="27" t="s">
        <v>57</v>
      </c>
      <c r="H80" s="26" t="s">
        <v>351</v>
      </c>
      <c r="I80" s="18">
        <f t="shared" si="1"/>
        <v>45931</v>
      </c>
      <c r="J80" s="19" t="s">
        <v>28</v>
      </c>
      <c r="K80" s="19" t="s">
        <v>325</v>
      </c>
      <c r="L80" s="19"/>
    </row>
    <row r="81" ht="22.5" customHeight="1">
      <c r="C81" s="19" t="s">
        <v>319</v>
      </c>
      <c r="D81" s="19" t="s">
        <v>352</v>
      </c>
      <c r="E81" s="27" t="s">
        <v>353</v>
      </c>
      <c r="F81" s="27" t="s">
        <v>354</v>
      </c>
      <c r="G81" s="27" t="s">
        <v>355</v>
      </c>
      <c r="H81" s="26" t="s">
        <v>356</v>
      </c>
      <c r="I81" s="18">
        <f t="shared" si="1"/>
        <v>45931</v>
      </c>
      <c r="J81" s="19" t="s">
        <v>28</v>
      </c>
      <c r="K81" s="19" t="s">
        <v>325</v>
      </c>
      <c r="L81" s="19"/>
    </row>
    <row r="82" ht="22.5" customHeight="1">
      <c r="C82" s="19" t="s">
        <v>319</v>
      </c>
      <c r="D82" s="19" t="s">
        <v>357</v>
      </c>
      <c r="E82" s="27" t="s">
        <v>358</v>
      </c>
      <c r="F82" s="27" t="s">
        <v>359</v>
      </c>
      <c r="G82" s="27" t="s">
        <v>360</v>
      </c>
      <c r="H82" s="26" t="s">
        <v>361</v>
      </c>
      <c r="I82" s="18">
        <f t="shared" si="1"/>
        <v>45931</v>
      </c>
      <c r="J82" s="19" t="s">
        <v>28</v>
      </c>
      <c r="K82" s="19" t="s">
        <v>325</v>
      </c>
      <c r="L82" s="19"/>
    </row>
    <row r="83" ht="22.5" customHeight="1">
      <c r="C83" s="19" t="s">
        <v>319</v>
      </c>
      <c r="D83" s="19" t="s">
        <v>362</v>
      </c>
      <c r="E83" s="27" t="s">
        <v>363</v>
      </c>
      <c r="F83" s="27" t="s">
        <v>364</v>
      </c>
      <c r="G83" s="27" t="s">
        <v>301</v>
      </c>
      <c r="H83" s="26" t="s">
        <v>365</v>
      </c>
      <c r="I83" s="18">
        <f t="shared" si="1"/>
        <v>45931</v>
      </c>
      <c r="J83" s="19" t="s">
        <v>28</v>
      </c>
      <c r="K83" s="19" t="s">
        <v>325</v>
      </c>
      <c r="L83" s="19" t="s">
        <v>137</v>
      </c>
    </row>
    <row r="84" ht="22.5" customHeight="1">
      <c r="C84" s="19" t="s">
        <v>319</v>
      </c>
      <c r="D84" s="19" t="s">
        <v>366</v>
      </c>
      <c r="E84" s="27" t="s">
        <v>367</v>
      </c>
      <c r="F84" s="27" t="s">
        <v>368</v>
      </c>
      <c r="G84" s="27" t="s">
        <v>67</v>
      </c>
      <c r="H84" s="26" t="s">
        <v>369</v>
      </c>
      <c r="I84" s="18">
        <f t="shared" si="1"/>
        <v>45931</v>
      </c>
      <c r="J84" s="19" t="s">
        <v>28</v>
      </c>
      <c r="K84" s="19" t="s">
        <v>325</v>
      </c>
      <c r="L84" s="19"/>
    </row>
    <row r="85" ht="22.5" customHeight="1">
      <c r="C85" s="19" t="s">
        <v>319</v>
      </c>
      <c r="D85" s="19" t="s">
        <v>370</v>
      </c>
      <c r="E85" s="27" t="s">
        <v>371</v>
      </c>
      <c r="F85" s="27" t="s">
        <v>372</v>
      </c>
      <c r="G85" s="27" t="s">
        <v>52</v>
      </c>
      <c r="H85" s="26" t="s">
        <v>373</v>
      </c>
      <c r="I85" s="18">
        <f t="shared" si="1"/>
        <v>45931</v>
      </c>
      <c r="J85" s="19" t="s">
        <v>28</v>
      </c>
      <c r="K85" s="19" t="s">
        <v>325</v>
      </c>
      <c r="L85" s="19"/>
    </row>
    <row r="86" ht="22.5" customHeight="1">
      <c r="C86" s="19" t="s">
        <v>319</v>
      </c>
      <c r="D86" s="19" t="s">
        <v>374</v>
      </c>
      <c r="E86" s="27" t="s">
        <v>375</v>
      </c>
      <c r="F86" s="27" t="s">
        <v>376</v>
      </c>
      <c r="G86" s="27" t="s">
        <v>377</v>
      </c>
      <c r="H86" s="26" t="s">
        <v>378</v>
      </c>
      <c r="I86" s="18">
        <f t="shared" si="1"/>
        <v>45931</v>
      </c>
      <c r="J86" s="19" t="s">
        <v>28</v>
      </c>
      <c r="K86" s="19" t="s">
        <v>325</v>
      </c>
      <c r="L86" s="19"/>
    </row>
    <row r="87" ht="22.5" customHeight="1">
      <c r="C87" s="19" t="s">
        <v>319</v>
      </c>
      <c r="D87" s="19" t="s">
        <v>379</v>
      </c>
      <c r="E87" s="27" t="s">
        <v>380</v>
      </c>
      <c r="F87" s="27" t="s">
        <v>381</v>
      </c>
      <c r="G87" s="27" t="s">
        <v>152</v>
      </c>
      <c r="H87" s="26" t="s">
        <v>382</v>
      </c>
      <c r="I87" s="18">
        <f t="shared" si="1"/>
        <v>45931</v>
      </c>
      <c r="J87" s="19" t="s">
        <v>28</v>
      </c>
      <c r="K87" s="19" t="s">
        <v>325</v>
      </c>
      <c r="L87" s="19"/>
    </row>
    <row r="88" ht="22.5" customHeight="1">
      <c r="C88" s="19" t="s">
        <v>383</v>
      </c>
      <c r="D88" s="19" t="s">
        <v>384</v>
      </c>
      <c r="E88" s="27" t="s">
        <v>385</v>
      </c>
      <c r="F88" s="27" t="s">
        <v>386</v>
      </c>
      <c r="G88" s="27" t="s">
        <v>387</v>
      </c>
      <c r="H88" s="26" t="s">
        <v>388</v>
      </c>
      <c r="I88" s="18">
        <f t="shared" si="1"/>
        <v>45931</v>
      </c>
      <c r="J88" s="19" t="s">
        <v>28</v>
      </c>
      <c r="K88" s="19" t="s">
        <v>325</v>
      </c>
      <c r="L88" s="19"/>
    </row>
    <row r="89" ht="22.5" customHeight="1">
      <c r="C89" s="19" t="s">
        <v>383</v>
      </c>
      <c r="D89" s="19" t="s">
        <v>389</v>
      </c>
      <c r="E89" s="27" t="s">
        <v>390</v>
      </c>
      <c r="F89" s="27" t="s">
        <v>391</v>
      </c>
      <c r="G89" s="27" t="s">
        <v>67</v>
      </c>
      <c r="H89" s="26" t="s">
        <v>392</v>
      </c>
      <c r="I89" s="18">
        <f t="shared" si="1"/>
        <v>45931</v>
      </c>
      <c r="J89" s="19" t="s">
        <v>28</v>
      </c>
      <c r="K89" s="19" t="s">
        <v>325</v>
      </c>
      <c r="L89" s="19"/>
    </row>
    <row r="90" ht="22.5" customHeight="1">
      <c r="C90" s="19" t="s">
        <v>383</v>
      </c>
      <c r="D90" s="19" t="s">
        <v>393</v>
      </c>
      <c r="E90" s="27" t="s">
        <v>394</v>
      </c>
      <c r="F90" s="27" t="s">
        <v>395</v>
      </c>
      <c r="G90" s="27" t="s">
        <v>142</v>
      </c>
      <c r="H90" s="26" t="s">
        <v>396</v>
      </c>
      <c r="I90" s="18">
        <f t="shared" si="1"/>
        <v>45931</v>
      </c>
      <c r="J90" s="19" t="s">
        <v>28</v>
      </c>
      <c r="K90" s="19" t="s">
        <v>325</v>
      </c>
      <c r="L90" s="19"/>
    </row>
    <row r="91" ht="22.5" customHeight="1">
      <c r="C91" s="19" t="s">
        <v>383</v>
      </c>
      <c r="D91" s="19" t="s">
        <v>397</v>
      </c>
      <c r="E91" s="27" t="s">
        <v>398</v>
      </c>
      <c r="F91" s="27" t="s">
        <v>399</v>
      </c>
      <c r="G91" s="27" t="s">
        <v>26</v>
      </c>
      <c r="H91" s="26" t="s">
        <v>400</v>
      </c>
      <c r="I91" s="18">
        <f t="shared" si="1"/>
        <v>45931</v>
      </c>
      <c r="J91" s="19" t="s">
        <v>28</v>
      </c>
      <c r="K91" s="19" t="s">
        <v>325</v>
      </c>
      <c r="L91" s="19"/>
    </row>
    <row r="92" ht="22.5" customHeight="1">
      <c r="C92" s="19" t="s">
        <v>383</v>
      </c>
      <c r="D92" s="19" t="s">
        <v>401</v>
      </c>
      <c r="E92" s="27" t="s">
        <v>402</v>
      </c>
      <c r="F92" s="27" t="s">
        <v>403</v>
      </c>
      <c r="G92" s="27" t="s">
        <v>82</v>
      </c>
      <c r="H92" s="26" t="s">
        <v>404</v>
      </c>
      <c r="I92" s="18">
        <f t="shared" si="1"/>
        <v>45931</v>
      </c>
      <c r="J92" s="19" t="s">
        <v>28</v>
      </c>
      <c r="K92" s="19" t="s">
        <v>325</v>
      </c>
      <c r="L92" s="19"/>
    </row>
    <row r="93" ht="22.5" customHeight="1">
      <c r="C93" s="19" t="s">
        <v>383</v>
      </c>
      <c r="D93" s="19" t="s">
        <v>405</v>
      </c>
      <c r="E93" s="27" t="s">
        <v>406</v>
      </c>
      <c r="F93" s="27" t="s">
        <v>407</v>
      </c>
      <c r="G93" s="27" t="s">
        <v>408</v>
      </c>
      <c r="H93" s="26" t="s">
        <v>409</v>
      </c>
      <c r="I93" s="18">
        <f t="shared" si="1"/>
        <v>45931</v>
      </c>
      <c r="J93" s="19" t="s">
        <v>28</v>
      </c>
      <c r="K93" s="19" t="s">
        <v>325</v>
      </c>
      <c r="L93" s="19"/>
    </row>
    <row r="94" ht="22.5" customHeight="1">
      <c r="C94" s="19" t="s">
        <v>383</v>
      </c>
      <c r="D94" s="19" t="s">
        <v>410</v>
      </c>
      <c r="E94" s="27" t="s">
        <v>411</v>
      </c>
      <c r="F94" s="27" t="s">
        <v>223</v>
      </c>
      <c r="G94" s="27" t="s">
        <v>412</v>
      </c>
      <c r="H94" s="26" t="s">
        <v>413</v>
      </c>
      <c r="I94" s="18">
        <f t="shared" si="1"/>
        <v>45931</v>
      </c>
      <c r="J94" s="19" t="s">
        <v>28</v>
      </c>
      <c r="K94" s="19" t="s">
        <v>325</v>
      </c>
      <c r="L94" s="19" t="s">
        <v>148</v>
      </c>
    </row>
    <row r="95" ht="22.5" customHeight="1">
      <c r="C95" s="19" t="s">
        <v>383</v>
      </c>
      <c r="D95" s="19" t="s">
        <v>414</v>
      </c>
      <c r="E95" s="27" t="s">
        <v>415</v>
      </c>
      <c r="F95" s="27" t="s">
        <v>416</v>
      </c>
      <c r="G95" s="27" t="s">
        <v>230</v>
      </c>
      <c r="H95" s="26" t="s">
        <v>417</v>
      </c>
      <c r="I95" s="18">
        <f t="shared" si="1"/>
        <v>45931</v>
      </c>
      <c r="J95" s="19" t="s">
        <v>28</v>
      </c>
      <c r="K95" s="19" t="s">
        <v>325</v>
      </c>
      <c r="L95" s="19"/>
    </row>
    <row r="96" ht="22.5" customHeight="1">
      <c r="C96" s="19" t="s">
        <v>383</v>
      </c>
      <c r="D96" s="19" t="s">
        <v>418</v>
      </c>
      <c r="E96" s="27" t="s">
        <v>419</v>
      </c>
      <c r="F96" s="27" t="s">
        <v>420</v>
      </c>
      <c r="G96" s="27" t="s">
        <v>421</v>
      </c>
      <c r="H96" s="26" t="s">
        <v>422</v>
      </c>
      <c r="I96" s="18">
        <f t="shared" si="1"/>
        <v>45931</v>
      </c>
      <c r="J96" s="19" t="s">
        <v>28</v>
      </c>
      <c r="K96" s="19" t="s">
        <v>325</v>
      </c>
      <c r="L96" s="19"/>
    </row>
    <row r="97" ht="22.5" customHeight="1">
      <c r="C97" s="19" t="s">
        <v>383</v>
      </c>
      <c r="D97" s="19" t="s">
        <v>423</v>
      </c>
      <c r="E97" s="27" t="s">
        <v>424</v>
      </c>
      <c r="F97" s="27" t="s">
        <v>425</v>
      </c>
      <c r="G97" s="27" t="s">
        <v>52</v>
      </c>
      <c r="H97" s="26" t="s">
        <v>426</v>
      </c>
      <c r="I97" s="18">
        <f t="shared" si="1"/>
        <v>45931</v>
      </c>
      <c r="J97" s="19" t="s">
        <v>28</v>
      </c>
      <c r="K97" s="19" t="s">
        <v>325</v>
      </c>
      <c r="L97" s="19"/>
    </row>
    <row r="98" ht="22.5" customHeight="1">
      <c r="C98" s="19" t="s">
        <v>383</v>
      </c>
      <c r="D98" s="19" t="s">
        <v>427</v>
      </c>
      <c r="E98" s="27" t="s">
        <v>428</v>
      </c>
      <c r="F98" s="27" t="s">
        <v>429</v>
      </c>
      <c r="G98" s="27" t="s">
        <v>346</v>
      </c>
      <c r="H98" s="26" t="s">
        <v>430</v>
      </c>
      <c r="I98" s="18">
        <f t="shared" si="1"/>
        <v>45931</v>
      </c>
      <c r="J98" s="19" t="s">
        <v>28</v>
      </c>
      <c r="K98" s="19" t="s">
        <v>325</v>
      </c>
      <c r="L98" s="19"/>
    </row>
    <row r="99" ht="22.5" customHeight="1">
      <c r="C99" s="19" t="s">
        <v>383</v>
      </c>
      <c r="D99" s="19" t="s">
        <v>431</v>
      </c>
      <c r="E99" s="27" t="s">
        <v>432</v>
      </c>
      <c r="F99" s="27" t="s">
        <v>433</v>
      </c>
      <c r="G99" s="27" t="s">
        <v>126</v>
      </c>
      <c r="H99" s="26" t="s">
        <v>434</v>
      </c>
      <c r="I99" s="18">
        <f t="shared" si="1"/>
        <v>45931</v>
      </c>
      <c r="J99" s="19" t="s">
        <v>28</v>
      </c>
      <c r="K99" s="19" t="s">
        <v>325</v>
      </c>
      <c r="L99" s="19"/>
    </row>
    <row r="100" ht="22.5" customHeight="1">
      <c r="C100" s="19" t="s">
        <v>383</v>
      </c>
      <c r="D100" s="19" t="s">
        <v>435</v>
      </c>
      <c r="E100" s="27" t="s">
        <v>436</v>
      </c>
      <c r="F100" s="27" t="s">
        <v>437</v>
      </c>
      <c r="G100" s="27" t="s">
        <v>438</v>
      </c>
      <c r="H100" s="26" t="s">
        <v>439</v>
      </c>
      <c r="I100" s="18">
        <f t="shared" si="1"/>
        <v>45931</v>
      </c>
      <c r="J100" s="19" t="s">
        <v>28</v>
      </c>
      <c r="K100" s="19" t="s">
        <v>325</v>
      </c>
      <c r="L100" s="19" t="s">
        <v>89</v>
      </c>
    </row>
    <row r="101" ht="22.5" customHeight="1">
      <c r="C101" s="19" t="s">
        <v>383</v>
      </c>
      <c r="D101" s="19" t="s">
        <v>440</v>
      </c>
      <c r="E101" s="27" t="s">
        <v>441</v>
      </c>
      <c r="F101" s="27" t="s">
        <v>442</v>
      </c>
      <c r="G101" s="27" t="s">
        <v>77</v>
      </c>
      <c r="H101" s="26" t="s">
        <v>443</v>
      </c>
      <c r="I101" s="18">
        <f t="shared" si="1"/>
        <v>45931</v>
      </c>
      <c r="J101" s="19" t="s">
        <v>28</v>
      </c>
      <c r="K101" s="19" t="s">
        <v>325</v>
      </c>
      <c r="L101" s="19"/>
    </row>
    <row r="102" ht="22.5" customHeight="1">
      <c r="C102" s="19" t="s">
        <v>383</v>
      </c>
      <c r="D102" s="19" t="s">
        <v>444</v>
      </c>
      <c r="E102" s="27" t="s">
        <v>445</v>
      </c>
      <c r="F102" s="27" t="s">
        <v>446</v>
      </c>
      <c r="G102" s="27" t="s">
        <v>72</v>
      </c>
      <c r="H102" s="26" t="s">
        <v>447</v>
      </c>
      <c r="I102" s="18">
        <f t="shared" si="1"/>
        <v>45931</v>
      </c>
      <c r="J102" s="19" t="s">
        <v>28</v>
      </c>
      <c r="K102" s="19" t="s">
        <v>325</v>
      </c>
      <c r="L102" s="19"/>
    </row>
    <row r="103" ht="22.5" customHeight="1">
      <c r="C103" s="19" t="s">
        <v>383</v>
      </c>
      <c r="D103" s="19" t="s">
        <v>448</v>
      </c>
      <c r="E103" s="27" t="s">
        <v>449</v>
      </c>
      <c r="F103" s="27" t="s">
        <v>450</v>
      </c>
      <c r="G103" s="27" t="s">
        <v>152</v>
      </c>
      <c r="H103" s="26" t="s">
        <v>451</v>
      </c>
      <c r="I103" s="18">
        <f t="shared" si="1"/>
        <v>45931</v>
      </c>
      <c r="J103" s="19" t="s">
        <v>28</v>
      </c>
      <c r="K103" s="19" t="s">
        <v>325</v>
      </c>
      <c r="L103" s="19"/>
    </row>
    <row r="104" ht="22.5" customHeight="1">
      <c r="C104" s="19" t="s">
        <v>383</v>
      </c>
      <c r="D104" s="19" t="s">
        <v>452</v>
      </c>
      <c r="E104" s="27" t="s">
        <v>453</v>
      </c>
      <c r="F104" s="27" t="s">
        <v>454</v>
      </c>
      <c r="G104" s="27" t="s">
        <v>57</v>
      </c>
      <c r="H104" s="26" t="s">
        <v>455</v>
      </c>
      <c r="I104" s="18">
        <f t="shared" si="1"/>
        <v>45931</v>
      </c>
      <c r="J104" s="19" t="s">
        <v>28</v>
      </c>
      <c r="K104" s="19" t="s">
        <v>325</v>
      </c>
      <c r="L104" s="19"/>
    </row>
    <row r="105" ht="22.5" customHeight="1">
      <c r="C105" s="19" t="s">
        <v>456</v>
      </c>
      <c r="D105" s="19" t="s">
        <v>457</v>
      </c>
      <c r="E105" s="19" t="s">
        <v>458</v>
      </c>
      <c r="F105" s="19" t="s">
        <v>459</v>
      </c>
      <c r="G105" s="19" t="s">
        <v>460</v>
      </c>
      <c r="H105" s="29" t="s">
        <v>461</v>
      </c>
      <c r="I105" s="18">
        <f t="shared" si="1"/>
        <v>45931</v>
      </c>
      <c r="J105" s="19" t="s">
        <v>28</v>
      </c>
      <c r="K105" s="19" t="s">
        <v>325</v>
      </c>
      <c r="L105" s="19"/>
    </row>
    <row r="106" ht="22.5" customHeight="1">
      <c r="C106" s="19" t="s">
        <v>462</v>
      </c>
      <c r="D106" s="19" t="s">
        <v>463</v>
      </c>
      <c r="E106" s="27" t="s">
        <v>464</v>
      </c>
      <c r="F106" s="27" t="s">
        <v>465</v>
      </c>
      <c r="G106" s="27" t="s">
        <v>52</v>
      </c>
      <c r="H106" s="26" t="s">
        <v>466</v>
      </c>
      <c r="I106" s="18">
        <f t="shared" si="1"/>
        <v>45931</v>
      </c>
      <c r="J106" s="19" t="s">
        <v>28</v>
      </c>
      <c r="K106" s="19" t="s">
        <v>325</v>
      </c>
      <c r="L106" s="19"/>
    </row>
    <row r="107" ht="22.5" customHeight="1">
      <c r="C107" s="19" t="s">
        <v>462</v>
      </c>
      <c r="D107" s="19" t="s">
        <v>467</v>
      </c>
      <c r="E107" s="27" t="s">
        <v>468</v>
      </c>
      <c r="F107" s="27" t="s">
        <v>469</v>
      </c>
      <c r="G107" s="27" t="s">
        <v>346</v>
      </c>
      <c r="H107" s="26" t="s">
        <v>470</v>
      </c>
      <c r="I107" s="18">
        <f t="shared" si="1"/>
        <v>45931</v>
      </c>
      <c r="J107" s="19" t="s">
        <v>28</v>
      </c>
      <c r="K107" s="19" t="s">
        <v>325</v>
      </c>
      <c r="L107" s="19"/>
    </row>
    <row r="108" ht="22.5" customHeight="1">
      <c r="C108" s="19" t="s">
        <v>462</v>
      </c>
      <c r="D108" s="19" t="s">
        <v>471</v>
      </c>
      <c r="E108" s="27" t="s">
        <v>472</v>
      </c>
      <c r="F108" s="27" t="s">
        <v>473</v>
      </c>
      <c r="G108" s="27" t="s">
        <v>224</v>
      </c>
      <c r="H108" s="26" t="s">
        <v>474</v>
      </c>
      <c r="I108" s="18">
        <f t="shared" si="1"/>
        <v>45931</v>
      </c>
      <c r="J108" s="19" t="s">
        <v>28</v>
      </c>
      <c r="K108" s="19" t="s">
        <v>325</v>
      </c>
      <c r="L108" s="19"/>
    </row>
    <row r="109" ht="22.5" customHeight="1">
      <c r="C109" s="19" t="s">
        <v>462</v>
      </c>
      <c r="D109" s="19" t="s">
        <v>475</v>
      </c>
      <c r="E109" s="27" t="s">
        <v>476</v>
      </c>
      <c r="F109" s="27" t="s">
        <v>477</v>
      </c>
      <c r="G109" s="27" t="s">
        <v>26</v>
      </c>
      <c r="H109" s="26" t="s">
        <v>478</v>
      </c>
      <c r="I109" s="18">
        <f t="shared" si="1"/>
        <v>45931</v>
      </c>
      <c r="J109" s="19" t="s">
        <v>28</v>
      </c>
      <c r="K109" s="19" t="s">
        <v>325</v>
      </c>
      <c r="L109" s="19"/>
    </row>
    <row r="110" ht="22.5" customHeight="1">
      <c r="C110" s="19" t="s">
        <v>462</v>
      </c>
      <c r="D110" s="19" t="s">
        <v>479</v>
      </c>
      <c r="E110" s="27" t="s">
        <v>480</v>
      </c>
      <c r="F110" s="27" t="s">
        <v>481</v>
      </c>
      <c r="G110" s="27" t="s">
        <v>67</v>
      </c>
      <c r="H110" s="26" t="s">
        <v>482</v>
      </c>
      <c r="I110" s="18">
        <f t="shared" si="1"/>
        <v>45931</v>
      </c>
      <c r="J110" s="19" t="s">
        <v>28</v>
      </c>
      <c r="K110" s="19" t="s">
        <v>325</v>
      </c>
      <c r="L110" s="19"/>
    </row>
    <row r="111" ht="22.5" customHeight="1">
      <c r="C111" s="19" t="s">
        <v>462</v>
      </c>
      <c r="D111" s="19" t="s">
        <v>483</v>
      </c>
      <c r="E111" s="27" t="s">
        <v>484</v>
      </c>
      <c r="F111" s="27" t="s">
        <v>485</v>
      </c>
      <c r="G111" s="27" t="s">
        <v>142</v>
      </c>
      <c r="H111" s="26" t="s">
        <v>486</v>
      </c>
      <c r="I111" s="18">
        <f t="shared" si="1"/>
        <v>45931</v>
      </c>
      <c r="J111" s="19" t="s">
        <v>28</v>
      </c>
      <c r="K111" s="19" t="s">
        <v>325</v>
      </c>
      <c r="L111" s="19"/>
    </row>
    <row r="112" ht="22.5" customHeight="1">
      <c r="C112" s="19" t="s">
        <v>462</v>
      </c>
      <c r="D112" s="19" t="s">
        <v>487</v>
      </c>
      <c r="E112" s="27" t="s">
        <v>488</v>
      </c>
      <c r="F112" s="27" t="s">
        <v>489</v>
      </c>
      <c r="G112" s="27" t="s">
        <v>490</v>
      </c>
      <c r="H112" s="26" t="s">
        <v>491</v>
      </c>
      <c r="I112" s="18">
        <f t="shared" si="1"/>
        <v>45931</v>
      </c>
      <c r="J112" s="19" t="s">
        <v>28</v>
      </c>
      <c r="K112" s="19" t="s">
        <v>325</v>
      </c>
      <c r="L112" s="19"/>
    </row>
    <row r="113" ht="22.5" customHeight="1">
      <c r="C113" s="19" t="s">
        <v>462</v>
      </c>
      <c r="D113" s="19" t="s">
        <v>492</v>
      </c>
      <c r="E113" s="27" t="s">
        <v>493</v>
      </c>
      <c r="F113" s="27" t="s">
        <v>494</v>
      </c>
      <c r="G113" s="27" t="s">
        <v>97</v>
      </c>
      <c r="H113" s="26" t="s">
        <v>495</v>
      </c>
      <c r="I113" s="18">
        <f t="shared" si="1"/>
        <v>45931</v>
      </c>
      <c r="J113" s="19" t="s">
        <v>28</v>
      </c>
      <c r="K113" s="19" t="s">
        <v>325</v>
      </c>
      <c r="L113" s="19"/>
    </row>
    <row r="114" ht="22.5" customHeight="1">
      <c r="C114" s="19" t="s">
        <v>462</v>
      </c>
      <c r="D114" s="19" t="s">
        <v>496</v>
      </c>
      <c r="E114" s="27" t="s">
        <v>497</v>
      </c>
      <c r="F114" s="27" t="s">
        <v>498</v>
      </c>
      <c r="G114" s="27" t="s">
        <v>57</v>
      </c>
      <c r="H114" s="26" t="s">
        <v>499</v>
      </c>
      <c r="I114" s="18">
        <f t="shared" si="1"/>
        <v>45931</v>
      </c>
      <c r="J114" s="19" t="s">
        <v>28</v>
      </c>
      <c r="K114" s="19" t="s">
        <v>325</v>
      </c>
      <c r="L114" s="19"/>
    </row>
    <row r="115" ht="22.5" customHeight="1">
      <c r="C115" s="19" t="s">
        <v>462</v>
      </c>
      <c r="D115" s="19" t="s">
        <v>500</v>
      </c>
      <c r="E115" s="27" t="s">
        <v>501</v>
      </c>
      <c r="F115" s="27" t="s">
        <v>502</v>
      </c>
      <c r="G115" s="27" t="s">
        <v>408</v>
      </c>
      <c r="H115" s="26" t="s">
        <v>503</v>
      </c>
      <c r="I115" s="18">
        <f t="shared" si="1"/>
        <v>45931</v>
      </c>
      <c r="J115" s="19" t="s">
        <v>28</v>
      </c>
      <c r="K115" s="19" t="s">
        <v>325</v>
      </c>
      <c r="L115" s="19"/>
    </row>
    <row r="116" ht="22.5" customHeight="1">
      <c r="C116" s="19" t="s">
        <v>462</v>
      </c>
      <c r="D116" s="19" t="s">
        <v>504</v>
      </c>
      <c r="E116" s="27" t="s">
        <v>505</v>
      </c>
      <c r="F116" s="27" t="s">
        <v>506</v>
      </c>
      <c r="G116" s="27" t="s">
        <v>126</v>
      </c>
      <c r="H116" s="26" t="s">
        <v>507</v>
      </c>
      <c r="I116" s="18">
        <f t="shared" si="1"/>
        <v>45931</v>
      </c>
      <c r="J116" s="19" t="s">
        <v>28</v>
      </c>
      <c r="K116" s="19" t="s">
        <v>325</v>
      </c>
      <c r="L116" s="19"/>
    </row>
    <row r="117" ht="22.5" customHeight="1">
      <c r="C117" s="19" t="s">
        <v>462</v>
      </c>
      <c r="D117" s="19" t="s">
        <v>508</v>
      </c>
      <c r="E117" s="27" t="s">
        <v>509</v>
      </c>
      <c r="F117" s="27" t="s">
        <v>510</v>
      </c>
      <c r="G117" s="27" t="s">
        <v>387</v>
      </c>
      <c r="H117" s="26" t="s">
        <v>511</v>
      </c>
      <c r="I117" s="18">
        <f t="shared" si="1"/>
        <v>45931</v>
      </c>
      <c r="J117" s="19" t="s">
        <v>28</v>
      </c>
      <c r="K117" s="19" t="s">
        <v>325</v>
      </c>
      <c r="L117" s="19"/>
    </row>
    <row r="118" ht="22.5" customHeight="1">
      <c r="C118" s="19" t="s">
        <v>462</v>
      </c>
      <c r="D118" s="19" t="s">
        <v>512</v>
      </c>
      <c r="E118" s="27" t="s">
        <v>513</v>
      </c>
      <c r="F118" s="27" t="s">
        <v>514</v>
      </c>
      <c r="G118" s="27" t="s">
        <v>515</v>
      </c>
      <c r="H118" s="26" t="s">
        <v>516</v>
      </c>
      <c r="I118" s="18">
        <f t="shared" si="1"/>
        <v>45931</v>
      </c>
      <c r="J118" s="19" t="s">
        <v>28</v>
      </c>
      <c r="K118" s="19" t="s">
        <v>325</v>
      </c>
      <c r="L118" s="19"/>
    </row>
    <row r="119" ht="22.5" customHeight="1">
      <c r="C119" s="19" t="s">
        <v>462</v>
      </c>
      <c r="D119" s="19" t="s">
        <v>517</v>
      </c>
      <c r="E119" s="27" t="s">
        <v>518</v>
      </c>
      <c r="F119" s="27" t="s">
        <v>519</v>
      </c>
      <c r="G119" s="27" t="s">
        <v>62</v>
      </c>
      <c r="H119" s="26" t="s">
        <v>520</v>
      </c>
      <c r="I119" s="18">
        <f t="shared" si="1"/>
        <v>45931</v>
      </c>
      <c r="J119" s="19" t="s">
        <v>28</v>
      </c>
      <c r="K119" s="19" t="s">
        <v>325</v>
      </c>
      <c r="L119" s="19"/>
    </row>
    <row r="120" ht="22.5" customHeight="1">
      <c r="C120" s="19" t="s">
        <v>462</v>
      </c>
      <c r="D120" s="19" t="s">
        <v>521</v>
      </c>
      <c r="E120" s="27" t="s">
        <v>522</v>
      </c>
      <c r="F120" s="27" t="s">
        <v>523</v>
      </c>
      <c r="G120" s="27" t="s">
        <v>524</v>
      </c>
      <c r="H120" s="26" t="s">
        <v>525</v>
      </c>
      <c r="I120" s="18">
        <f t="shared" si="1"/>
        <v>45931</v>
      </c>
      <c r="J120" s="19" t="s">
        <v>28</v>
      </c>
      <c r="K120" s="19" t="s">
        <v>325</v>
      </c>
      <c r="L120" s="19"/>
    </row>
    <row r="121" ht="22.5" customHeight="1">
      <c r="C121" s="19" t="s">
        <v>462</v>
      </c>
      <c r="D121" s="19" t="s">
        <v>526</v>
      </c>
      <c r="E121" s="27" t="s">
        <v>527</v>
      </c>
      <c r="F121" s="27" t="s">
        <v>274</v>
      </c>
      <c r="G121" s="27" t="s">
        <v>77</v>
      </c>
      <c r="H121" s="26" t="s">
        <v>528</v>
      </c>
      <c r="I121" s="18">
        <f t="shared" si="1"/>
        <v>45931</v>
      </c>
      <c r="J121" s="19" t="s">
        <v>28</v>
      </c>
      <c r="K121" s="19" t="s">
        <v>325</v>
      </c>
      <c r="L121" s="19"/>
    </row>
    <row r="122" ht="22.5" customHeight="1">
      <c r="C122" s="19" t="s">
        <v>462</v>
      </c>
      <c r="D122" s="19" t="s">
        <v>529</v>
      </c>
      <c r="E122" s="27" t="s">
        <v>530</v>
      </c>
      <c r="F122" s="27" t="s">
        <v>446</v>
      </c>
      <c r="G122" s="27" t="s">
        <v>72</v>
      </c>
      <c r="H122" s="26" t="s">
        <v>531</v>
      </c>
      <c r="I122" s="18">
        <f t="shared" si="1"/>
        <v>45931</v>
      </c>
      <c r="J122" s="19" t="s">
        <v>28</v>
      </c>
      <c r="K122" s="19" t="s">
        <v>325</v>
      </c>
      <c r="L122" s="19"/>
    </row>
    <row r="123" ht="22.5" customHeight="1">
      <c r="C123" s="19" t="s">
        <v>532</v>
      </c>
      <c r="D123" s="19" t="s">
        <v>533</v>
      </c>
      <c r="E123" s="27" t="s">
        <v>534</v>
      </c>
      <c r="F123" s="27" t="s">
        <v>535</v>
      </c>
      <c r="G123" s="27" t="s">
        <v>52</v>
      </c>
      <c r="H123" s="26" t="s">
        <v>536</v>
      </c>
      <c r="I123" s="18">
        <f t="shared" si="1"/>
        <v>45931</v>
      </c>
      <c r="J123" s="19" t="s">
        <v>28</v>
      </c>
      <c r="K123" s="19" t="s">
        <v>325</v>
      </c>
      <c r="L123" s="19"/>
    </row>
    <row r="124" ht="22.5" customHeight="1">
      <c r="C124" s="19" t="s">
        <v>532</v>
      </c>
      <c r="D124" s="19" t="s">
        <v>537</v>
      </c>
      <c r="E124" s="27" t="s">
        <v>538</v>
      </c>
      <c r="F124" s="27" t="s">
        <v>539</v>
      </c>
      <c r="G124" s="27" t="s">
        <v>540</v>
      </c>
      <c r="H124" s="26" t="s">
        <v>541</v>
      </c>
      <c r="I124" s="18">
        <f t="shared" si="1"/>
        <v>45931</v>
      </c>
      <c r="J124" s="19" t="s">
        <v>28</v>
      </c>
      <c r="K124" s="19" t="s">
        <v>325</v>
      </c>
      <c r="L124" s="19"/>
    </row>
    <row r="125" ht="22.5" customHeight="1">
      <c r="C125" s="19" t="s">
        <v>532</v>
      </c>
      <c r="D125" s="19" t="s">
        <v>542</v>
      </c>
      <c r="E125" s="27" t="s">
        <v>543</v>
      </c>
      <c r="F125" s="27" t="s">
        <v>544</v>
      </c>
      <c r="G125" s="27" t="s">
        <v>136</v>
      </c>
      <c r="H125" s="26" t="s">
        <v>545</v>
      </c>
      <c r="I125" s="18">
        <f t="shared" si="1"/>
        <v>45931</v>
      </c>
      <c r="J125" s="19" t="s">
        <v>28</v>
      </c>
      <c r="K125" s="19" t="s">
        <v>325</v>
      </c>
      <c r="L125" s="19"/>
    </row>
    <row r="126" ht="22.5" customHeight="1">
      <c r="C126" s="19" t="s">
        <v>532</v>
      </c>
      <c r="D126" s="19" t="s">
        <v>546</v>
      </c>
      <c r="E126" s="27" t="s">
        <v>547</v>
      </c>
      <c r="F126" s="27" t="s">
        <v>548</v>
      </c>
      <c r="G126" s="27" t="s">
        <v>224</v>
      </c>
      <c r="H126" s="26" t="s">
        <v>549</v>
      </c>
      <c r="I126" s="18">
        <f t="shared" si="1"/>
        <v>45931</v>
      </c>
      <c r="J126" s="19" t="s">
        <v>28</v>
      </c>
      <c r="K126" s="19" t="s">
        <v>325</v>
      </c>
      <c r="L126" s="19"/>
    </row>
    <row r="127" ht="22.5" customHeight="1">
      <c r="C127" s="19" t="s">
        <v>532</v>
      </c>
      <c r="D127" s="19" t="s">
        <v>550</v>
      </c>
      <c r="E127" s="27" t="s">
        <v>551</v>
      </c>
      <c r="F127" s="27" t="s">
        <v>552</v>
      </c>
      <c r="G127" s="27" t="s">
        <v>553</v>
      </c>
      <c r="H127" s="26" t="s">
        <v>554</v>
      </c>
      <c r="I127" s="18">
        <f t="shared" si="1"/>
        <v>45931</v>
      </c>
      <c r="J127" s="19" t="s">
        <v>28</v>
      </c>
      <c r="K127" s="19" t="s">
        <v>325</v>
      </c>
      <c r="L127" s="19"/>
    </row>
    <row r="128" ht="22.5" customHeight="1">
      <c r="C128" s="19" t="s">
        <v>532</v>
      </c>
      <c r="D128" s="19" t="s">
        <v>555</v>
      </c>
      <c r="E128" s="27" t="s">
        <v>556</v>
      </c>
      <c r="F128" s="27" t="s">
        <v>557</v>
      </c>
      <c r="G128" s="27" t="s">
        <v>346</v>
      </c>
      <c r="H128" s="26" t="s">
        <v>558</v>
      </c>
      <c r="I128" s="18">
        <f t="shared" si="1"/>
        <v>45931</v>
      </c>
      <c r="J128" s="19" t="s">
        <v>28</v>
      </c>
      <c r="K128" s="19" t="s">
        <v>325</v>
      </c>
      <c r="L128" s="19"/>
    </row>
    <row r="129" ht="22.5" customHeight="1">
      <c r="C129" s="19" t="s">
        <v>532</v>
      </c>
      <c r="D129" s="19" t="s">
        <v>559</v>
      </c>
      <c r="E129" s="27" t="s">
        <v>560</v>
      </c>
      <c r="F129" s="27" t="s">
        <v>561</v>
      </c>
      <c r="G129" s="27" t="s">
        <v>72</v>
      </c>
      <c r="H129" s="26" t="s">
        <v>562</v>
      </c>
      <c r="I129" s="18">
        <f t="shared" si="1"/>
        <v>45931</v>
      </c>
      <c r="J129" s="19" t="s">
        <v>28</v>
      </c>
      <c r="K129" s="19" t="s">
        <v>325</v>
      </c>
      <c r="L129" s="19"/>
    </row>
    <row r="130" ht="22.5" customHeight="1">
      <c r="C130" s="19" t="s">
        <v>532</v>
      </c>
      <c r="D130" s="19" t="s">
        <v>563</v>
      </c>
      <c r="E130" s="27" t="s">
        <v>564</v>
      </c>
      <c r="F130" s="27" t="s">
        <v>565</v>
      </c>
      <c r="G130" s="27" t="s">
        <v>118</v>
      </c>
      <c r="H130" s="26"/>
      <c r="I130" s="18">
        <f t="shared" si="1"/>
        <v>45931</v>
      </c>
      <c r="J130" s="19" t="s">
        <v>28</v>
      </c>
      <c r="K130" s="19" t="s">
        <v>325</v>
      </c>
      <c r="L130" s="19"/>
    </row>
    <row r="131" ht="22.5" customHeight="1">
      <c r="C131" s="19" t="s">
        <v>532</v>
      </c>
      <c r="D131" s="19" t="s">
        <v>566</v>
      </c>
      <c r="E131" s="27" t="s">
        <v>567</v>
      </c>
      <c r="F131" s="27" t="s">
        <v>568</v>
      </c>
      <c r="G131" s="27" t="s">
        <v>67</v>
      </c>
      <c r="H131" s="26" t="s">
        <v>569</v>
      </c>
      <c r="I131" s="18">
        <f t="shared" si="1"/>
        <v>45931</v>
      </c>
      <c r="J131" s="19" t="s">
        <v>28</v>
      </c>
      <c r="K131" s="19" t="s">
        <v>325</v>
      </c>
      <c r="L131" s="19"/>
    </row>
    <row r="132" ht="22.5" customHeight="1">
      <c r="C132" s="19" t="s">
        <v>532</v>
      </c>
      <c r="D132" s="19" t="s">
        <v>570</v>
      </c>
      <c r="E132" s="27" t="s">
        <v>571</v>
      </c>
      <c r="F132" s="27" t="s">
        <v>572</v>
      </c>
      <c r="G132" s="27" t="s">
        <v>152</v>
      </c>
      <c r="H132" s="26" t="s">
        <v>573</v>
      </c>
      <c r="I132" s="18">
        <f t="shared" si="1"/>
        <v>45931</v>
      </c>
      <c r="J132" s="19" t="s">
        <v>28</v>
      </c>
      <c r="K132" s="19" t="s">
        <v>325</v>
      </c>
      <c r="L132" s="19"/>
    </row>
    <row r="133" ht="22.5" customHeight="1">
      <c r="C133" s="19" t="s">
        <v>532</v>
      </c>
      <c r="D133" s="19" t="s">
        <v>574</v>
      </c>
      <c r="E133" s="27" t="s">
        <v>575</v>
      </c>
      <c r="F133" s="27" t="s">
        <v>576</v>
      </c>
      <c r="G133" s="27" t="s">
        <v>577</v>
      </c>
      <c r="H133" s="26" t="s">
        <v>578</v>
      </c>
      <c r="I133" s="18">
        <f t="shared" si="1"/>
        <v>45931</v>
      </c>
      <c r="J133" s="19" t="s">
        <v>28</v>
      </c>
      <c r="K133" s="19" t="s">
        <v>325</v>
      </c>
      <c r="L133" s="19"/>
    </row>
    <row r="134" ht="22.5" customHeight="1">
      <c r="C134" s="19" t="s">
        <v>532</v>
      </c>
      <c r="D134" s="19" t="s">
        <v>579</v>
      </c>
      <c r="E134" s="27" t="s">
        <v>580</v>
      </c>
      <c r="F134" s="27" t="s">
        <v>581</v>
      </c>
      <c r="G134" s="27" t="s">
        <v>582</v>
      </c>
      <c r="H134" s="26" t="s">
        <v>583</v>
      </c>
      <c r="I134" s="18">
        <f t="shared" si="1"/>
        <v>45931</v>
      </c>
      <c r="J134" s="19" t="s">
        <v>28</v>
      </c>
      <c r="K134" s="19" t="s">
        <v>325</v>
      </c>
      <c r="L134" s="19"/>
    </row>
    <row r="135" ht="22.5" customHeight="1">
      <c r="C135" s="19" t="s">
        <v>532</v>
      </c>
      <c r="D135" s="19" t="s">
        <v>584</v>
      </c>
      <c r="E135" s="27" t="s">
        <v>585</v>
      </c>
      <c r="F135" s="27" t="s">
        <v>586</v>
      </c>
      <c r="G135" s="27" t="s">
        <v>26</v>
      </c>
      <c r="H135" s="30" t="s">
        <v>587</v>
      </c>
      <c r="I135" s="18">
        <f t="shared" si="1"/>
        <v>45931</v>
      </c>
      <c r="J135" s="19" t="s">
        <v>28</v>
      </c>
      <c r="K135" s="19" t="s">
        <v>325</v>
      </c>
      <c r="L135" s="19"/>
    </row>
    <row r="136" ht="22.5" customHeight="1">
      <c r="C136" s="19" t="s">
        <v>532</v>
      </c>
      <c r="D136" s="19" t="s">
        <v>588</v>
      </c>
      <c r="E136" s="27" t="s">
        <v>589</v>
      </c>
      <c r="F136" s="27" t="s">
        <v>590</v>
      </c>
      <c r="G136" s="27" t="s">
        <v>126</v>
      </c>
      <c r="H136" s="26" t="s">
        <v>591</v>
      </c>
      <c r="I136" s="18">
        <f t="shared" si="1"/>
        <v>45931</v>
      </c>
      <c r="J136" s="19" t="s">
        <v>28</v>
      </c>
      <c r="K136" s="19" t="s">
        <v>325</v>
      </c>
      <c r="L136" s="19"/>
    </row>
    <row r="137" ht="22.5" customHeight="1">
      <c r="C137" s="19" t="s">
        <v>532</v>
      </c>
      <c r="D137" s="19" t="s">
        <v>592</v>
      </c>
      <c r="E137" s="27" t="s">
        <v>593</v>
      </c>
      <c r="F137" s="27" t="s">
        <v>594</v>
      </c>
      <c r="G137" s="27" t="s">
        <v>301</v>
      </c>
      <c r="H137" s="26" t="s">
        <v>595</v>
      </c>
      <c r="I137" s="18">
        <f t="shared" si="1"/>
        <v>45931</v>
      </c>
      <c r="J137" s="19" t="s">
        <v>28</v>
      </c>
      <c r="K137" s="19" t="s">
        <v>325</v>
      </c>
      <c r="L137" s="19"/>
    </row>
    <row r="138" ht="22.5" customHeight="1">
      <c r="C138" s="19" t="s">
        <v>532</v>
      </c>
      <c r="D138" s="19" t="s">
        <v>596</v>
      </c>
      <c r="E138" s="27" t="s">
        <v>597</v>
      </c>
      <c r="F138" s="27" t="s">
        <v>598</v>
      </c>
      <c r="G138" s="27" t="s">
        <v>599</v>
      </c>
      <c r="H138" s="26" t="s">
        <v>600</v>
      </c>
      <c r="I138" s="18">
        <f t="shared" si="1"/>
        <v>45931</v>
      </c>
      <c r="J138" s="19" t="s">
        <v>28</v>
      </c>
      <c r="K138" s="19" t="s">
        <v>325</v>
      </c>
      <c r="L138" s="19" t="s">
        <v>148</v>
      </c>
    </row>
    <row r="139" ht="22.5" customHeight="1">
      <c r="C139" s="19" t="s">
        <v>532</v>
      </c>
      <c r="D139" s="19" t="s">
        <v>601</v>
      </c>
      <c r="E139" s="27" t="s">
        <v>602</v>
      </c>
      <c r="F139" s="27" t="s">
        <v>603</v>
      </c>
      <c r="G139" s="27" t="s">
        <v>77</v>
      </c>
      <c r="H139" s="26" t="s">
        <v>604</v>
      </c>
      <c r="I139" s="18">
        <f t="shared" si="1"/>
        <v>45931</v>
      </c>
      <c r="J139" s="19" t="s">
        <v>28</v>
      </c>
      <c r="K139" s="19" t="s">
        <v>325</v>
      </c>
      <c r="L139" s="19"/>
    </row>
    <row r="140" ht="22.5" customHeight="1">
      <c r="C140" s="19" t="s">
        <v>532</v>
      </c>
      <c r="D140" s="19" t="s">
        <v>605</v>
      </c>
      <c r="E140" s="27" t="s">
        <v>606</v>
      </c>
      <c r="F140" s="27" t="s">
        <v>607</v>
      </c>
      <c r="G140" s="27" t="s">
        <v>57</v>
      </c>
      <c r="H140" s="30" t="s">
        <v>608</v>
      </c>
      <c r="I140" s="18">
        <f t="shared" si="1"/>
        <v>45931</v>
      </c>
      <c r="J140" s="19" t="s">
        <v>28</v>
      </c>
      <c r="K140" s="19" t="s">
        <v>325</v>
      </c>
      <c r="L140" s="19"/>
    </row>
    <row r="141" ht="22.5" customHeight="1">
      <c r="C141" s="19" t="s">
        <v>609</v>
      </c>
      <c r="D141" s="19" t="s">
        <v>610</v>
      </c>
      <c r="E141" s="31" t="s">
        <v>611</v>
      </c>
      <c r="F141" s="31" t="s">
        <v>612</v>
      </c>
      <c r="G141" s="31" t="s">
        <v>224</v>
      </c>
      <c r="H141" s="32" t="s">
        <v>613</v>
      </c>
      <c r="I141" s="18">
        <f t="shared" si="1"/>
        <v>45931</v>
      </c>
      <c r="J141" s="19" t="s">
        <v>28</v>
      </c>
      <c r="K141" s="19" t="s">
        <v>28</v>
      </c>
      <c r="L141" s="19"/>
    </row>
    <row r="142" ht="22.5" customHeight="1">
      <c r="C142" s="19" t="s">
        <v>609</v>
      </c>
      <c r="D142" s="19" t="s">
        <v>614</v>
      </c>
      <c r="E142" s="31" t="s">
        <v>615</v>
      </c>
      <c r="F142" s="31" t="s">
        <v>616</v>
      </c>
      <c r="G142" s="31" t="s">
        <v>617</v>
      </c>
      <c r="H142" s="32" t="s">
        <v>618</v>
      </c>
      <c r="I142" s="18">
        <f t="shared" si="1"/>
        <v>45931</v>
      </c>
      <c r="J142" s="19" t="s">
        <v>28</v>
      </c>
      <c r="K142" s="19" t="s">
        <v>28</v>
      </c>
      <c r="L142" s="19"/>
    </row>
    <row r="143" ht="22.5" customHeight="1">
      <c r="C143" s="19" t="s">
        <v>609</v>
      </c>
      <c r="D143" s="19" t="s">
        <v>619</v>
      </c>
      <c r="E143" s="31" t="s">
        <v>620</v>
      </c>
      <c r="F143" s="31" t="s">
        <v>621</v>
      </c>
      <c r="G143" s="31" t="s">
        <v>622</v>
      </c>
      <c r="H143" s="32" t="s">
        <v>623</v>
      </c>
      <c r="I143" s="18">
        <f t="shared" si="1"/>
        <v>45931</v>
      </c>
      <c r="J143" s="19" t="s">
        <v>28</v>
      </c>
      <c r="K143" s="19" t="s">
        <v>28</v>
      </c>
      <c r="L143" s="19"/>
    </row>
    <row r="144" ht="22.5" customHeight="1">
      <c r="C144" s="19" t="s">
        <v>609</v>
      </c>
      <c r="D144" s="19" t="s">
        <v>624</v>
      </c>
      <c r="E144" s="31" t="s">
        <v>625</v>
      </c>
      <c r="F144" s="31" t="s">
        <v>626</v>
      </c>
      <c r="G144" s="31" t="s">
        <v>627</v>
      </c>
      <c r="H144" s="32" t="s">
        <v>628</v>
      </c>
      <c r="I144" s="18">
        <f t="shared" si="1"/>
        <v>45931</v>
      </c>
      <c r="J144" s="19" t="s">
        <v>28</v>
      </c>
      <c r="K144" s="19" t="s">
        <v>28</v>
      </c>
      <c r="L144" s="19"/>
    </row>
    <row r="145" ht="22.5" customHeight="1">
      <c r="C145" s="19" t="s">
        <v>609</v>
      </c>
      <c r="D145" s="19" t="s">
        <v>629</v>
      </c>
      <c r="E145" s="31" t="s">
        <v>630</v>
      </c>
      <c r="F145" s="31" t="s">
        <v>631</v>
      </c>
      <c r="G145" s="31" t="s">
        <v>97</v>
      </c>
      <c r="H145" s="32" t="s">
        <v>632</v>
      </c>
      <c r="I145" s="18">
        <f t="shared" si="1"/>
        <v>45931</v>
      </c>
      <c r="J145" s="19" t="s">
        <v>28</v>
      </c>
      <c r="K145" s="19" t="s">
        <v>28</v>
      </c>
      <c r="L145" s="19"/>
    </row>
    <row r="146" ht="22.5" customHeight="1">
      <c r="C146" s="19" t="s">
        <v>609</v>
      </c>
      <c r="D146" s="19" t="s">
        <v>633</v>
      </c>
      <c r="E146" s="31" t="s">
        <v>634</v>
      </c>
      <c r="F146" s="31" t="s">
        <v>635</v>
      </c>
      <c r="G146" s="31" t="s">
        <v>636</v>
      </c>
      <c r="H146" s="32" t="s">
        <v>637</v>
      </c>
      <c r="I146" s="18">
        <f t="shared" si="1"/>
        <v>45931</v>
      </c>
      <c r="J146" s="19" t="s">
        <v>28</v>
      </c>
      <c r="K146" s="19" t="s">
        <v>28</v>
      </c>
      <c r="L146" s="19"/>
    </row>
    <row r="147" ht="22.5" customHeight="1">
      <c r="C147" s="19" t="s">
        <v>609</v>
      </c>
      <c r="D147" s="19" t="s">
        <v>638</v>
      </c>
      <c r="E147" s="31" t="s">
        <v>639</v>
      </c>
      <c r="F147" s="31" t="s">
        <v>640</v>
      </c>
      <c r="G147" s="31" t="s">
        <v>641</v>
      </c>
      <c r="H147" s="32" t="s">
        <v>642</v>
      </c>
      <c r="I147" s="18">
        <f t="shared" si="1"/>
        <v>45931</v>
      </c>
      <c r="J147" s="19" t="s">
        <v>28</v>
      </c>
      <c r="K147" s="19" t="s">
        <v>28</v>
      </c>
      <c r="L147" s="19"/>
    </row>
    <row r="148" ht="22.5" customHeight="1">
      <c r="C148" s="19" t="s">
        <v>609</v>
      </c>
      <c r="D148" s="19" t="s">
        <v>643</v>
      </c>
      <c r="E148" s="31" t="s">
        <v>644</v>
      </c>
      <c r="F148" s="31" t="s">
        <v>645</v>
      </c>
      <c r="G148" s="31" t="s">
        <v>279</v>
      </c>
      <c r="H148" s="32" t="s">
        <v>646</v>
      </c>
      <c r="I148" s="18">
        <f t="shared" si="1"/>
        <v>45931</v>
      </c>
      <c r="J148" s="19" t="s">
        <v>28</v>
      </c>
      <c r="K148" s="19" t="s">
        <v>28</v>
      </c>
      <c r="L148" s="19"/>
    </row>
    <row r="149" ht="22.5" customHeight="1">
      <c r="C149" s="19" t="s">
        <v>609</v>
      </c>
      <c r="D149" s="19" t="s">
        <v>647</v>
      </c>
      <c r="E149" s="31" t="s">
        <v>648</v>
      </c>
      <c r="F149" s="31" t="s">
        <v>649</v>
      </c>
      <c r="G149" s="31" t="s">
        <v>26</v>
      </c>
      <c r="H149" s="32" t="s">
        <v>650</v>
      </c>
      <c r="I149" s="18">
        <f t="shared" si="1"/>
        <v>45931</v>
      </c>
      <c r="J149" s="19" t="s">
        <v>28</v>
      </c>
      <c r="K149" s="19" t="s">
        <v>28</v>
      </c>
      <c r="L149" s="19"/>
    </row>
    <row r="150" ht="22.5" customHeight="1">
      <c r="C150" s="19" t="s">
        <v>609</v>
      </c>
      <c r="D150" s="19" t="s">
        <v>651</v>
      </c>
      <c r="E150" s="31" t="s">
        <v>652</v>
      </c>
      <c r="F150" s="31" t="s">
        <v>653</v>
      </c>
      <c r="G150" s="31" t="s">
        <v>654</v>
      </c>
      <c r="H150" s="32" t="s">
        <v>655</v>
      </c>
      <c r="I150" s="18">
        <f t="shared" si="1"/>
        <v>45931</v>
      </c>
      <c r="J150" s="19" t="s">
        <v>28</v>
      </c>
      <c r="K150" s="19" t="s">
        <v>28</v>
      </c>
      <c r="L150" s="19"/>
    </row>
    <row r="151" ht="22.5" customHeight="1">
      <c r="C151" s="19" t="s">
        <v>609</v>
      </c>
      <c r="D151" s="19" t="s">
        <v>656</v>
      </c>
      <c r="E151" s="31" t="s">
        <v>657</v>
      </c>
      <c r="F151" s="31" t="s">
        <v>658</v>
      </c>
      <c r="G151" s="31" t="s">
        <v>659</v>
      </c>
      <c r="H151" s="32" t="s">
        <v>660</v>
      </c>
      <c r="I151" s="18">
        <f t="shared" si="1"/>
        <v>45931</v>
      </c>
      <c r="J151" s="19" t="s">
        <v>28</v>
      </c>
      <c r="K151" s="19" t="s">
        <v>28</v>
      </c>
      <c r="L151" s="19"/>
    </row>
    <row r="152" ht="22.5" customHeight="1">
      <c r="C152" s="19" t="s">
        <v>609</v>
      </c>
      <c r="D152" s="19" t="s">
        <v>661</v>
      </c>
      <c r="E152" s="31" t="s">
        <v>662</v>
      </c>
      <c r="F152" s="31" t="s">
        <v>663</v>
      </c>
      <c r="G152" s="31" t="s">
        <v>103</v>
      </c>
      <c r="H152" s="32" t="s">
        <v>664</v>
      </c>
      <c r="I152" s="18">
        <f t="shared" si="1"/>
        <v>45931</v>
      </c>
      <c r="J152" s="19" t="s">
        <v>28</v>
      </c>
      <c r="K152" s="19" t="s">
        <v>28</v>
      </c>
      <c r="L152" s="19"/>
    </row>
    <row r="153" ht="22.5" customHeight="1">
      <c r="C153" s="19" t="s">
        <v>609</v>
      </c>
      <c r="D153" s="19" t="s">
        <v>665</v>
      </c>
      <c r="E153" s="31" t="s">
        <v>666</v>
      </c>
      <c r="F153" s="31" t="s">
        <v>667</v>
      </c>
      <c r="G153" s="31" t="s">
        <v>641</v>
      </c>
      <c r="H153" s="32" t="s">
        <v>668</v>
      </c>
      <c r="I153" s="18">
        <f t="shared" si="1"/>
        <v>45931</v>
      </c>
      <c r="J153" s="19" t="s">
        <v>28</v>
      </c>
      <c r="K153" s="19" t="s">
        <v>28</v>
      </c>
      <c r="L153" s="19"/>
    </row>
    <row r="154" ht="22.5" customHeight="1">
      <c r="C154" s="19" t="s">
        <v>609</v>
      </c>
      <c r="D154" s="19" t="s">
        <v>669</v>
      </c>
      <c r="E154" s="31" t="s">
        <v>670</v>
      </c>
      <c r="F154" s="31" t="s">
        <v>671</v>
      </c>
      <c r="G154" s="31" t="s">
        <v>438</v>
      </c>
      <c r="H154" s="32" t="s">
        <v>672</v>
      </c>
      <c r="I154" s="18">
        <f t="shared" si="1"/>
        <v>45931</v>
      </c>
      <c r="J154" s="19" t="s">
        <v>28</v>
      </c>
      <c r="K154" s="19" t="s">
        <v>28</v>
      </c>
      <c r="L154" s="19"/>
    </row>
    <row r="155" ht="22.5" customHeight="1">
      <c r="C155" s="19" t="s">
        <v>609</v>
      </c>
      <c r="D155" s="19" t="s">
        <v>673</v>
      </c>
      <c r="E155" s="31" t="s">
        <v>674</v>
      </c>
      <c r="F155" s="31" t="s">
        <v>675</v>
      </c>
      <c r="G155" s="31" t="s">
        <v>524</v>
      </c>
      <c r="H155" s="32" t="s">
        <v>676</v>
      </c>
      <c r="I155" s="18">
        <f t="shared" si="1"/>
        <v>45931</v>
      </c>
      <c r="J155" s="19" t="s">
        <v>28</v>
      </c>
      <c r="K155" s="19" t="s">
        <v>28</v>
      </c>
      <c r="L155" s="19"/>
    </row>
    <row r="156" ht="22.5" customHeight="1">
      <c r="C156" s="19" t="s">
        <v>609</v>
      </c>
      <c r="D156" s="19" t="s">
        <v>677</v>
      </c>
      <c r="E156" s="31" t="s">
        <v>678</v>
      </c>
      <c r="F156" s="31" t="s">
        <v>679</v>
      </c>
      <c r="G156" s="31" t="s">
        <v>680</v>
      </c>
      <c r="H156" s="32" t="s">
        <v>681</v>
      </c>
      <c r="I156" s="18">
        <f t="shared" si="1"/>
        <v>45931</v>
      </c>
      <c r="J156" s="19" t="s">
        <v>28</v>
      </c>
      <c r="K156" s="19" t="s">
        <v>28</v>
      </c>
      <c r="L156" s="19"/>
    </row>
    <row r="157" ht="22.5" customHeight="1">
      <c r="C157" s="19" t="s">
        <v>609</v>
      </c>
      <c r="D157" s="19" t="s">
        <v>682</v>
      </c>
      <c r="E157" s="31" t="s">
        <v>683</v>
      </c>
      <c r="F157" s="31" t="s">
        <v>684</v>
      </c>
      <c r="G157" s="31" t="s">
        <v>77</v>
      </c>
      <c r="H157" s="32" t="s">
        <v>685</v>
      </c>
      <c r="I157" s="18">
        <f t="shared" si="1"/>
        <v>45931</v>
      </c>
      <c r="J157" s="19" t="s">
        <v>28</v>
      </c>
      <c r="K157" s="19" t="s">
        <v>28</v>
      </c>
      <c r="L157" s="19"/>
    </row>
    <row r="158" ht="22.5" customHeight="1">
      <c r="C158" s="19" t="s">
        <v>609</v>
      </c>
      <c r="D158" s="19" t="s">
        <v>686</v>
      </c>
      <c r="E158" s="31" t="s">
        <v>687</v>
      </c>
      <c r="F158" s="31" t="s">
        <v>688</v>
      </c>
      <c r="G158" s="31" t="s">
        <v>387</v>
      </c>
      <c r="H158" s="32" t="s">
        <v>689</v>
      </c>
      <c r="I158" s="18">
        <f t="shared" si="1"/>
        <v>45931</v>
      </c>
      <c r="J158" s="19" t="s">
        <v>28</v>
      </c>
      <c r="K158" s="19" t="s">
        <v>28</v>
      </c>
      <c r="L158" s="19"/>
    </row>
    <row r="159" ht="22.5" customHeight="1">
      <c r="C159" s="19" t="s">
        <v>609</v>
      </c>
      <c r="D159" s="19" t="s">
        <v>690</v>
      </c>
      <c r="E159" s="31" t="s">
        <v>691</v>
      </c>
      <c r="F159" s="31" t="s">
        <v>691</v>
      </c>
      <c r="G159" s="31" t="s">
        <v>62</v>
      </c>
      <c r="H159" s="32" t="s">
        <v>692</v>
      </c>
      <c r="I159" s="18">
        <f t="shared" si="1"/>
        <v>45931</v>
      </c>
      <c r="J159" s="19" t="s">
        <v>28</v>
      </c>
      <c r="K159" s="19" t="s">
        <v>28</v>
      </c>
      <c r="L159" s="19"/>
    </row>
    <row r="160" ht="22.5" customHeight="1">
      <c r="C160" s="19" t="s">
        <v>609</v>
      </c>
      <c r="D160" s="19" t="s">
        <v>693</v>
      </c>
      <c r="E160" s="31" t="s">
        <v>694</v>
      </c>
      <c r="F160" s="31" t="s">
        <v>695</v>
      </c>
      <c r="G160" s="31" t="s">
        <v>696</v>
      </c>
      <c r="H160" s="32" t="s">
        <v>697</v>
      </c>
      <c r="I160" s="18">
        <f t="shared" si="1"/>
        <v>45931</v>
      </c>
      <c r="J160" s="19" t="s">
        <v>28</v>
      </c>
      <c r="K160" s="19" t="s">
        <v>28</v>
      </c>
      <c r="L160" s="19"/>
    </row>
    <row r="161" ht="22.5" customHeight="1">
      <c r="C161" s="19" t="s">
        <v>609</v>
      </c>
      <c r="D161" s="19" t="s">
        <v>698</v>
      </c>
      <c r="E161" s="31" t="s">
        <v>699</v>
      </c>
      <c r="F161" s="31" t="s">
        <v>700</v>
      </c>
      <c r="G161" s="31" t="s">
        <v>421</v>
      </c>
      <c r="H161" s="32" t="s">
        <v>701</v>
      </c>
      <c r="I161" s="18">
        <f t="shared" si="1"/>
        <v>45931</v>
      </c>
      <c r="J161" s="19" t="s">
        <v>28</v>
      </c>
      <c r="K161" s="19" t="s">
        <v>28</v>
      </c>
      <c r="L161" s="19" t="s">
        <v>89</v>
      </c>
    </row>
    <row r="162" ht="22.5" customHeight="1">
      <c r="C162" s="19" t="s">
        <v>609</v>
      </c>
      <c r="D162" s="19" t="s">
        <v>702</v>
      </c>
      <c r="E162" s="31" t="s">
        <v>703</v>
      </c>
      <c r="F162" s="31" t="s">
        <v>704</v>
      </c>
      <c r="G162" s="31" t="s">
        <v>553</v>
      </c>
      <c r="H162" s="32" t="s">
        <v>705</v>
      </c>
      <c r="I162" s="18">
        <f t="shared" si="1"/>
        <v>45931</v>
      </c>
      <c r="J162" s="19" t="s">
        <v>28</v>
      </c>
      <c r="K162" s="19" t="s">
        <v>28</v>
      </c>
      <c r="L162" s="19"/>
    </row>
    <row r="163" ht="22.5" customHeight="1">
      <c r="C163" s="19" t="s">
        <v>609</v>
      </c>
      <c r="D163" s="19" t="s">
        <v>706</v>
      </c>
      <c r="E163" s="31" t="s">
        <v>707</v>
      </c>
      <c r="F163" s="31" t="s">
        <v>708</v>
      </c>
      <c r="G163" s="31" t="s">
        <v>142</v>
      </c>
      <c r="H163" s="32" t="s">
        <v>709</v>
      </c>
      <c r="I163" s="18">
        <f t="shared" si="1"/>
        <v>45931</v>
      </c>
      <c r="J163" s="19" t="s">
        <v>28</v>
      </c>
      <c r="K163" s="19" t="s">
        <v>28</v>
      </c>
      <c r="L163" s="19"/>
    </row>
    <row r="164" ht="22.5" customHeight="1">
      <c r="C164" s="19" t="s">
        <v>609</v>
      </c>
      <c r="D164" s="19" t="s">
        <v>710</v>
      </c>
      <c r="E164" s="31" t="s">
        <v>711</v>
      </c>
      <c r="F164" s="31" t="s">
        <v>712</v>
      </c>
      <c r="G164" s="31" t="s">
        <v>126</v>
      </c>
      <c r="H164" s="32" t="s">
        <v>713</v>
      </c>
      <c r="I164" s="18">
        <f t="shared" si="1"/>
        <v>45931</v>
      </c>
      <c r="J164" s="19" t="s">
        <v>28</v>
      </c>
      <c r="K164" s="19" t="s">
        <v>28</v>
      </c>
      <c r="L164" s="19"/>
    </row>
    <row r="165" ht="22.5" customHeight="1">
      <c r="C165" s="19" t="s">
        <v>609</v>
      </c>
      <c r="D165" s="19" t="s">
        <v>714</v>
      </c>
      <c r="E165" s="31" t="s">
        <v>715</v>
      </c>
      <c r="F165" s="31" t="s">
        <v>716</v>
      </c>
      <c r="G165" s="31" t="s">
        <v>717</v>
      </c>
      <c r="H165" s="32" t="s">
        <v>718</v>
      </c>
      <c r="I165" s="18">
        <f t="shared" si="1"/>
        <v>45931</v>
      </c>
      <c r="J165" s="19" t="s">
        <v>28</v>
      </c>
      <c r="K165" s="19" t="s">
        <v>28</v>
      </c>
      <c r="L165" s="19"/>
    </row>
    <row r="166" ht="22.5" customHeight="1">
      <c r="C166" s="19" t="s">
        <v>609</v>
      </c>
      <c r="D166" s="19" t="s">
        <v>719</v>
      </c>
      <c r="E166" s="31" t="s">
        <v>720</v>
      </c>
      <c r="F166" s="31" t="s">
        <v>721</v>
      </c>
      <c r="G166" s="31" t="s">
        <v>722</v>
      </c>
      <c r="H166" s="32" t="s">
        <v>723</v>
      </c>
      <c r="I166" s="18">
        <f t="shared" si="1"/>
        <v>45931</v>
      </c>
      <c r="J166" s="19" t="s">
        <v>28</v>
      </c>
      <c r="K166" s="19" t="s">
        <v>28</v>
      </c>
      <c r="L166" s="19"/>
    </row>
    <row r="167" ht="22.5" customHeight="1">
      <c r="C167" s="19" t="s">
        <v>609</v>
      </c>
      <c r="D167" s="19" t="s">
        <v>724</v>
      </c>
      <c r="E167" s="31" t="s">
        <v>725</v>
      </c>
      <c r="F167" s="31" t="s">
        <v>726</v>
      </c>
      <c r="G167" s="31" t="s">
        <v>727</v>
      </c>
      <c r="H167" s="32" t="s">
        <v>728</v>
      </c>
      <c r="I167" s="18">
        <f t="shared" si="1"/>
        <v>45931</v>
      </c>
      <c r="J167" s="19" t="s">
        <v>28</v>
      </c>
      <c r="K167" s="19" t="s">
        <v>28</v>
      </c>
      <c r="L167" s="19"/>
    </row>
    <row r="168" ht="22.5" customHeight="1">
      <c r="C168" s="19" t="s">
        <v>609</v>
      </c>
      <c r="D168" s="19" t="s">
        <v>729</v>
      </c>
      <c r="E168" s="31" t="s">
        <v>730</v>
      </c>
      <c r="F168" s="31" t="s">
        <v>731</v>
      </c>
      <c r="G168" s="31" t="s">
        <v>269</v>
      </c>
      <c r="H168" s="32" t="s">
        <v>732</v>
      </c>
      <c r="I168" s="18">
        <f t="shared" si="1"/>
        <v>45931</v>
      </c>
      <c r="J168" s="19" t="s">
        <v>28</v>
      </c>
      <c r="K168" s="19" t="s">
        <v>28</v>
      </c>
      <c r="L168" s="19"/>
    </row>
    <row r="169" ht="22.5" customHeight="1">
      <c r="C169" s="19" t="s">
        <v>609</v>
      </c>
      <c r="D169" s="19" t="s">
        <v>733</v>
      </c>
      <c r="E169" s="31" t="s">
        <v>734</v>
      </c>
      <c r="F169" s="31" t="s">
        <v>735</v>
      </c>
      <c r="G169" s="31" t="s">
        <v>52</v>
      </c>
      <c r="H169" s="32" t="s">
        <v>736</v>
      </c>
      <c r="I169" s="18">
        <f t="shared" si="1"/>
        <v>45931</v>
      </c>
      <c r="J169" s="19" t="s">
        <v>28</v>
      </c>
      <c r="K169" s="19" t="s">
        <v>28</v>
      </c>
      <c r="L169" s="19"/>
    </row>
    <row r="170" ht="22.5" customHeight="1">
      <c r="C170" s="19" t="s">
        <v>609</v>
      </c>
      <c r="D170" s="19" t="s">
        <v>737</v>
      </c>
      <c r="E170" s="31" t="s">
        <v>738</v>
      </c>
      <c r="F170" s="31" t="s">
        <v>739</v>
      </c>
      <c r="G170" s="31" t="s">
        <v>113</v>
      </c>
      <c r="H170" s="32" t="s">
        <v>740</v>
      </c>
      <c r="I170" s="18">
        <f t="shared" si="1"/>
        <v>45931</v>
      </c>
      <c r="J170" s="19" t="s">
        <v>28</v>
      </c>
      <c r="K170" s="19" t="s">
        <v>28</v>
      </c>
      <c r="L170" s="19"/>
    </row>
    <row r="171" ht="22.5" customHeight="1">
      <c r="C171" s="19" t="s">
        <v>609</v>
      </c>
      <c r="D171" s="19" t="s">
        <v>741</v>
      </c>
      <c r="E171" s="31" t="s">
        <v>742</v>
      </c>
      <c r="F171" s="31" t="s">
        <v>743</v>
      </c>
      <c r="G171" s="31" t="s">
        <v>131</v>
      </c>
      <c r="H171" s="32" t="s">
        <v>744</v>
      </c>
      <c r="I171" s="18">
        <f t="shared" si="1"/>
        <v>45931</v>
      </c>
      <c r="J171" s="19" t="s">
        <v>28</v>
      </c>
      <c r="K171" s="19" t="s">
        <v>28</v>
      </c>
      <c r="L171" s="19"/>
    </row>
    <row r="172" ht="22.5" customHeight="1">
      <c r="C172" s="19" t="s">
        <v>609</v>
      </c>
      <c r="D172" s="19" t="s">
        <v>745</v>
      </c>
      <c r="E172" s="31" t="s">
        <v>746</v>
      </c>
      <c r="F172" s="31" t="s">
        <v>747</v>
      </c>
      <c r="G172" s="31" t="s">
        <v>360</v>
      </c>
      <c r="H172" s="32" t="s">
        <v>748</v>
      </c>
      <c r="I172" s="18">
        <f t="shared" si="1"/>
        <v>45931</v>
      </c>
      <c r="J172" s="19" t="s">
        <v>28</v>
      </c>
      <c r="K172" s="19" t="s">
        <v>28</v>
      </c>
      <c r="L172" s="19"/>
    </row>
    <row r="173" ht="22.5" customHeight="1">
      <c r="C173" s="19" t="s">
        <v>609</v>
      </c>
      <c r="D173" s="19" t="s">
        <v>749</v>
      </c>
      <c r="E173" s="33" t="s">
        <v>750</v>
      </c>
      <c r="F173" s="31" t="s">
        <v>751</v>
      </c>
      <c r="G173" s="31" t="s">
        <v>72</v>
      </c>
      <c r="H173" s="34" t="s">
        <v>752</v>
      </c>
      <c r="I173" s="18">
        <f t="shared" si="1"/>
        <v>45931</v>
      </c>
      <c r="J173" s="19" t="s">
        <v>28</v>
      </c>
      <c r="K173" s="19" t="s">
        <v>28</v>
      </c>
      <c r="L173" s="19" t="s">
        <v>99</v>
      </c>
    </row>
    <row r="174" ht="22.5" customHeight="1">
      <c r="C174" s="19" t="s">
        <v>609</v>
      </c>
      <c r="D174" s="19" t="s">
        <v>753</v>
      </c>
      <c r="E174" s="31" t="s">
        <v>754</v>
      </c>
      <c r="F174" s="31" t="s">
        <v>755</v>
      </c>
      <c r="G174" s="31" t="s">
        <v>67</v>
      </c>
      <c r="H174" s="32" t="s">
        <v>756</v>
      </c>
      <c r="I174" s="18">
        <f t="shared" si="1"/>
        <v>45931</v>
      </c>
      <c r="J174" s="19" t="s">
        <v>28</v>
      </c>
      <c r="K174" s="19" t="s">
        <v>28</v>
      </c>
      <c r="L174" s="19"/>
    </row>
    <row r="175" ht="22.5" customHeight="1">
      <c r="C175" s="19" t="s">
        <v>609</v>
      </c>
      <c r="D175" s="19" t="s">
        <v>757</v>
      </c>
      <c r="E175" s="31" t="s">
        <v>758</v>
      </c>
      <c r="F175" s="31" t="s">
        <v>759</v>
      </c>
      <c r="G175" s="31" t="s">
        <v>57</v>
      </c>
      <c r="H175" s="32" t="s">
        <v>760</v>
      </c>
      <c r="I175" s="18">
        <f t="shared" si="1"/>
        <v>45931</v>
      </c>
      <c r="J175" s="19" t="s">
        <v>28</v>
      </c>
      <c r="K175" s="19" t="s">
        <v>28</v>
      </c>
      <c r="L175" s="19"/>
    </row>
    <row r="176" ht="22.5" customHeight="1">
      <c r="C176" s="19" t="s">
        <v>609</v>
      </c>
      <c r="D176" s="19" t="s">
        <v>761</v>
      </c>
      <c r="E176" s="31" t="s">
        <v>762</v>
      </c>
      <c r="F176" s="31" t="s">
        <v>763</v>
      </c>
      <c r="G176" s="31" t="s">
        <v>279</v>
      </c>
      <c r="H176" s="32" t="s">
        <v>764</v>
      </c>
      <c r="I176" s="18">
        <f t="shared" si="1"/>
        <v>45931</v>
      </c>
      <c r="J176" s="19" t="s">
        <v>28</v>
      </c>
      <c r="K176" s="19" t="s">
        <v>28</v>
      </c>
      <c r="L176" s="19"/>
    </row>
    <row r="177" ht="22.5" customHeight="1">
      <c r="C177" s="19" t="s">
        <v>609</v>
      </c>
      <c r="D177" s="19" t="s">
        <v>765</v>
      </c>
      <c r="E177" s="31" t="s">
        <v>766</v>
      </c>
      <c r="F177" s="31" t="s">
        <v>767</v>
      </c>
      <c r="G177" s="31" t="s">
        <v>768</v>
      </c>
      <c r="H177" s="32" t="s">
        <v>769</v>
      </c>
      <c r="I177" s="18">
        <f t="shared" si="1"/>
        <v>45931</v>
      </c>
      <c r="J177" s="19" t="s">
        <v>28</v>
      </c>
      <c r="K177" s="19" t="s">
        <v>28</v>
      </c>
      <c r="L177" s="19"/>
    </row>
    <row r="178" ht="22.5" customHeight="1">
      <c r="C178" s="19" t="s">
        <v>609</v>
      </c>
      <c r="D178" s="19" t="s">
        <v>770</v>
      </c>
      <c r="E178" s="31" t="s">
        <v>771</v>
      </c>
      <c r="F178" s="31" t="s">
        <v>772</v>
      </c>
      <c r="G178" s="31" t="s">
        <v>490</v>
      </c>
      <c r="H178" s="32" t="s">
        <v>773</v>
      </c>
      <c r="I178" s="18">
        <f t="shared" si="1"/>
        <v>45931</v>
      </c>
      <c r="J178" s="19" t="s">
        <v>28</v>
      </c>
      <c r="K178" s="19" t="s">
        <v>28</v>
      </c>
      <c r="L178" s="19"/>
    </row>
    <row r="179" ht="22.5" customHeight="1">
      <c r="C179" s="19" t="s">
        <v>609</v>
      </c>
      <c r="D179" s="19" t="s">
        <v>774</v>
      </c>
      <c r="E179" s="31" t="s">
        <v>775</v>
      </c>
      <c r="F179" s="31" t="s">
        <v>776</v>
      </c>
      <c r="G179" s="31" t="s">
        <v>636</v>
      </c>
      <c r="H179" s="32" t="s">
        <v>777</v>
      </c>
      <c r="I179" s="18">
        <f t="shared" si="1"/>
        <v>45931</v>
      </c>
      <c r="J179" s="19" t="s">
        <v>28</v>
      </c>
      <c r="K179" s="19" t="s">
        <v>28</v>
      </c>
      <c r="L179" s="19" t="s">
        <v>89</v>
      </c>
    </row>
    <row r="180" ht="22.5" customHeight="1">
      <c r="C180" s="19" t="s">
        <v>609</v>
      </c>
      <c r="D180" s="19" t="s">
        <v>778</v>
      </c>
      <c r="E180" s="31" t="s">
        <v>779</v>
      </c>
      <c r="F180" s="31" t="s">
        <v>780</v>
      </c>
      <c r="G180" s="31" t="s">
        <v>781</v>
      </c>
      <c r="H180" s="32" t="s">
        <v>782</v>
      </c>
      <c r="I180" s="18">
        <f t="shared" si="1"/>
        <v>45931</v>
      </c>
      <c r="J180" s="19" t="s">
        <v>28</v>
      </c>
      <c r="K180" s="19" t="s">
        <v>28</v>
      </c>
      <c r="L180" s="19"/>
    </row>
    <row r="181" ht="22.5" customHeight="1">
      <c r="C181" s="19" t="s">
        <v>609</v>
      </c>
      <c r="D181" s="19" t="s">
        <v>783</v>
      </c>
      <c r="E181" s="31" t="s">
        <v>784</v>
      </c>
      <c r="F181" s="31" t="s">
        <v>785</v>
      </c>
      <c r="G181" s="31" t="s">
        <v>786</v>
      </c>
      <c r="H181" s="32" t="s">
        <v>787</v>
      </c>
      <c r="I181" s="18">
        <f t="shared" si="1"/>
        <v>45931</v>
      </c>
      <c r="J181" s="19" t="s">
        <v>28</v>
      </c>
      <c r="K181" s="19" t="s">
        <v>28</v>
      </c>
      <c r="L181" s="19"/>
    </row>
    <row r="182" ht="22.5" customHeight="1">
      <c r="C182" s="19" t="s">
        <v>609</v>
      </c>
      <c r="D182" s="19" t="s">
        <v>788</v>
      </c>
      <c r="E182" s="31" t="s">
        <v>789</v>
      </c>
      <c r="F182" s="31" t="s">
        <v>790</v>
      </c>
      <c r="G182" s="31" t="s">
        <v>377</v>
      </c>
      <c r="H182" s="32" t="s">
        <v>791</v>
      </c>
      <c r="I182" s="18">
        <f t="shared" si="1"/>
        <v>45931</v>
      </c>
      <c r="J182" s="19" t="s">
        <v>28</v>
      </c>
      <c r="K182" s="19" t="s">
        <v>28</v>
      </c>
      <c r="L182" s="19"/>
    </row>
    <row r="183" ht="22.5" customHeight="1">
      <c r="C183" s="19" t="s">
        <v>609</v>
      </c>
      <c r="D183" s="19" t="s">
        <v>792</v>
      </c>
      <c r="E183" s="31" t="s">
        <v>793</v>
      </c>
      <c r="F183" s="31" t="s">
        <v>793</v>
      </c>
      <c r="G183" s="31" t="s">
        <v>599</v>
      </c>
      <c r="H183" s="32" t="s">
        <v>794</v>
      </c>
      <c r="I183" s="18">
        <f t="shared" si="1"/>
        <v>45931</v>
      </c>
      <c r="J183" s="19" t="s">
        <v>28</v>
      </c>
      <c r="K183" s="19" t="s">
        <v>28</v>
      </c>
      <c r="L183" s="19"/>
    </row>
    <row r="184" ht="22.5" customHeight="1">
      <c r="C184" s="19" t="s">
        <v>609</v>
      </c>
      <c r="D184" s="19" t="s">
        <v>795</v>
      </c>
      <c r="E184" s="31" t="s">
        <v>796</v>
      </c>
      <c r="F184" s="31" t="s">
        <v>797</v>
      </c>
      <c r="G184" s="31" t="s">
        <v>170</v>
      </c>
      <c r="H184" s="32" t="s">
        <v>798</v>
      </c>
      <c r="I184" s="18">
        <f t="shared" si="1"/>
        <v>45931</v>
      </c>
      <c r="J184" s="19" t="s">
        <v>28</v>
      </c>
      <c r="K184" s="19" t="s">
        <v>28</v>
      </c>
      <c r="L184" s="19" t="s">
        <v>99</v>
      </c>
    </row>
    <row r="185" ht="22.5" customHeight="1">
      <c r="C185" s="19" t="s">
        <v>609</v>
      </c>
      <c r="D185" s="19" t="s">
        <v>799</v>
      </c>
      <c r="E185" s="31" t="s">
        <v>800</v>
      </c>
      <c r="F185" s="31" t="s">
        <v>801</v>
      </c>
      <c r="G185" s="31" t="s">
        <v>346</v>
      </c>
      <c r="H185" s="32" t="s">
        <v>802</v>
      </c>
      <c r="I185" s="18">
        <f t="shared" si="1"/>
        <v>45931</v>
      </c>
      <c r="J185" s="19" t="s">
        <v>28</v>
      </c>
      <c r="K185" s="19" t="s">
        <v>28</v>
      </c>
      <c r="L185" s="19"/>
    </row>
    <row r="186" ht="22.5" customHeight="1">
      <c r="C186" s="19" t="s">
        <v>609</v>
      </c>
      <c r="D186" s="19" t="s">
        <v>803</v>
      </c>
      <c r="E186" s="31" t="s">
        <v>804</v>
      </c>
      <c r="F186" s="31" t="s">
        <v>805</v>
      </c>
      <c r="G186" s="31" t="s">
        <v>118</v>
      </c>
      <c r="H186" s="32" t="s">
        <v>806</v>
      </c>
      <c r="I186" s="18">
        <f t="shared" si="1"/>
        <v>45931</v>
      </c>
      <c r="J186" s="19" t="s">
        <v>28</v>
      </c>
      <c r="K186" s="19" t="s">
        <v>28</v>
      </c>
      <c r="L186" s="19" t="s">
        <v>89</v>
      </c>
    </row>
    <row r="187" ht="22.5" customHeight="1">
      <c r="C187" s="19" t="s">
        <v>807</v>
      </c>
      <c r="D187" s="19" t="s">
        <v>808</v>
      </c>
      <c r="E187" s="31" t="s">
        <v>809</v>
      </c>
      <c r="F187" s="31" t="s">
        <v>810</v>
      </c>
      <c r="G187" s="31" t="s">
        <v>77</v>
      </c>
      <c r="H187" s="32" t="s">
        <v>811</v>
      </c>
      <c r="I187" s="18">
        <f t="shared" ref="I187:I312" si="2">DATE(2025, 10, 2)</f>
        <v>45932</v>
      </c>
      <c r="J187" s="19" t="s">
        <v>28</v>
      </c>
      <c r="K187" s="19" t="s">
        <v>325</v>
      </c>
      <c r="L187" s="19"/>
    </row>
    <row r="188" ht="22.5" customHeight="1">
      <c r="C188" s="19" t="s">
        <v>807</v>
      </c>
      <c r="D188" s="19" t="s">
        <v>812</v>
      </c>
      <c r="E188" s="31" t="s">
        <v>813</v>
      </c>
      <c r="F188" s="31" t="s">
        <v>814</v>
      </c>
      <c r="G188" s="31" t="s">
        <v>152</v>
      </c>
      <c r="H188" s="32" t="s">
        <v>815</v>
      </c>
      <c r="I188" s="18">
        <f t="shared" si="2"/>
        <v>45932</v>
      </c>
      <c r="J188" s="19" t="s">
        <v>28</v>
      </c>
      <c r="K188" s="19" t="s">
        <v>325</v>
      </c>
      <c r="L188" s="19"/>
    </row>
    <row r="189" ht="22.5" customHeight="1">
      <c r="C189" s="19" t="s">
        <v>807</v>
      </c>
      <c r="D189" s="19" t="s">
        <v>816</v>
      </c>
      <c r="E189" s="31" t="s">
        <v>817</v>
      </c>
      <c r="F189" s="31" t="s">
        <v>818</v>
      </c>
      <c r="G189" s="31" t="s">
        <v>355</v>
      </c>
      <c r="H189" s="32" t="s">
        <v>819</v>
      </c>
      <c r="I189" s="18">
        <f t="shared" si="2"/>
        <v>45932</v>
      </c>
      <c r="J189" s="19" t="s">
        <v>28</v>
      </c>
      <c r="K189" s="19" t="s">
        <v>325</v>
      </c>
      <c r="L189" s="19"/>
    </row>
    <row r="190" ht="22.5" customHeight="1">
      <c r="C190" s="19" t="s">
        <v>807</v>
      </c>
      <c r="D190" s="19" t="s">
        <v>820</v>
      </c>
      <c r="E190" s="31" t="s">
        <v>821</v>
      </c>
      <c r="F190" s="31" t="s">
        <v>822</v>
      </c>
      <c r="G190" s="31" t="s">
        <v>67</v>
      </c>
      <c r="H190" s="32" t="s">
        <v>823</v>
      </c>
      <c r="I190" s="18">
        <f t="shared" si="2"/>
        <v>45932</v>
      </c>
      <c r="J190" s="19" t="s">
        <v>28</v>
      </c>
      <c r="K190" s="19" t="s">
        <v>325</v>
      </c>
      <c r="L190" s="19"/>
    </row>
    <row r="191" ht="22.5" customHeight="1">
      <c r="C191" s="19" t="s">
        <v>807</v>
      </c>
      <c r="D191" s="19" t="s">
        <v>824</v>
      </c>
      <c r="E191" s="31" t="s">
        <v>825</v>
      </c>
      <c r="F191" s="31" t="s">
        <v>826</v>
      </c>
      <c r="G191" s="31" t="s">
        <v>230</v>
      </c>
      <c r="H191" s="32" t="s">
        <v>827</v>
      </c>
      <c r="I191" s="18">
        <f t="shared" si="2"/>
        <v>45932</v>
      </c>
      <c r="J191" s="19" t="s">
        <v>28</v>
      </c>
      <c r="K191" s="19" t="s">
        <v>325</v>
      </c>
      <c r="L191" s="19"/>
    </row>
    <row r="192" ht="22.5" customHeight="1">
      <c r="C192" s="19" t="s">
        <v>807</v>
      </c>
      <c r="D192" s="19" t="s">
        <v>828</v>
      </c>
      <c r="E192" s="31" t="s">
        <v>829</v>
      </c>
      <c r="F192" s="31" t="s">
        <v>830</v>
      </c>
      <c r="G192" s="31" t="s">
        <v>82</v>
      </c>
      <c r="H192" s="32" t="s">
        <v>831</v>
      </c>
      <c r="I192" s="18">
        <f t="shared" si="2"/>
        <v>45932</v>
      </c>
      <c r="J192" s="19" t="s">
        <v>28</v>
      </c>
      <c r="K192" s="19" t="s">
        <v>325</v>
      </c>
      <c r="L192" s="19"/>
    </row>
    <row r="193" ht="22.5" customHeight="1">
      <c r="C193" s="19" t="s">
        <v>807</v>
      </c>
      <c r="D193" s="19" t="s">
        <v>832</v>
      </c>
      <c r="E193" s="31" t="s">
        <v>833</v>
      </c>
      <c r="F193" s="31" t="s">
        <v>834</v>
      </c>
      <c r="G193" s="31" t="s">
        <v>659</v>
      </c>
      <c r="H193" s="32" t="s">
        <v>835</v>
      </c>
      <c r="I193" s="18">
        <f t="shared" si="2"/>
        <v>45932</v>
      </c>
      <c r="J193" s="19" t="s">
        <v>28</v>
      </c>
      <c r="K193" s="19" t="s">
        <v>325</v>
      </c>
      <c r="L193" s="19" t="s">
        <v>148</v>
      </c>
    </row>
    <row r="194" ht="22.5" customHeight="1">
      <c r="C194" s="19" t="s">
        <v>807</v>
      </c>
      <c r="D194" s="19" t="s">
        <v>836</v>
      </c>
      <c r="E194" s="31" t="s">
        <v>837</v>
      </c>
      <c r="F194" s="31" t="s">
        <v>838</v>
      </c>
      <c r="G194" s="31" t="s">
        <v>57</v>
      </c>
      <c r="H194" s="32" t="s">
        <v>839</v>
      </c>
      <c r="I194" s="18">
        <f t="shared" si="2"/>
        <v>45932</v>
      </c>
      <c r="J194" s="19" t="s">
        <v>28</v>
      </c>
      <c r="K194" s="19" t="s">
        <v>325</v>
      </c>
      <c r="L194" s="19"/>
    </row>
    <row r="195" ht="22.5" customHeight="1">
      <c r="C195" s="19" t="s">
        <v>807</v>
      </c>
      <c r="D195" s="19" t="s">
        <v>840</v>
      </c>
      <c r="E195" s="31" t="s">
        <v>841</v>
      </c>
      <c r="F195" s="31" t="s">
        <v>842</v>
      </c>
      <c r="G195" s="31" t="s">
        <v>108</v>
      </c>
      <c r="H195" s="32" t="s">
        <v>843</v>
      </c>
      <c r="I195" s="18">
        <f t="shared" si="2"/>
        <v>45932</v>
      </c>
      <c r="J195" s="19" t="s">
        <v>28</v>
      </c>
      <c r="K195" s="19" t="s">
        <v>325</v>
      </c>
      <c r="L195" s="19"/>
    </row>
    <row r="196" ht="22.5" customHeight="1">
      <c r="C196" s="19" t="s">
        <v>807</v>
      </c>
      <c r="D196" s="19" t="s">
        <v>844</v>
      </c>
      <c r="E196" s="31" t="s">
        <v>845</v>
      </c>
      <c r="F196" s="31" t="s">
        <v>846</v>
      </c>
      <c r="G196" s="31" t="s">
        <v>847</v>
      </c>
      <c r="H196" s="34" t="s">
        <v>848</v>
      </c>
      <c r="I196" s="18">
        <f t="shared" si="2"/>
        <v>45932</v>
      </c>
      <c r="J196" s="19" t="s">
        <v>28</v>
      </c>
      <c r="K196" s="19" t="s">
        <v>325</v>
      </c>
      <c r="L196" s="19" t="s">
        <v>99</v>
      </c>
    </row>
    <row r="197" ht="22.5" customHeight="1">
      <c r="C197" s="19" t="s">
        <v>807</v>
      </c>
      <c r="D197" s="19" t="s">
        <v>849</v>
      </c>
      <c r="E197" s="31" t="s">
        <v>850</v>
      </c>
      <c r="F197" s="31" t="s">
        <v>712</v>
      </c>
      <c r="G197" s="31" t="s">
        <v>126</v>
      </c>
      <c r="H197" s="32" t="s">
        <v>851</v>
      </c>
      <c r="I197" s="18">
        <f t="shared" si="2"/>
        <v>45932</v>
      </c>
      <c r="J197" s="19" t="s">
        <v>28</v>
      </c>
      <c r="K197" s="19" t="s">
        <v>325</v>
      </c>
      <c r="L197" s="19"/>
    </row>
    <row r="198" ht="22.5" customHeight="1">
      <c r="C198" s="19" t="s">
        <v>807</v>
      </c>
      <c r="D198" s="19" t="s">
        <v>852</v>
      </c>
      <c r="E198" s="31" t="s">
        <v>853</v>
      </c>
      <c r="F198" s="31" t="s">
        <v>854</v>
      </c>
      <c r="G198" s="31" t="s">
        <v>62</v>
      </c>
      <c r="H198" s="32" t="s">
        <v>855</v>
      </c>
      <c r="I198" s="18">
        <f t="shared" si="2"/>
        <v>45932</v>
      </c>
      <c r="J198" s="19" t="s">
        <v>28</v>
      </c>
      <c r="K198" s="19" t="s">
        <v>325</v>
      </c>
      <c r="L198" s="19"/>
    </row>
    <row r="199" ht="22.5" customHeight="1">
      <c r="C199" s="19" t="s">
        <v>807</v>
      </c>
      <c r="D199" s="19" t="s">
        <v>856</v>
      </c>
      <c r="E199" s="31" t="s">
        <v>857</v>
      </c>
      <c r="F199" s="31" t="s">
        <v>858</v>
      </c>
      <c r="G199" s="31" t="s">
        <v>859</v>
      </c>
      <c r="H199" s="32" t="s">
        <v>860</v>
      </c>
      <c r="I199" s="18">
        <f t="shared" si="2"/>
        <v>45932</v>
      </c>
      <c r="J199" s="19" t="s">
        <v>28</v>
      </c>
      <c r="K199" s="19" t="s">
        <v>325</v>
      </c>
      <c r="L199" s="19"/>
    </row>
    <row r="200" ht="22.5" customHeight="1">
      <c r="C200" s="19" t="s">
        <v>807</v>
      </c>
      <c r="D200" s="19" t="s">
        <v>861</v>
      </c>
      <c r="E200" s="31" t="s">
        <v>862</v>
      </c>
      <c r="F200" s="31" t="s">
        <v>863</v>
      </c>
      <c r="G200" s="31" t="s">
        <v>72</v>
      </c>
      <c r="H200" s="32" t="s">
        <v>864</v>
      </c>
      <c r="I200" s="18">
        <f t="shared" si="2"/>
        <v>45932</v>
      </c>
      <c r="J200" s="19" t="s">
        <v>28</v>
      </c>
      <c r="K200" s="19" t="s">
        <v>325</v>
      </c>
      <c r="L200" s="19"/>
    </row>
    <row r="201" ht="22.5" customHeight="1">
      <c r="C201" s="19" t="s">
        <v>807</v>
      </c>
      <c r="D201" s="19" t="s">
        <v>865</v>
      </c>
      <c r="E201" s="31" t="s">
        <v>866</v>
      </c>
      <c r="F201" s="31" t="s">
        <v>867</v>
      </c>
      <c r="G201" s="31" t="s">
        <v>868</v>
      </c>
      <c r="H201" s="32" t="s">
        <v>869</v>
      </c>
      <c r="I201" s="18">
        <f t="shared" si="2"/>
        <v>45932</v>
      </c>
      <c r="J201" s="19" t="s">
        <v>28</v>
      </c>
      <c r="K201" s="19" t="s">
        <v>325</v>
      </c>
      <c r="L201" s="19"/>
    </row>
    <row r="202" ht="22.5" customHeight="1">
      <c r="C202" s="19" t="s">
        <v>807</v>
      </c>
      <c r="D202" s="19" t="s">
        <v>870</v>
      </c>
      <c r="E202" s="31" t="s">
        <v>871</v>
      </c>
      <c r="F202" s="31" t="s">
        <v>872</v>
      </c>
      <c r="G202" s="31" t="s">
        <v>346</v>
      </c>
      <c r="H202" s="32" t="s">
        <v>873</v>
      </c>
      <c r="I202" s="18">
        <f t="shared" si="2"/>
        <v>45932</v>
      </c>
      <c r="J202" s="19" t="s">
        <v>28</v>
      </c>
      <c r="K202" s="19" t="s">
        <v>325</v>
      </c>
      <c r="L202" s="19"/>
    </row>
    <row r="203" ht="22.5" customHeight="1">
      <c r="C203" s="19" t="s">
        <v>874</v>
      </c>
      <c r="D203" s="19" t="s">
        <v>875</v>
      </c>
      <c r="E203" s="31" t="s">
        <v>876</v>
      </c>
      <c r="F203" s="31" t="s">
        <v>877</v>
      </c>
      <c r="G203" s="31" t="s">
        <v>77</v>
      </c>
      <c r="H203" s="32" t="s">
        <v>878</v>
      </c>
      <c r="I203" s="18">
        <f t="shared" si="2"/>
        <v>45932</v>
      </c>
      <c r="J203" s="19" t="s">
        <v>28</v>
      </c>
      <c r="K203" s="19" t="s">
        <v>325</v>
      </c>
      <c r="L203" s="19"/>
    </row>
    <row r="204" ht="22.5" customHeight="1">
      <c r="C204" s="19" t="s">
        <v>874</v>
      </c>
      <c r="D204" s="19" t="s">
        <v>879</v>
      </c>
      <c r="E204" s="31" t="s">
        <v>880</v>
      </c>
      <c r="F204" s="31" t="s">
        <v>881</v>
      </c>
      <c r="G204" s="31" t="s">
        <v>26</v>
      </c>
      <c r="H204" s="32" t="s">
        <v>882</v>
      </c>
      <c r="I204" s="18">
        <f t="shared" si="2"/>
        <v>45932</v>
      </c>
      <c r="J204" s="19" t="s">
        <v>28</v>
      </c>
      <c r="K204" s="19" t="s">
        <v>325</v>
      </c>
      <c r="L204" s="19"/>
    </row>
    <row r="205" ht="22.5" customHeight="1">
      <c r="C205" s="19" t="s">
        <v>874</v>
      </c>
      <c r="D205" s="19" t="s">
        <v>883</v>
      </c>
      <c r="E205" s="31" t="s">
        <v>884</v>
      </c>
      <c r="F205" s="31" t="s">
        <v>885</v>
      </c>
      <c r="G205" s="31" t="s">
        <v>886</v>
      </c>
      <c r="H205" s="32">
        <v>3.05805199E9</v>
      </c>
      <c r="I205" s="18">
        <f t="shared" si="2"/>
        <v>45932</v>
      </c>
      <c r="J205" s="19" t="s">
        <v>28</v>
      </c>
      <c r="K205" s="19" t="s">
        <v>325</v>
      </c>
      <c r="L205" s="19"/>
    </row>
    <row r="206" ht="22.5" customHeight="1">
      <c r="C206" s="19" t="s">
        <v>874</v>
      </c>
      <c r="D206" s="19" t="s">
        <v>887</v>
      </c>
      <c r="E206" s="31" t="s">
        <v>888</v>
      </c>
      <c r="F206" s="31" t="s">
        <v>822</v>
      </c>
      <c r="G206" s="31" t="s">
        <v>67</v>
      </c>
      <c r="H206" s="32" t="s">
        <v>889</v>
      </c>
      <c r="I206" s="18">
        <f t="shared" si="2"/>
        <v>45932</v>
      </c>
      <c r="J206" s="19" t="s">
        <v>28</v>
      </c>
      <c r="K206" s="19" t="s">
        <v>325</v>
      </c>
      <c r="L206" s="19"/>
    </row>
    <row r="207" ht="22.5" customHeight="1">
      <c r="C207" s="19" t="s">
        <v>874</v>
      </c>
      <c r="D207" s="19" t="s">
        <v>890</v>
      </c>
      <c r="E207" s="31" t="s">
        <v>891</v>
      </c>
      <c r="F207" s="31" t="s">
        <v>892</v>
      </c>
      <c r="G207" s="31" t="s">
        <v>72</v>
      </c>
      <c r="H207" s="32" t="s">
        <v>893</v>
      </c>
      <c r="I207" s="18">
        <f t="shared" si="2"/>
        <v>45932</v>
      </c>
      <c r="J207" s="19" t="s">
        <v>28</v>
      </c>
      <c r="K207" s="19" t="s">
        <v>325</v>
      </c>
      <c r="L207" s="19"/>
    </row>
    <row r="208" ht="22.5" customHeight="1">
      <c r="C208" s="19" t="s">
        <v>874</v>
      </c>
      <c r="D208" s="19" t="s">
        <v>894</v>
      </c>
      <c r="E208" s="31" t="s">
        <v>895</v>
      </c>
      <c r="F208" s="31" t="s">
        <v>896</v>
      </c>
      <c r="G208" s="31" t="s">
        <v>152</v>
      </c>
      <c r="H208" s="32">
        <v>7.866919757E9</v>
      </c>
      <c r="I208" s="18">
        <f t="shared" si="2"/>
        <v>45932</v>
      </c>
      <c r="J208" s="19" t="s">
        <v>28</v>
      </c>
      <c r="K208" s="19" t="s">
        <v>325</v>
      </c>
      <c r="L208" s="19"/>
    </row>
    <row r="209" ht="22.5" customHeight="1">
      <c r="C209" s="19" t="s">
        <v>874</v>
      </c>
      <c r="D209" s="19" t="s">
        <v>897</v>
      </c>
      <c r="E209" s="31" t="s">
        <v>898</v>
      </c>
      <c r="F209" s="31" t="s">
        <v>899</v>
      </c>
      <c r="G209" s="31" t="s">
        <v>360</v>
      </c>
      <c r="H209" s="32">
        <v>7.869307374E9</v>
      </c>
      <c r="I209" s="18">
        <f t="shared" si="2"/>
        <v>45932</v>
      </c>
      <c r="J209" s="19" t="s">
        <v>28</v>
      </c>
      <c r="K209" s="19" t="s">
        <v>325</v>
      </c>
      <c r="L209" s="19"/>
    </row>
    <row r="210" ht="22.5" customHeight="1">
      <c r="C210" s="19" t="s">
        <v>874</v>
      </c>
      <c r="D210" s="19" t="s">
        <v>900</v>
      </c>
      <c r="E210" s="31" t="s">
        <v>901</v>
      </c>
      <c r="F210" s="31" t="s">
        <v>902</v>
      </c>
      <c r="G210" s="31" t="s">
        <v>247</v>
      </c>
      <c r="H210" s="32" t="s">
        <v>903</v>
      </c>
      <c r="I210" s="18">
        <f t="shared" si="2"/>
        <v>45932</v>
      </c>
      <c r="J210" s="19" t="s">
        <v>28</v>
      </c>
      <c r="K210" s="19" t="s">
        <v>325</v>
      </c>
      <c r="L210" s="19"/>
    </row>
    <row r="211" ht="22.5" customHeight="1">
      <c r="C211" s="19" t="s">
        <v>874</v>
      </c>
      <c r="D211" s="19" t="s">
        <v>904</v>
      </c>
      <c r="E211" s="31" t="s">
        <v>905</v>
      </c>
      <c r="F211" s="31" t="s">
        <v>906</v>
      </c>
      <c r="G211" s="31" t="s">
        <v>57</v>
      </c>
      <c r="H211" s="32" t="s">
        <v>907</v>
      </c>
      <c r="I211" s="18">
        <f t="shared" si="2"/>
        <v>45932</v>
      </c>
      <c r="J211" s="19" t="s">
        <v>28</v>
      </c>
      <c r="K211" s="19" t="s">
        <v>325</v>
      </c>
      <c r="L211" s="19"/>
    </row>
    <row r="212" ht="22.5" customHeight="1">
      <c r="C212" s="19" t="s">
        <v>874</v>
      </c>
      <c r="D212" s="19" t="s">
        <v>908</v>
      </c>
      <c r="E212" s="31" t="s">
        <v>909</v>
      </c>
      <c r="F212" s="31" t="s">
        <v>910</v>
      </c>
      <c r="G212" s="31" t="s">
        <v>301</v>
      </c>
      <c r="H212" s="32" t="s">
        <v>911</v>
      </c>
      <c r="I212" s="18">
        <f t="shared" si="2"/>
        <v>45932</v>
      </c>
      <c r="J212" s="19" t="s">
        <v>28</v>
      </c>
      <c r="K212" s="19" t="s">
        <v>325</v>
      </c>
      <c r="L212" s="19"/>
    </row>
    <row r="213" ht="22.5" customHeight="1">
      <c r="C213" s="19" t="s">
        <v>874</v>
      </c>
      <c r="D213" s="19" t="s">
        <v>912</v>
      </c>
      <c r="E213" s="31" t="s">
        <v>913</v>
      </c>
      <c r="F213" s="31" t="s">
        <v>914</v>
      </c>
      <c r="G213" s="31" t="s">
        <v>915</v>
      </c>
      <c r="H213" s="32" t="s">
        <v>916</v>
      </c>
      <c r="I213" s="18">
        <f t="shared" si="2"/>
        <v>45932</v>
      </c>
      <c r="J213" s="19" t="s">
        <v>28</v>
      </c>
      <c r="K213" s="19" t="s">
        <v>325</v>
      </c>
      <c r="L213" s="19"/>
    </row>
    <row r="214" ht="22.5" customHeight="1">
      <c r="C214" s="19" t="s">
        <v>874</v>
      </c>
      <c r="D214" s="19" t="s">
        <v>917</v>
      </c>
      <c r="E214" s="31" t="s">
        <v>918</v>
      </c>
      <c r="F214" s="31" t="s">
        <v>919</v>
      </c>
      <c r="G214" s="31" t="s">
        <v>62</v>
      </c>
      <c r="H214" s="32" t="s">
        <v>920</v>
      </c>
      <c r="I214" s="18">
        <f t="shared" si="2"/>
        <v>45932</v>
      </c>
      <c r="J214" s="19" t="s">
        <v>28</v>
      </c>
      <c r="K214" s="19" t="s">
        <v>325</v>
      </c>
      <c r="L214" s="19"/>
    </row>
    <row r="215" ht="22.5" customHeight="1">
      <c r="C215" s="19" t="s">
        <v>874</v>
      </c>
      <c r="D215" s="19" t="s">
        <v>921</v>
      </c>
      <c r="E215" s="31" t="s">
        <v>922</v>
      </c>
      <c r="F215" s="31" t="s">
        <v>923</v>
      </c>
      <c r="G215" s="31" t="s">
        <v>103</v>
      </c>
      <c r="H215" s="32">
        <v>3.059647612E9</v>
      </c>
      <c r="I215" s="18">
        <f t="shared" si="2"/>
        <v>45932</v>
      </c>
      <c r="J215" s="19" t="s">
        <v>28</v>
      </c>
      <c r="K215" s="19" t="s">
        <v>325</v>
      </c>
      <c r="L215" s="19"/>
    </row>
    <row r="216" ht="22.5" customHeight="1">
      <c r="C216" s="19" t="s">
        <v>874</v>
      </c>
      <c r="D216" s="19" t="s">
        <v>924</v>
      </c>
      <c r="E216" s="31" t="s">
        <v>925</v>
      </c>
      <c r="F216" s="31" t="s">
        <v>818</v>
      </c>
      <c r="G216" s="31" t="s">
        <v>224</v>
      </c>
      <c r="H216" s="32" t="s">
        <v>926</v>
      </c>
      <c r="I216" s="18">
        <f t="shared" si="2"/>
        <v>45932</v>
      </c>
      <c r="J216" s="19" t="s">
        <v>28</v>
      </c>
      <c r="K216" s="19" t="s">
        <v>325</v>
      </c>
      <c r="L216" s="19"/>
    </row>
    <row r="217" ht="22.5" customHeight="1">
      <c r="C217" s="19" t="s">
        <v>927</v>
      </c>
      <c r="D217" s="19" t="s">
        <v>875</v>
      </c>
      <c r="E217" s="31" t="s">
        <v>928</v>
      </c>
      <c r="F217" s="31" t="s">
        <v>929</v>
      </c>
      <c r="G217" s="31" t="s">
        <v>52</v>
      </c>
      <c r="H217" s="32" t="s">
        <v>930</v>
      </c>
      <c r="I217" s="18">
        <f t="shared" si="2"/>
        <v>45932</v>
      </c>
      <c r="J217" s="19" t="s">
        <v>28</v>
      </c>
      <c r="K217" s="19" t="s">
        <v>325</v>
      </c>
      <c r="L217" s="19"/>
    </row>
    <row r="218" ht="22.5" customHeight="1">
      <c r="C218" s="19" t="s">
        <v>927</v>
      </c>
      <c r="D218" s="19" t="s">
        <v>879</v>
      </c>
      <c r="E218" s="31" t="s">
        <v>931</v>
      </c>
      <c r="F218" s="31" t="s">
        <v>932</v>
      </c>
      <c r="G218" s="31" t="s">
        <v>42</v>
      </c>
      <c r="H218" s="32">
        <v>3.057269091E9</v>
      </c>
      <c r="I218" s="18">
        <f t="shared" si="2"/>
        <v>45932</v>
      </c>
      <c r="J218" s="19" t="s">
        <v>28</v>
      </c>
      <c r="K218" s="19" t="s">
        <v>325</v>
      </c>
      <c r="L218" s="19"/>
    </row>
    <row r="219" ht="22.5" customHeight="1">
      <c r="C219" s="19" t="s">
        <v>927</v>
      </c>
      <c r="D219" s="19" t="s">
        <v>883</v>
      </c>
      <c r="E219" s="31" t="s">
        <v>933</v>
      </c>
      <c r="F219" s="31" t="s">
        <v>934</v>
      </c>
      <c r="G219" s="31" t="s">
        <v>269</v>
      </c>
      <c r="H219" s="32" t="s">
        <v>935</v>
      </c>
      <c r="I219" s="18">
        <f t="shared" si="2"/>
        <v>45932</v>
      </c>
      <c r="J219" s="19" t="s">
        <v>28</v>
      </c>
      <c r="K219" s="19" t="s">
        <v>325</v>
      </c>
      <c r="L219" s="19"/>
    </row>
    <row r="220" ht="22.5" customHeight="1">
      <c r="C220" s="19" t="s">
        <v>927</v>
      </c>
      <c r="D220" s="19" t="s">
        <v>887</v>
      </c>
      <c r="E220" s="31" t="s">
        <v>936</v>
      </c>
      <c r="F220" s="31" t="s">
        <v>937</v>
      </c>
      <c r="G220" s="31" t="s">
        <v>938</v>
      </c>
      <c r="H220" s="35">
        <v>3.058053636E9</v>
      </c>
      <c r="I220" s="18">
        <f t="shared" si="2"/>
        <v>45932</v>
      </c>
      <c r="J220" s="19" t="s">
        <v>28</v>
      </c>
      <c r="K220" s="19" t="s">
        <v>325</v>
      </c>
      <c r="L220" s="19"/>
    </row>
    <row r="221" ht="22.5" customHeight="1">
      <c r="C221" s="19" t="s">
        <v>927</v>
      </c>
      <c r="D221" s="19" t="s">
        <v>890</v>
      </c>
      <c r="E221" s="31" t="s">
        <v>939</v>
      </c>
      <c r="F221" s="31" t="s">
        <v>940</v>
      </c>
      <c r="G221" s="31" t="s">
        <v>77</v>
      </c>
      <c r="H221" s="32" t="s">
        <v>941</v>
      </c>
      <c r="I221" s="18">
        <f t="shared" si="2"/>
        <v>45932</v>
      </c>
      <c r="J221" s="19" t="s">
        <v>28</v>
      </c>
      <c r="K221" s="19" t="s">
        <v>325</v>
      </c>
      <c r="L221" s="19"/>
    </row>
    <row r="222" ht="22.5" customHeight="1">
      <c r="C222" s="19" t="s">
        <v>927</v>
      </c>
      <c r="D222" s="19" t="s">
        <v>894</v>
      </c>
      <c r="E222" s="31" t="s">
        <v>942</v>
      </c>
      <c r="F222" s="31" t="s">
        <v>943</v>
      </c>
      <c r="G222" s="31" t="s">
        <v>82</v>
      </c>
      <c r="H222" s="32">
        <v>7.862266625E9</v>
      </c>
      <c r="I222" s="18">
        <f t="shared" si="2"/>
        <v>45932</v>
      </c>
      <c r="J222" s="19" t="s">
        <v>28</v>
      </c>
      <c r="K222" s="19" t="s">
        <v>325</v>
      </c>
      <c r="L222" s="19"/>
    </row>
    <row r="223" ht="22.5" customHeight="1">
      <c r="C223" s="19" t="s">
        <v>927</v>
      </c>
      <c r="D223" s="19" t="s">
        <v>897</v>
      </c>
      <c r="E223" s="31" t="s">
        <v>944</v>
      </c>
      <c r="F223" s="31" t="s">
        <v>945</v>
      </c>
      <c r="G223" s="31" t="s">
        <v>946</v>
      </c>
      <c r="H223" s="32">
        <v>7.862131776E9</v>
      </c>
      <c r="I223" s="18">
        <f t="shared" si="2"/>
        <v>45932</v>
      </c>
      <c r="J223" s="19" t="s">
        <v>28</v>
      </c>
      <c r="K223" s="19" t="s">
        <v>325</v>
      </c>
      <c r="L223" s="19"/>
    </row>
    <row r="224" ht="22.5" customHeight="1">
      <c r="C224" s="19" t="s">
        <v>927</v>
      </c>
      <c r="D224" s="19" t="s">
        <v>900</v>
      </c>
      <c r="E224" s="31" t="s">
        <v>947</v>
      </c>
      <c r="F224" s="31" t="s">
        <v>948</v>
      </c>
      <c r="G224" s="31" t="s">
        <v>360</v>
      </c>
      <c r="H224" s="32">
        <v>7.864446401E9</v>
      </c>
      <c r="I224" s="18">
        <f t="shared" si="2"/>
        <v>45932</v>
      </c>
      <c r="J224" s="19" t="s">
        <v>28</v>
      </c>
      <c r="K224" s="19" t="s">
        <v>325</v>
      </c>
      <c r="L224" s="19"/>
    </row>
    <row r="225" ht="22.5" customHeight="1">
      <c r="C225" s="19" t="s">
        <v>927</v>
      </c>
      <c r="D225" s="19" t="s">
        <v>904</v>
      </c>
      <c r="E225" s="31" t="s">
        <v>949</v>
      </c>
      <c r="F225" s="31" t="s">
        <v>950</v>
      </c>
      <c r="G225" s="31" t="s">
        <v>951</v>
      </c>
      <c r="H225" s="32">
        <v>7.864269418E9</v>
      </c>
      <c r="I225" s="18">
        <f t="shared" si="2"/>
        <v>45932</v>
      </c>
      <c r="J225" s="19" t="s">
        <v>28</v>
      </c>
      <c r="K225" s="19" t="s">
        <v>325</v>
      </c>
      <c r="L225" s="19"/>
    </row>
    <row r="226" ht="22.5" customHeight="1">
      <c r="C226" s="19" t="s">
        <v>927</v>
      </c>
      <c r="D226" s="19" t="s">
        <v>908</v>
      </c>
      <c r="E226" s="31" t="s">
        <v>952</v>
      </c>
      <c r="F226" s="31" t="s">
        <v>953</v>
      </c>
      <c r="G226" s="31" t="s">
        <v>680</v>
      </c>
      <c r="H226" s="32" t="s">
        <v>954</v>
      </c>
      <c r="I226" s="18">
        <f t="shared" si="2"/>
        <v>45932</v>
      </c>
      <c r="J226" s="19" t="s">
        <v>28</v>
      </c>
      <c r="K226" s="19" t="s">
        <v>325</v>
      </c>
      <c r="L226" s="19" t="s">
        <v>148</v>
      </c>
    </row>
    <row r="227" ht="22.5" customHeight="1">
      <c r="C227" s="19" t="s">
        <v>927</v>
      </c>
      <c r="D227" s="19" t="s">
        <v>912</v>
      </c>
      <c r="E227" s="31" t="s">
        <v>955</v>
      </c>
      <c r="F227" s="31" t="s">
        <v>956</v>
      </c>
      <c r="G227" s="31" t="s">
        <v>142</v>
      </c>
      <c r="H227" s="32">
        <v>7.862812526E9</v>
      </c>
      <c r="I227" s="18">
        <f t="shared" si="2"/>
        <v>45932</v>
      </c>
      <c r="J227" s="19" t="s">
        <v>28</v>
      </c>
      <c r="K227" s="19" t="s">
        <v>325</v>
      </c>
      <c r="L227" s="19"/>
    </row>
    <row r="228" ht="22.5" customHeight="1">
      <c r="C228" s="19" t="s">
        <v>927</v>
      </c>
      <c r="D228" s="19" t="s">
        <v>917</v>
      </c>
      <c r="E228" s="31" t="s">
        <v>957</v>
      </c>
      <c r="F228" s="31" t="s">
        <v>958</v>
      </c>
      <c r="G228" s="31" t="s">
        <v>72</v>
      </c>
      <c r="H228" s="32" t="s">
        <v>959</v>
      </c>
      <c r="I228" s="18">
        <f t="shared" si="2"/>
        <v>45932</v>
      </c>
      <c r="J228" s="19" t="s">
        <v>28</v>
      </c>
      <c r="K228" s="19" t="s">
        <v>325</v>
      </c>
      <c r="L228" s="19"/>
    </row>
    <row r="229" ht="22.5" customHeight="1">
      <c r="C229" s="19" t="s">
        <v>927</v>
      </c>
      <c r="D229" s="19" t="s">
        <v>921</v>
      </c>
      <c r="E229" s="31" t="s">
        <v>960</v>
      </c>
      <c r="F229" s="31" t="s">
        <v>961</v>
      </c>
      <c r="G229" s="31" t="s">
        <v>131</v>
      </c>
      <c r="H229" s="32">
        <v>7.862696959E9</v>
      </c>
      <c r="I229" s="18">
        <f t="shared" si="2"/>
        <v>45932</v>
      </c>
      <c r="J229" s="19" t="s">
        <v>28</v>
      </c>
      <c r="K229" s="19" t="s">
        <v>325</v>
      </c>
      <c r="L229" s="19"/>
    </row>
    <row r="230" ht="22.5" customHeight="1">
      <c r="C230" s="19" t="s">
        <v>927</v>
      </c>
      <c r="D230" s="19" t="s">
        <v>924</v>
      </c>
      <c r="E230" s="31" t="s">
        <v>962</v>
      </c>
      <c r="F230" s="31" t="s">
        <v>963</v>
      </c>
      <c r="G230" s="31" t="s">
        <v>540</v>
      </c>
      <c r="H230" s="32">
        <v>3.052399315E9</v>
      </c>
      <c r="I230" s="18">
        <f t="shared" si="2"/>
        <v>45932</v>
      </c>
      <c r="J230" s="19" t="s">
        <v>28</v>
      </c>
      <c r="K230" s="19" t="s">
        <v>325</v>
      </c>
      <c r="L230" s="19"/>
    </row>
    <row r="231" ht="22.5" customHeight="1">
      <c r="C231" s="19" t="s">
        <v>927</v>
      </c>
      <c r="D231" s="19" t="s">
        <v>964</v>
      </c>
      <c r="E231" s="31" t="s">
        <v>965</v>
      </c>
      <c r="F231" s="28" t="s">
        <v>182</v>
      </c>
      <c r="G231" s="31" t="s">
        <v>230</v>
      </c>
      <c r="H231" s="32" t="s">
        <v>966</v>
      </c>
      <c r="I231" s="18">
        <f t="shared" si="2"/>
        <v>45932</v>
      </c>
      <c r="J231" s="19" t="s">
        <v>28</v>
      </c>
      <c r="K231" s="19" t="s">
        <v>325</v>
      </c>
      <c r="L231" s="19"/>
    </row>
    <row r="232" ht="22.5" customHeight="1">
      <c r="C232" s="19" t="s">
        <v>927</v>
      </c>
      <c r="D232" s="19" t="s">
        <v>967</v>
      </c>
      <c r="E232" s="31" t="s">
        <v>968</v>
      </c>
      <c r="F232" s="31" t="s">
        <v>969</v>
      </c>
      <c r="G232" s="31" t="s">
        <v>136</v>
      </c>
      <c r="H232" s="32" t="s">
        <v>970</v>
      </c>
      <c r="I232" s="18">
        <f t="shared" si="2"/>
        <v>45932</v>
      </c>
      <c r="J232" s="19" t="s">
        <v>28</v>
      </c>
      <c r="K232" s="19" t="s">
        <v>325</v>
      </c>
      <c r="L232" s="19"/>
    </row>
    <row r="233" ht="22.5" customHeight="1">
      <c r="C233" s="19" t="s">
        <v>927</v>
      </c>
      <c r="D233" s="19" t="s">
        <v>971</v>
      </c>
      <c r="E233" s="31" t="s">
        <v>972</v>
      </c>
      <c r="F233" s="31" t="s">
        <v>973</v>
      </c>
      <c r="G233" s="31" t="s">
        <v>524</v>
      </c>
      <c r="H233" s="32" t="s">
        <v>974</v>
      </c>
      <c r="I233" s="18">
        <f t="shared" si="2"/>
        <v>45932</v>
      </c>
      <c r="J233" s="19" t="s">
        <v>28</v>
      </c>
      <c r="K233" s="19" t="s">
        <v>325</v>
      </c>
      <c r="L233" s="19"/>
    </row>
    <row r="234" ht="22.5" customHeight="1">
      <c r="C234" s="19" t="s">
        <v>927</v>
      </c>
      <c r="D234" s="19" t="s">
        <v>975</v>
      </c>
      <c r="E234" s="31" t="s">
        <v>976</v>
      </c>
      <c r="F234" s="31" t="s">
        <v>977</v>
      </c>
      <c r="G234" s="31" t="s">
        <v>217</v>
      </c>
      <c r="H234" s="32" t="s">
        <v>978</v>
      </c>
      <c r="I234" s="18">
        <f t="shared" si="2"/>
        <v>45932</v>
      </c>
      <c r="J234" s="19" t="s">
        <v>28</v>
      </c>
      <c r="K234" s="19" t="s">
        <v>325</v>
      </c>
      <c r="L234" s="19"/>
    </row>
    <row r="235" ht="22.5" customHeight="1">
      <c r="C235" s="19" t="s">
        <v>927</v>
      </c>
      <c r="D235" s="19" t="s">
        <v>979</v>
      </c>
      <c r="E235" s="31" t="s">
        <v>980</v>
      </c>
      <c r="F235" s="31" t="s">
        <v>981</v>
      </c>
      <c r="G235" s="31" t="s">
        <v>982</v>
      </c>
      <c r="H235" s="32" t="s">
        <v>983</v>
      </c>
      <c r="I235" s="18">
        <f t="shared" si="2"/>
        <v>45932</v>
      </c>
      <c r="J235" s="19" t="s">
        <v>28</v>
      </c>
      <c r="K235" s="19" t="s">
        <v>325</v>
      </c>
      <c r="L235" s="19" t="s">
        <v>148</v>
      </c>
    </row>
    <row r="236" ht="22.5" customHeight="1">
      <c r="C236" s="19" t="s">
        <v>927</v>
      </c>
      <c r="D236" s="19" t="s">
        <v>984</v>
      </c>
      <c r="E236" s="31" t="s">
        <v>985</v>
      </c>
      <c r="F236" s="31" t="s">
        <v>986</v>
      </c>
      <c r="G236" s="31" t="s">
        <v>26</v>
      </c>
      <c r="H236" s="32" t="s">
        <v>987</v>
      </c>
      <c r="I236" s="18">
        <f t="shared" si="2"/>
        <v>45932</v>
      </c>
      <c r="J236" s="19" t="s">
        <v>28</v>
      </c>
      <c r="K236" s="19" t="s">
        <v>325</v>
      </c>
      <c r="L236" s="19"/>
    </row>
    <row r="237" ht="22.5" customHeight="1">
      <c r="C237" s="19" t="s">
        <v>927</v>
      </c>
      <c r="D237" s="19" t="s">
        <v>988</v>
      </c>
      <c r="E237" s="31" t="s">
        <v>989</v>
      </c>
      <c r="F237" s="31" t="s">
        <v>990</v>
      </c>
      <c r="G237" s="31" t="s">
        <v>170</v>
      </c>
      <c r="H237" s="32" t="s">
        <v>991</v>
      </c>
      <c r="I237" s="18">
        <f t="shared" si="2"/>
        <v>45932</v>
      </c>
      <c r="J237" s="19" t="s">
        <v>28</v>
      </c>
      <c r="K237" s="19" t="s">
        <v>325</v>
      </c>
      <c r="L237" s="19"/>
    </row>
    <row r="238" ht="22.5" customHeight="1">
      <c r="C238" s="19" t="s">
        <v>927</v>
      </c>
      <c r="D238" s="19" t="s">
        <v>992</v>
      </c>
      <c r="E238" s="31" t="s">
        <v>993</v>
      </c>
      <c r="F238" s="31" t="s">
        <v>994</v>
      </c>
      <c r="G238" s="31" t="s">
        <v>57</v>
      </c>
      <c r="H238" s="32">
        <v>9.545436085E9</v>
      </c>
      <c r="I238" s="18">
        <f t="shared" si="2"/>
        <v>45932</v>
      </c>
      <c r="J238" s="19" t="s">
        <v>28</v>
      </c>
      <c r="K238" s="19" t="s">
        <v>325</v>
      </c>
      <c r="L238" s="19"/>
    </row>
    <row r="239" ht="22.5" customHeight="1">
      <c r="C239" s="19" t="s">
        <v>927</v>
      </c>
      <c r="D239" s="19" t="s">
        <v>995</v>
      </c>
      <c r="E239" s="31" t="s">
        <v>996</v>
      </c>
      <c r="F239" s="31" t="s">
        <v>997</v>
      </c>
      <c r="G239" s="31" t="s">
        <v>412</v>
      </c>
      <c r="H239" s="32" t="s">
        <v>998</v>
      </c>
      <c r="I239" s="18">
        <f t="shared" si="2"/>
        <v>45932</v>
      </c>
      <c r="J239" s="19" t="s">
        <v>28</v>
      </c>
      <c r="K239" s="19" t="s">
        <v>325</v>
      </c>
      <c r="L239" s="19"/>
    </row>
    <row r="240" ht="22.5" customHeight="1">
      <c r="C240" s="19" t="s">
        <v>927</v>
      </c>
      <c r="D240" s="19" t="s">
        <v>999</v>
      </c>
      <c r="E240" s="31" t="s">
        <v>1000</v>
      </c>
      <c r="F240" s="31" t="s">
        <v>1001</v>
      </c>
      <c r="G240" s="31" t="s">
        <v>786</v>
      </c>
      <c r="H240" s="32" t="s">
        <v>1002</v>
      </c>
      <c r="I240" s="18">
        <f t="shared" si="2"/>
        <v>45932</v>
      </c>
      <c r="J240" s="19" t="s">
        <v>28</v>
      </c>
      <c r="K240" s="19" t="s">
        <v>325</v>
      </c>
      <c r="L240" s="19"/>
    </row>
    <row r="241" ht="22.5" customHeight="1">
      <c r="C241" s="19" t="s">
        <v>927</v>
      </c>
      <c r="D241" s="19" t="s">
        <v>1003</v>
      </c>
      <c r="E241" s="31" t="s">
        <v>1004</v>
      </c>
      <c r="F241" s="31" t="s">
        <v>1005</v>
      </c>
      <c r="G241" s="31" t="s">
        <v>696</v>
      </c>
      <c r="H241" s="32" t="s">
        <v>1006</v>
      </c>
      <c r="I241" s="18">
        <f t="shared" si="2"/>
        <v>45932</v>
      </c>
      <c r="J241" s="19" t="s">
        <v>28</v>
      </c>
      <c r="K241" s="19" t="s">
        <v>325</v>
      </c>
      <c r="L241" s="19"/>
    </row>
    <row r="242" ht="22.5" customHeight="1">
      <c r="C242" s="19" t="s">
        <v>927</v>
      </c>
      <c r="D242" s="19" t="s">
        <v>1007</v>
      </c>
      <c r="E242" s="31" t="s">
        <v>1008</v>
      </c>
      <c r="F242" s="31" t="s">
        <v>1009</v>
      </c>
      <c r="G242" s="31" t="s">
        <v>1010</v>
      </c>
      <c r="H242" s="32" t="s">
        <v>1011</v>
      </c>
      <c r="I242" s="18">
        <f t="shared" si="2"/>
        <v>45932</v>
      </c>
      <c r="J242" s="19" t="s">
        <v>28</v>
      </c>
      <c r="K242" s="19" t="s">
        <v>325</v>
      </c>
      <c r="L242" s="19"/>
    </row>
    <row r="243" ht="22.5" customHeight="1">
      <c r="C243" s="19" t="s">
        <v>927</v>
      </c>
      <c r="D243" s="19" t="s">
        <v>1012</v>
      </c>
      <c r="E243" s="31" t="s">
        <v>1013</v>
      </c>
      <c r="F243" s="31" t="s">
        <v>1014</v>
      </c>
      <c r="G243" s="31" t="s">
        <v>247</v>
      </c>
      <c r="H243" s="32">
        <v>7.863674227E9</v>
      </c>
      <c r="I243" s="18">
        <f t="shared" si="2"/>
        <v>45932</v>
      </c>
      <c r="J243" s="19" t="s">
        <v>28</v>
      </c>
      <c r="K243" s="19" t="s">
        <v>325</v>
      </c>
      <c r="L243" s="19"/>
    </row>
    <row r="244" ht="22.5" customHeight="1">
      <c r="C244" s="19" t="s">
        <v>927</v>
      </c>
      <c r="D244" s="19" t="s">
        <v>1015</v>
      </c>
      <c r="E244" s="31" t="s">
        <v>1016</v>
      </c>
      <c r="F244" s="31" t="s">
        <v>1017</v>
      </c>
      <c r="G244" s="31" t="s">
        <v>118</v>
      </c>
      <c r="H244" s="32">
        <v>7.862717192E9</v>
      </c>
      <c r="I244" s="18">
        <f t="shared" si="2"/>
        <v>45932</v>
      </c>
      <c r="J244" s="19" t="s">
        <v>28</v>
      </c>
      <c r="K244" s="19" t="s">
        <v>325</v>
      </c>
      <c r="L244" s="19"/>
    </row>
    <row r="245" ht="22.5" customHeight="1">
      <c r="C245" s="19" t="s">
        <v>927</v>
      </c>
      <c r="D245" s="19" t="s">
        <v>1018</v>
      </c>
      <c r="E245" s="31" t="s">
        <v>1019</v>
      </c>
      <c r="F245" s="31" t="s">
        <v>1020</v>
      </c>
      <c r="G245" s="31" t="s">
        <v>67</v>
      </c>
      <c r="H245" s="32" t="s">
        <v>1021</v>
      </c>
      <c r="I245" s="18">
        <f t="shared" si="2"/>
        <v>45932</v>
      </c>
      <c r="J245" s="19" t="s">
        <v>28</v>
      </c>
      <c r="K245" s="19" t="s">
        <v>325</v>
      </c>
      <c r="L245" s="19"/>
    </row>
    <row r="246" ht="22.5" customHeight="1">
      <c r="C246" s="19" t="s">
        <v>927</v>
      </c>
      <c r="D246" s="19" t="s">
        <v>1022</v>
      </c>
      <c r="E246" s="31" t="s">
        <v>1023</v>
      </c>
      <c r="F246" s="31" t="s">
        <v>767</v>
      </c>
      <c r="G246" s="31" t="s">
        <v>768</v>
      </c>
      <c r="H246" s="32" t="s">
        <v>1024</v>
      </c>
      <c r="I246" s="18">
        <f t="shared" si="2"/>
        <v>45932</v>
      </c>
      <c r="J246" s="19" t="s">
        <v>28</v>
      </c>
      <c r="K246" s="19" t="s">
        <v>325</v>
      </c>
      <c r="L246" s="19"/>
    </row>
    <row r="247" ht="22.5" customHeight="1">
      <c r="C247" s="19" t="s">
        <v>927</v>
      </c>
      <c r="D247" s="19" t="s">
        <v>1025</v>
      </c>
      <c r="E247" s="31" t="s">
        <v>1026</v>
      </c>
      <c r="F247" s="31" t="s">
        <v>1027</v>
      </c>
      <c r="G247" s="31" t="s">
        <v>346</v>
      </c>
      <c r="H247" s="32" t="s">
        <v>1028</v>
      </c>
      <c r="I247" s="18">
        <f t="shared" si="2"/>
        <v>45932</v>
      </c>
      <c r="J247" s="19" t="s">
        <v>28</v>
      </c>
      <c r="K247" s="19" t="s">
        <v>325</v>
      </c>
      <c r="L247" s="19"/>
    </row>
    <row r="248" ht="22.5" customHeight="1">
      <c r="C248" s="19" t="s">
        <v>927</v>
      </c>
      <c r="D248" s="19" t="s">
        <v>1029</v>
      </c>
      <c r="E248" s="31" t="s">
        <v>1030</v>
      </c>
      <c r="F248" s="31" t="s">
        <v>1031</v>
      </c>
      <c r="G248" s="31" t="s">
        <v>269</v>
      </c>
      <c r="H248" s="32" t="s">
        <v>1032</v>
      </c>
      <c r="I248" s="18">
        <f t="shared" si="2"/>
        <v>45932</v>
      </c>
      <c r="J248" s="19" t="s">
        <v>28</v>
      </c>
      <c r="K248" s="19" t="s">
        <v>325</v>
      </c>
      <c r="L248" s="19"/>
    </row>
    <row r="249" ht="22.5" customHeight="1">
      <c r="C249" s="19" t="s">
        <v>927</v>
      </c>
      <c r="D249" s="19" t="s">
        <v>1033</v>
      </c>
      <c r="E249" s="31" t="s">
        <v>1034</v>
      </c>
      <c r="F249" s="31" t="s">
        <v>1035</v>
      </c>
      <c r="G249" s="31" t="s">
        <v>847</v>
      </c>
      <c r="H249" s="32">
        <v>3.055226005E9</v>
      </c>
      <c r="I249" s="18">
        <f t="shared" si="2"/>
        <v>45932</v>
      </c>
      <c r="J249" s="19" t="s">
        <v>28</v>
      </c>
      <c r="K249" s="19" t="s">
        <v>325</v>
      </c>
      <c r="L249" s="19"/>
    </row>
    <row r="250" ht="22.5" customHeight="1">
      <c r="C250" s="19" t="s">
        <v>927</v>
      </c>
      <c r="D250" s="19" t="s">
        <v>1036</v>
      </c>
      <c r="E250" s="31" t="s">
        <v>1037</v>
      </c>
      <c r="F250" s="31" t="s">
        <v>1038</v>
      </c>
      <c r="G250" s="31" t="s">
        <v>152</v>
      </c>
      <c r="H250" s="32" t="s">
        <v>1039</v>
      </c>
      <c r="I250" s="18">
        <f t="shared" si="2"/>
        <v>45932</v>
      </c>
      <c r="J250" s="19" t="s">
        <v>28</v>
      </c>
      <c r="K250" s="19" t="s">
        <v>325</v>
      </c>
      <c r="L250" s="19"/>
    </row>
    <row r="251" ht="22.5" customHeight="1">
      <c r="C251" s="19" t="s">
        <v>927</v>
      </c>
      <c r="D251" s="19" t="s">
        <v>1040</v>
      </c>
      <c r="E251" s="31" t="s">
        <v>1041</v>
      </c>
      <c r="F251" s="31" t="s">
        <v>1042</v>
      </c>
      <c r="G251" s="31" t="s">
        <v>1043</v>
      </c>
      <c r="H251" s="32">
        <v>7.868782797E9</v>
      </c>
      <c r="I251" s="18">
        <f t="shared" si="2"/>
        <v>45932</v>
      </c>
      <c r="J251" s="19" t="s">
        <v>28</v>
      </c>
      <c r="K251" s="19" t="s">
        <v>325</v>
      </c>
      <c r="L251" s="19"/>
    </row>
    <row r="252" ht="22.5" customHeight="1">
      <c r="C252" s="19" t="s">
        <v>927</v>
      </c>
      <c r="D252" s="19" t="s">
        <v>1044</v>
      </c>
      <c r="E252" s="31" t="s">
        <v>1045</v>
      </c>
      <c r="F252" s="31" t="s">
        <v>1046</v>
      </c>
      <c r="G252" s="31" t="s">
        <v>636</v>
      </c>
      <c r="H252" s="32">
        <v>3.054337006E9</v>
      </c>
      <c r="I252" s="18">
        <f t="shared" si="2"/>
        <v>45932</v>
      </c>
      <c r="J252" s="19" t="s">
        <v>28</v>
      </c>
      <c r="K252" s="19" t="s">
        <v>325</v>
      </c>
      <c r="L252" s="19"/>
    </row>
    <row r="253" ht="22.5" customHeight="1">
      <c r="C253" s="19" t="s">
        <v>927</v>
      </c>
      <c r="D253" s="19" t="s">
        <v>1047</v>
      </c>
      <c r="E253" s="31" t="s">
        <v>1048</v>
      </c>
      <c r="F253" s="31" t="s">
        <v>1049</v>
      </c>
      <c r="G253" s="31" t="s">
        <v>1050</v>
      </c>
      <c r="H253" s="32">
        <v>3.055911818E9</v>
      </c>
      <c r="I253" s="18">
        <f t="shared" si="2"/>
        <v>45932</v>
      </c>
      <c r="J253" s="19" t="s">
        <v>28</v>
      </c>
      <c r="K253" s="19" t="s">
        <v>325</v>
      </c>
      <c r="L253" s="19" t="s">
        <v>148</v>
      </c>
    </row>
    <row r="254" ht="22.5" customHeight="1">
      <c r="C254" s="19" t="s">
        <v>927</v>
      </c>
      <c r="D254" s="19" t="s">
        <v>1051</v>
      </c>
      <c r="E254" s="31" t="s">
        <v>1052</v>
      </c>
      <c r="F254" s="28" t="s">
        <v>182</v>
      </c>
      <c r="G254" s="31" t="s">
        <v>717</v>
      </c>
      <c r="H254" s="35">
        <v>3.056664449E9</v>
      </c>
      <c r="I254" s="18">
        <f t="shared" si="2"/>
        <v>45932</v>
      </c>
      <c r="J254" s="19" t="s">
        <v>28</v>
      </c>
      <c r="K254" s="19" t="s">
        <v>325</v>
      </c>
      <c r="L254" s="19"/>
    </row>
    <row r="255" ht="22.5" customHeight="1">
      <c r="C255" s="19" t="s">
        <v>927</v>
      </c>
      <c r="D255" s="19" t="s">
        <v>1053</v>
      </c>
      <c r="E255" s="31" t="s">
        <v>1054</v>
      </c>
      <c r="F255" s="31" t="s">
        <v>1055</v>
      </c>
      <c r="G255" s="31" t="s">
        <v>126</v>
      </c>
      <c r="H255" s="32" t="s">
        <v>1056</v>
      </c>
      <c r="I255" s="18">
        <f t="shared" si="2"/>
        <v>45932</v>
      </c>
      <c r="J255" s="19" t="s">
        <v>28</v>
      </c>
      <c r="K255" s="19" t="s">
        <v>325</v>
      </c>
      <c r="L255" s="19"/>
    </row>
    <row r="256" ht="22.5" customHeight="1">
      <c r="C256" s="19" t="s">
        <v>927</v>
      </c>
      <c r="D256" s="19" t="s">
        <v>1057</v>
      </c>
      <c r="E256" s="31" t="s">
        <v>1058</v>
      </c>
      <c r="F256" s="31" t="s">
        <v>1059</v>
      </c>
      <c r="G256" s="31" t="s">
        <v>1060</v>
      </c>
      <c r="H256" s="32">
        <v>7.862237886E9</v>
      </c>
      <c r="I256" s="18">
        <f t="shared" si="2"/>
        <v>45932</v>
      </c>
      <c r="J256" s="19" t="s">
        <v>28</v>
      </c>
      <c r="K256" s="19" t="s">
        <v>325</v>
      </c>
      <c r="L256" s="19"/>
    </row>
    <row r="257" ht="22.5" customHeight="1">
      <c r="C257" s="19" t="s">
        <v>927</v>
      </c>
      <c r="D257" s="19" t="s">
        <v>1061</v>
      </c>
      <c r="E257" s="31" t="s">
        <v>1062</v>
      </c>
      <c r="F257" s="31" t="s">
        <v>1063</v>
      </c>
      <c r="G257" s="31" t="s">
        <v>438</v>
      </c>
      <c r="H257" s="32" t="s">
        <v>1064</v>
      </c>
      <c r="I257" s="18">
        <f t="shared" si="2"/>
        <v>45932</v>
      </c>
      <c r="J257" s="19" t="s">
        <v>28</v>
      </c>
      <c r="K257" s="19" t="s">
        <v>325</v>
      </c>
      <c r="L257" s="19"/>
    </row>
    <row r="258" ht="22.5" customHeight="1">
      <c r="C258" s="19" t="s">
        <v>1065</v>
      </c>
      <c r="D258" s="19" t="s">
        <v>1066</v>
      </c>
      <c r="E258" s="31" t="s">
        <v>1067</v>
      </c>
      <c r="F258" s="31" t="s">
        <v>1068</v>
      </c>
      <c r="G258" s="31" t="s">
        <v>421</v>
      </c>
      <c r="H258" s="32" t="s">
        <v>1069</v>
      </c>
      <c r="I258" s="18">
        <f t="shared" si="2"/>
        <v>45932</v>
      </c>
      <c r="J258" s="19" t="s">
        <v>28</v>
      </c>
      <c r="K258" s="19" t="s">
        <v>325</v>
      </c>
      <c r="L258" s="19"/>
    </row>
    <row r="259" ht="22.5" customHeight="1">
      <c r="C259" s="19" t="s">
        <v>1065</v>
      </c>
      <c r="D259" s="19" t="s">
        <v>1070</v>
      </c>
      <c r="E259" s="31" t="s">
        <v>1071</v>
      </c>
      <c r="F259" s="31" t="s">
        <v>1072</v>
      </c>
      <c r="G259" s="31" t="s">
        <v>26</v>
      </c>
      <c r="H259" s="32" t="s">
        <v>1073</v>
      </c>
      <c r="I259" s="18">
        <f t="shared" si="2"/>
        <v>45932</v>
      </c>
      <c r="J259" s="19" t="s">
        <v>28</v>
      </c>
      <c r="K259" s="19" t="s">
        <v>325</v>
      </c>
      <c r="L259" s="19"/>
    </row>
    <row r="260" ht="22.5" customHeight="1">
      <c r="C260" s="19" t="s">
        <v>1065</v>
      </c>
      <c r="D260" s="19" t="s">
        <v>1074</v>
      </c>
      <c r="E260" s="31" t="s">
        <v>1075</v>
      </c>
      <c r="F260" s="31" t="s">
        <v>1076</v>
      </c>
      <c r="G260" s="31" t="s">
        <v>131</v>
      </c>
      <c r="H260" s="32" t="s">
        <v>1077</v>
      </c>
      <c r="I260" s="18">
        <f t="shared" si="2"/>
        <v>45932</v>
      </c>
      <c r="J260" s="19" t="s">
        <v>28</v>
      </c>
      <c r="K260" s="19" t="s">
        <v>325</v>
      </c>
      <c r="L260" s="19"/>
    </row>
    <row r="261" ht="22.5" customHeight="1">
      <c r="C261" s="19" t="s">
        <v>1065</v>
      </c>
      <c r="D261" s="19" t="s">
        <v>1078</v>
      </c>
      <c r="E261" s="31" t="s">
        <v>1079</v>
      </c>
      <c r="F261" s="31" t="s">
        <v>1080</v>
      </c>
      <c r="G261" s="31" t="s">
        <v>301</v>
      </c>
      <c r="H261" s="32">
        <v>7.86402786E9</v>
      </c>
      <c r="I261" s="18">
        <f t="shared" si="2"/>
        <v>45932</v>
      </c>
      <c r="J261" s="19" t="s">
        <v>28</v>
      </c>
      <c r="K261" s="19" t="s">
        <v>325</v>
      </c>
      <c r="L261" s="19"/>
    </row>
    <row r="262" ht="22.5" customHeight="1">
      <c r="C262" s="19" t="s">
        <v>1065</v>
      </c>
      <c r="D262" s="19" t="s">
        <v>1081</v>
      </c>
      <c r="E262" s="31" t="s">
        <v>1082</v>
      </c>
      <c r="F262" s="31" t="s">
        <v>1083</v>
      </c>
      <c r="G262" s="31" t="s">
        <v>224</v>
      </c>
      <c r="H262" s="32" t="s">
        <v>1084</v>
      </c>
      <c r="I262" s="18">
        <f t="shared" si="2"/>
        <v>45932</v>
      </c>
      <c r="J262" s="19" t="s">
        <v>28</v>
      </c>
      <c r="K262" s="19" t="s">
        <v>325</v>
      </c>
      <c r="L262" s="19"/>
    </row>
    <row r="263" ht="22.5" customHeight="1">
      <c r="C263" s="19" t="s">
        <v>1065</v>
      </c>
      <c r="D263" s="19" t="s">
        <v>1085</v>
      </c>
      <c r="E263" s="31" t="s">
        <v>1086</v>
      </c>
      <c r="F263" s="31" t="s">
        <v>1087</v>
      </c>
      <c r="G263" s="31" t="s">
        <v>346</v>
      </c>
      <c r="H263" s="32" t="s">
        <v>1088</v>
      </c>
      <c r="I263" s="18">
        <f t="shared" si="2"/>
        <v>45932</v>
      </c>
      <c r="J263" s="19" t="s">
        <v>28</v>
      </c>
      <c r="K263" s="19" t="s">
        <v>325</v>
      </c>
      <c r="L263" s="19"/>
    </row>
    <row r="264" ht="22.5" customHeight="1">
      <c r="C264" s="19" t="s">
        <v>1065</v>
      </c>
      <c r="D264" s="19" t="s">
        <v>1089</v>
      </c>
      <c r="E264" s="31" t="s">
        <v>1090</v>
      </c>
      <c r="F264" s="31" t="s">
        <v>1091</v>
      </c>
      <c r="G264" s="31" t="s">
        <v>82</v>
      </c>
      <c r="H264" s="32" t="s">
        <v>1092</v>
      </c>
      <c r="I264" s="18">
        <f t="shared" si="2"/>
        <v>45932</v>
      </c>
      <c r="J264" s="19" t="s">
        <v>28</v>
      </c>
      <c r="K264" s="19" t="s">
        <v>325</v>
      </c>
      <c r="L264" s="19"/>
    </row>
    <row r="265" ht="22.5" customHeight="1">
      <c r="C265" s="19" t="s">
        <v>1065</v>
      </c>
      <c r="D265" s="19" t="s">
        <v>1093</v>
      </c>
      <c r="E265" s="31" t="s">
        <v>1094</v>
      </c>
      <c r="F265" s="31" t="s">
        <v>1095</v>
      </c>
      <c r="G265" s="31" t="s">
        <v>126</v>
      </c>
      <c r="H265" s="32" t="s">
        <v>1096</v>
      </c>
      <c r="I265" s="18">
        <f t="shared" si="2"/>
        <v>45932</v>
      </c>
      <c r="J265" s="19" t="s">
        <v>28</v>
      </c>
      <c r="K265" s="19" t="s">
        <v>325</v>
      </c>
      <c r="L265" s="19"/>
    </row>
    <row r="266" ht="22.5" customHeight="1">
      <c r="C266" s="19" t="s">
        <v>1065</v>
      </c>
      <c r="D266" s="19" t="s">
        <v>1097</v>
      </c>
      <c r="E266" s="31" t="s">
        <v>1098</v>
      </c>
      <c r="F266" s="31" t="s">
        <v>1099</v>
      </c>
      <c r="G266" s="31" t="s">
        <v>77</v>
      </c>
      <c r="H266" s="32" t="s">
        <v>1100</v>
      </c>
      <c r="I266" s="18">
        <f t="shared" si="2"/>
        <v>45932</v>
      </c>
      <c r="J266" s="19" t="s">
        <v>28</v>
      </c>
      <c r="K266" s="19" t="s">
        <v>325</v>
      </c>
      <c r="L266" s="19"/>
    </row>
    <row r="267" ht="22.5" customHeight="1">
      <c r="C267" s="19" t="s">
        <v>1065</v>
      </c>
      <c r="D267" s="19" t="s">
        <v>1101</v>
      </c>
      <c r="E267" s="31" t="s">
        <v>1102</v>
      </c>
      <c r="F267" s="31" t="s">
        <v>1103</v>
      </c>
      <c r="G267" s="31" t="s">
        <v>103</v>
      </c>
      <c r="H267" s="32" t="s">
        <v>1104</v>
      </c>
      <c r="I267" s="18">
        <f t="shared" si="2"/>
        <v>45932</v>
      </c>
      <c r="J267" s="19" t="s">
        <v>28</v>
      </c>
      <c r="K267" s="19" t="s">
        <v>325</v>
      </c>
      <c r="L267" s="19"/>
    </row>
    <row r="268" ht="22.5" customHeight="1">
      <c r="C268" s="19" t="s">
        <v>1065</v>
      </c>
      <c r="D268" s="19" t="s">
        <v>1105</v>
      </c>
      <c r="E268" s="31" t="s">
        <v>1106</v>
      </c>
      <c r="F268" s="31" t="s">
        <v>1107</v>
      </c>
      <c r="G268" s="31" t="s">
        <v>247</v>
      </c>
      <c r="H268" s="32" t="s">
        <v>1108</v>
      </c>
      <c r="I268" s="18">
        <f t="shared" si="2"/>
        <v>45932</v>
      </c>
      <c r="J268" s="19" t="s">
        <v>28</v>
      </c>
      <c r="K268" s="19" t="s">
        <v>325</v>
      </c>
      <c r="L268" s="19"/>
    </row>
    <row r="269" ht="22.5" customHeight="1">
      <c r="C269" s="19" t="s">
        <v>1065</v>
      </c>
      <c r="D269" s="19" t="s">
        <v>1109</v>
      </c>
      <c r="E269" s="31" t="s">
        <v>1110</v>
      </c>
      <c r="F269" s="31" t="s">
        <v>1111</v>
      </c>
      <c r="G269" s="31" t="s">
        <v>577</v>
      </c>
      <c r="H269" s="32" t="s">
        <v>1112</v>
      </c>
      <c r="I269" s="18">
        <f t="shared" si="2"/>
        <v>45932</v>
      </c>
      <c r="J269" s="19" t="s">
        <v>28</v>
      </c>
      <c r="K269" s="19" t="s">
        <v>325</v>
      </c>
      <c r="L269" s="19"/>
    </row>
    <row r="270" ht="22.5" customHeight="1">
      <c r="C270" s="19" t="s">
        <v>1065</v>
      </c>
      <c r="D270" s="19" t="s">
        <v>1113</v>
      </c>
      <c r="E270" s="31" t="s">
        <v>1114</v>
      </c>
      <c r="F270" s="31" t="s">
        <v>1115</v>
      </c>
      <c r="G270" s="31" t="s">
        <v>360</v>
      </c>
      <c r="H270" s="32">
        <v>3.05200611E9</v>
      </c>
      <c r="I270" s="18">
        <f t="shared" si="2"/>
        <v>45932</v>
      </c>
      <c r="J270" s="19" t="s">
        <v>28</v>
      </c>
      <c r="K270" s="19" t="s">
        <v>325</v>
      </c>
      <c r="L270" s="19"/>
    </row>
    <row r="271" ht="22.5" customHeight="1">
      <c r="C271" s="19" t="s">
        <v>1065</v>
      </c>
      <c r="D271" s="19" t="s">
        <v>1116</v>
      </c>
      <c r="E271" s="31" t="s">
        <v>1117</v>
      </c>
      <c r="F271" s="31" t="s">
        <v>1118</v>
      </c>
      <c r="G271" s="31" t="s">
        <v>67</v>
      </c>
      <c r="H271" s="32" t="s">
        <v>1119</v>
      </c>
      <c r="I271" s="18">
        <f t="shared" si="2"/>
        <v>45932</v>
      </c>
      <c r="J271" s="19" t="s">
        <v>28</v>
      </c>
      <c r="K271" s="19" t="s">
        <v>325</v>
      </c>
      <c r="L271" s="19"/>
    </row>
    <row r="272" ht="22.5" customHeight="1">
      <c r="C272" s="19" t="s">
        <v>1065</v>
      </c>
      <c r="D272" s="19" t="s">
        <v>1120</v>
      </c>
      <c r="E272" s="31" t="s">
        <v>1121</v>
      </c>
      <c r="F272" s="31" t="s">
        <v>1122</v>
      </c>
      <c r="G272" s="31" t="s">
        <v>680</v>
      </c>
      <c r="H272" s="32" t="s">
        <v>1123</v>
      </c>
      <c r="I272" s="18">
        <f t="shared" si="2"/>
        <v>45932</v>
      </c>
      <c r="J272" s="19" t="s">
        <v>28</v>
      </c>
      <c r="K272" s="19" t="s">
        <v>325</v>
      </c>
      <c r="L272" s="19" t="s">
        <v>148</v>
      </c>
    </row>
    <row r="273" ht="22.5" customHeight="1">
      <c r="C273" s="19" t="s">
        <v>1065</v>
      </c>
      <c r="D273" s="19" t="s">
        <v>1124</v>
      </c>
      <c r="E273" s="31" t="s">
        <v>1125</v>
      </c>
      <c r="F273" s="31" t="s">
        <v>1126</v>
      </c>
      <c r="G273" s="31" t="s">
        <v>72</v>
      </c>
      <c r="H273" s="32">
        <v>3.053721369E9</v>
      </c>
      <c r="I273" s="18">
        <f t="shared" si="2"/>
        <v>45932</v>
      </c>
      <c r="J273" s="19" t="s">
        <v>28</v>
      </c>
      <c r="K273" s="19" t="s">
        <v>325</v>
      </c>
      <c r="L273" s="19"/>
    </row>
    <row r="274" ht="22.5" customHeight="1">
      <c r="C274" s="19" t="s">
        <v>1065</v>
      </c>
      <c r="D274" s="19" t="s">
        <v>1127</v>
      </c>
      <c r="E274" s="31" t="s">
        <v>1128</v>
      </c>
      <c r="F274" s="31" t="s">
        <v>1129</v>
      </c>
      <c r="G274" s="31" t="s">
        <v>152</v>
      </c>
      <c r="H274" s="32" t="s">
        <v>1130</v>
      </c>
      <c r="I274" s="18">
        <f t="shared" si="2"/>
        <v>45932</v>
      </c>
      <c r="J274" s="19" t="s">
        <v>28</v>
      </c>
      <c r="K274" s="19" t="s">
        <v>325</v>
      </c>
      <c r="L274" s="19"/>
    </row>
    <row r="275" ht="22.5" customHeight="1">
      <c r="C275" s="19" t="s">
        <v>1065</v>
      </c>
      <c r="D275" s="19" t="s">
        <v>1131</v>
      </c>
      <c r="E275" s="31" t="s">
        <v>1132</v>
      </c>
      <c r="F275" s="31" t="s">
        <v>1133</v>
      </c>
      <c r="G275" s="31" t="s">
        <v>1134</v>
      </c>
      <c r="H275" s="32" t="s">
        <v>1135</v>
      </c>
      <c r="I275" s="18">
        <f t="shared" si="2"/>
        <v>45932</v>
      </c>
      <c r="J275" s="19" t="s">
        <v>28</v>
      </c>
      <c r="K275" s="19" t="s">
        <v>325</v>
      </c>
      <c r="L275" s="19"/>
    </row>
    <row r="276" ht="22.5" customHeight="1">
      <c r="C276" s="19" t="s">
        <v>1065</v>
      </c>
      <c r="D276" s="19" t="s">
        <v>1136</v>
      </c>
      <c r="E276" s="31" t="s">
        <v>1137</v>
      </c>
      <c r="F276" s="31" t="s">
        <v>1138</v>
      </c>
      <c r="G276" s="31" t="s">
        <v>1139</v>
      </c>
      <c r="H276" s="32" t="s">
        <v>1140</v>
      </c>
      <c r="I276" s="18">
        <f t="shared" si="2"/>
        <v>45932</v>
      </c>
      <c r="J276" s="19" t="s">
        <v>28</v>
      </c>
      <c r="K276" s="19" t="s">
        <v>325</v>
      </c>
      <c r="L276" s="19"/>
    </row>
    <row r="277" ht="22.5" customHeight="1">
      <c r="C277" s="19" t="s">
        <v>1065</v>
      </c>
      <c r="D277" s="19" t="s">
        <v>1141</v>
      </c>
      <c r="E277" s="31" t="s">
        <v>1142</v>
      </c>
      <c r="F277" s="31" t="s">
        <v>1143</v>
      </c>
      <c r="G277" s="31" t="s">
        <v>886</v>
      </c>
      <c r="H277" s="32">
        <v>7.863676567E9</v>
      </c>
      <c r="I277" s="18">
        <f t="shared" si="2"/>
        <v>45932</v>
      </c>
      <c r="J277" s="19" t="s">
        <v>28</v>
      </c>
      <c r="K277" s="19" t="s">
        <v>325</v>
      </c>
      <c r="L277" s="19"/>
    </row>
    <row r="278" ht="22.5" customHeight="1">
      <c r="C278" s="19" t="s">
        <v>1144</v>
      </c>
      <c r="D278" s="19" t="s">
        <v>1145</v>
      </c>
      <c r="E278" s="36" t="s">
        <v>1146</v>
      </c>
      <c r="F278" s="36" t="s">
        <v>1147</v>
      </c>
      <c r="G278" s="36" t="s">
        <v>1010</v>
      </c>
      <c r="H278" s="32">
        <v>7.86400461E9</v>
      </c>
      <c r="I278" s="18">
        <f t="shared" si="2"/>
        <v>45932</v>
      </c>
      <c r="J278" s="19" t="s">
        <v>28</v>
      </c>
      <c r="K278" s="19" t="s">
        <v>28</v>
      </c>
      <c r="L278" s="19"/>
    </row>
    <row r="279" ht="22.5" customHeight="1">
      <c r="C279" s="19" t="s">
        <v>1144</v>
      </c>
      <c r="D279" s="19" t="s">
        <v>1148</v>
      </c>
      <c r="E279" s="36" t="s">
        <v>1149</v>
      </c>
      <c r="F279" s="36" t="s">
        <v>1150</v>
      </c>
      <c r="G279" s="36" t="s">
        <v>62</v>
      </c>
      <c r="H279" s="32">
        <v>3.054891415E9</v>
      </c>
      <c r="I279" s="18">
        <f t="shared" si="2"/>
        <v>45932</v>
      </c>
      <c r="J279" s="19" t="s">
        <v>28</v>
      </c>
      <c r="K279" s="19" t="s">
        <v>28</v>
      </c>
      <c r="L279" s="19"/>
    </row>
    <row r="280" ht="22.5" customHeight="1">
      <c r="C280" s="19" t="s">
        <v>1144</v>
      </c>
      <c r="D280" s="19" t="s">
        <v>1151</v>
      </c>
      <c r="E280" s="36" t="s">
        <v>1152</v>
      </c>
      <c r="F280" s="36" t="s">
        <v>1153</v>
      </c>
      <c r="G280" s="36" t="s">
        <v>553</v>
      </c>
      <c r="H280" s="37" t="s">
        <v>1154</v>
      </c>
      <c r="I280" s="18">
        <f t="shared" si="2"/>
        <v>45932</v>
      </c>
      <c r="J280" s="19" t="s">
        <v>28</v>
      </c>
      <c r="K280" s="19" t="s">
        <v>28</v>
      </c>
      <c r="L280" s="19"/>
    </row>
    <row r="281" ht="22.5" customHeight="1">
      <c r="C281" s="19" t="s">
        <v>1144</v>
      </c>
      <c r="D281" s="19" t="s">
        <v>1155</v>
      </c>
      <c r="E281" s="36" t="s">
        <v>1156</v>
      </c>
      <c r="F281" s="36" t="s">
        <v>1157</v>
      </c>
      <c r="G281" s="36" t="s">
        <v>230</v>
      </c>
      <c r="H281" s="37" t="s">
        <v>1096</v>
      </c>
      <c r="I281" s="18">
        <f t="shared" si="2"/>
        <v>45932</v>
      </c>
      <c r="J281" s="19" t="s">
        <v>28</v>
      </c>
      <c r="K281" s="19" t="s">
        <v>28</v>
      </c>
      <c r="L281" s="19"/>
    </row>
    <row r="282" ht="22.5" customHeight="1">
      <c r="C282" s="19" t="s">
        <v>1144</v>
      </c>
      <c r="D282" s="19" t="s">
        <v>1158</v>
      </c>
      <c r="E282" s="36" t="s">
        <v>1159</v>
      </c>
      <c r="F282" s="36" t="s">
        <v>1160</v>
      </c>
      <c r="G282" s="36" t="s">
        <v>360</v>
      </c>
      <c r="H282" s="32">
        <v>3.053797663E9</v>
      </c>
      <c r="I282" s="18">
        <f t="shared" si="2"/>
        <v>45932</v>
      </c>
      <c r="J282" s="19" t="s">
        <v>28</v>
      </c>
      <c r="K282" s="19" t="s">
        <v>28</v>
      </c>
      <c r="L282" s="19"/>
    </row>
    <row r="283" ht="22.5" customHeight="1">
      <c r="C283" s="19" t="s">
        <v>1144</v>
      </c>
      <c r="D283" s="19" t="s">
        <v>1161</v>
      </c>
      <c r="E283" s="36" t="s">
        <v>1162</v>
      </c>
      <c r="F283" s="36" t="s">
        <v>1163</v>
      </c>
      <c r="G283" s="36" t="s">
        <v>1164</v>
      </c>
      <c r="H283" s="32">
        <v>3.05798538E9</v>
      </c>
      <c r="I283" s="18">
        <f t="shared" si="2"/>
        <v>45932</v>
      </c>
      <c r="J283" s="19" t="s">
        <v>28</v>
      </c>
      <c r="K283" s="19" t="s">
        <v>28</v>
      </c>
      <c r="L283" s="19"/>
    </row>
    <row r="284" ht="22.5" customHeight="1">
      <c r="C284" s="19" t="s">
        <v>1144</v>
      </c>
      <c r="D284" s="19" t="s">
        <v>1165</v>
      </c>
      <c r="E284" s="36" t="s">
        <v>1166</v>
      </c>
      <c r="F284" s="36" t="s">
        <v>1167</v>
      </c>
      <c r="G284" s="36" t="s">
        <v>26</v>
      </c>
      <c r="H284" s="37" t="s">
        <v>1168</v>
      </c>
      <c r="I284" s="18">
        <f t="shared" si="2"/>
        <v>45932</v>
      </c>
      <c r="J284" s="19" t="s">
        <v>28</v>
      </c>
      <c r="K284" s="19" t="s">
        <v>28</v>
      </c>
      <c r="L284" s="19"/>
    </row>
    <row r="285" ht="22.5" customHeight="1">
      <c r="C285" s="19" t="s">
        <v>1144</v>
      </c>
      <c r="D285" s="19" t="s">
        <v>1169</v>
      </c>
      <c r="E285" s="36" t="s">
        <v>1170</v>
      </c>
      <c r="F285" s="36" t="s">
        <v>1171</v>
      </c>
      <c r="G285" s="36" t="s">
        <v>1172</v>
      </c>
      <c r="H285" s="32">
        <v>7.866864716E9</v>
      </c>
      <c r="I285" s="18">
        <f t="shared" si="2"/>
        <v>45932</v>
      </c>
      <c r="J285" s="19" t="s">
        <v>28</v>
      </c>
      <c r="K285" s="19" t="s">
        <v>28</v>
      </c>
      <c r="L285" s="19"/>
    </row>
    <row r="286" ht="22.5" customHeight="1">
      <c r="C286" s="19" t="s">
        <v>1144</v>
      </c>
      <c r="D286" s="19" t="s">
        <v>1173</v>
      </c>
      <c r="E286" s="36" t="s">
        <v>1174</v>
      </c>
      <c r="F286" s="36" t="s">
        <v>1175</v>
      </c>
      <c r="G286" s="36" t="s">
        <v>680</v>
      </c>
      <c r="H286" s="32">
        <v>7.868770196E9</v>
      </c>
      <c r="I286" s="18">
        <f t="shared" si="2"/>
        <v>45932</v>
      </c>
      <c r="J286" s="19" t="s">
        <v>28</v>
      </c>
      <c r="K286" s="19" t="s">
        <v>28</v>
      </c>
      <c r="L286" s="19"/>
    </row>
    <row r="287" ht="22.5" customHeight="1">
      <c r="C287" s="19" t="s">
        <v>1144</v>
      </c>
      <c r="D287" s="19" t="s">
        <v>1176</v>
      </c>
      <c r="E287" s="36" t="s">
        <v>1177</v>
      </c>
      <c r="F287" s="36" t="s">
        <v>1178</v>
      </c>
      <c r="G287" s="36" t="s">
        <v>438</v>
      </c>
      <c r="H287" s="37" t="s">
        <v>1179</v>
      </c>
      <c r="I287" s="18">
        <f t="shared" si="2"/>
        <v>45932</v>
      </c>
      <c r="J287" s="19" t="s">
        <v>28</v>
      </c>
      <c r="K287" s="19" t="s">
        <v>28</v>
      </c>
      <c r="L287" s="19"/>
    </row>
    <row r="288" ht="22.5" customHeight="1">
      <c r="C288" s="19" t="s">
        <v>1144</v>
      </c>
      <c r="D288" s="19" t="s">
        <v>1180</v>
      </c>
      <c r="E288" s="36" t="s">
        <v>1181</v>
      </c>
      <c r="F288" s="36" t="s">
        <v>1182</v>
      </c>
      <c r="G288" s="36" t="s">
        <v>97</v>
      </c>
      <c r="H288" s="37" t="s">
        <v>1183</v>
      </c>
      <c r="I288" s="18">
        <f t="shared" si="2"/>
        <v>45932</v>
      </c>
      <c r="J288" s="19" t="s">
        <v>28</v>
      </c>
      <c r="K288" s="19" t="s">
        <v>28</v>
      </c>
      <c r="L288" s="19"/>
    </row>
    <row r="289" ht="22.5" customHeight="1">
      <c r="C289" s="19" t="s">
        <v>1144</v>
      </c>
      <c r="D289" s="19" t="s">
        <v>1184</v>
      </c>
      <c r="E289" s="36" t="s">
        <v>1185</v>
      </c>
      <c r="F289" s="36" t="s">
        <v>1186</v>
      </c>
      <c r="G289" s="36" t="s">
        <v>387</v>
      </c>
      <c r="H289" s="37" t="s">
        <v>1187</v>
      </c>
      <c r="I289" s="18">
        <f t="shared" si="2"/>
        <v>45932</v>
      </c>
      <c r="J289" s="19" t="s">
        <v>28</v>
      </c>
      <c r="K289" s="19" t="s">
        <v>28</v>
      </c>
      <c r="L289" s="19"/>
    </row>
    <row r="290" ht="22.5" customHeight="1">
      <c r="C290" s="19" t="s">
        <v>1144</v>
      </c>
      <c r="D290" s="19" t="s">
        <v>1188</v>
      </c>
      <c r="E290" s="36" t="s">
        <v>1189</v>
      </c>
      <c r="F290" s="36" t="s">
        <v>1190</v>
      </c>
      <c r="G290" s="36" t="s">
        <v>224</v>
      </c>
      <c r="H290" s="37" t="s">
        <v>1191</v>
      </c>
      <c r="I290" s="18">
        <f t="shared" si="2"/>
        <v>45932</v>
      </c>
      <c r="J290" s="19" t="s">
        <v>28</v>
      </c>
      <c r="K290" s="19" t="s">
        <v>28</v>
      </c>
      <c r="L290" s="19"/>
    </row>
    <row r="291" ht="22.5" customHeight="1">
      <c r="C291" s="19" t="s">
        <v>1144</v>
      </c>
      <c r="D291" s="19" t="s">
        <v>1192</v>
      </c>
      <c r="E291" s="36" t="s">
        <v>1193</v>
      </c>
      <c r="F291" s="36" t="s">
        <v>1194</v>
      </c>
      <c r="G291" s="36" t="s">
        <v>126</v>
      </c>
      <c r="H291" s="37" t="s">
        <v>1195</v>
      </c>
      <c r="I291" s="18">
        <f t="shared" si="2"/>
        <v>45932</v>
      </c>
      <c r="J291" s="19" t="s">
        <v>28</v>
      </c>
      <c r="K291" s="19" t="s">
        <v>28</v>
      </c>
      <c r="L291" s="19"/>
    </row>
    <row r="292" ht="22.5" customHeight="1">
      <c r="C292" s="19" t="s">
        <v>1144</v>
      </c>
      <c r="D292" s="19" t="s">
        <v>1196</v>
      </c>
      <c r="E292" s="36" t="s">
        <v>1197</v>
      </c>
      <c r="F292" s="36" t="s">
        <v>1198</v>
      </c>
      <c r="G292" s="36" t="s">
        <v>1199</v>
      </c>
      <c r="H292" s="32">
        <v>3.055032814E9</v>
      </c>
      <c r="I292" s="18">
        <f t="shared" si="2"/>
        <v>45932</v>
      </c>
      <c r="J292" s="19" t="s">
        <v>28</v>
      </c>
      <c r="K292" s="19" t="s">
        <v>28</v>
      </c>
      <c r="L292" s="19"/>
    </row>
    <row r="293" ht="22.5" customHeight="1">
      <c r="C293" s="19" t="s">
        <v>1144</v>
      </c>
      <c r="D293" s="19" t="s">
        <v>1200</v>
      </c>
      <c r="E293" s="36" t="s">
        <v>1201</v>
      </c>
      <c r="F293" s="36" t="s">
        <v>1202</v>
      </c>
      <c r="G293" s="36" t="s">
        <v>421</v>
      </c>
      <c r="H293" s="32">
        <v>1.8444425628E10</v>
      </c>
      <c r="I293" s="18">
        <f t="shared" si="2"/>
        <v>45932</v>
      </c>
      <c r="J293" s="19" t="s">
        <v>28</v>
      </c>
      <c r="K293" s="19" t="s">
        <v>28</v>
      </c>
      <c r="L293" s="19"/>
    </row>
    <row r="294" ht="22.5" customHeight="1">
      <c r="C294" s="19" t="s">
        <v>1144</v>
      </c>
      <c r="D294" s="19" t="s">
        <v>1203</v>
      </c>
      <c r="E294" s="36" t="s">
        <v>1204</v>
      </c>
      <c r="F294" s="36" t="s">
        <v>1205</v>
      </c>
      <c r="G294" s="36" t="s">
        <v>67</v>
      </c>
      <c r="H294" s="32">
        <v>7.862810222E9</v>
      </c>
      <c r="I294" s="18">
        <f t="shared" si="2"/>
        <v>45932</v>
      </c>
      <c r="J294" s="19" t="s">
        <v>28</v>
      </c>
      <c r="K294" s="19" t="s">
        <v>28</v>
      </c>
      <c r="L294" s="19"/>
    </row>
    <row r="295" ht="22.5" customHeight="1">
      <c r="C295" s="19" t="s">
        <v>1144</v>
      </c>
      <c r="D295" s="19" t="s">
        <v>1206</v>
      </c>
      <c r="E295" s="36" t="s">
        <v>1207</v>
      </c>
      <c r="F295" s="36" t="s">
        <v>1208</v>
      </c>
      <c r="G295" s="36" t="s">
        <v>346</v>
      </c>
      <c r="H295" s="32">
        <v>7.867758888E9</v>
      </c>
      <c r="I295" s="18">
        <f t="shared" si="2"/>
        <v>45932</v>
      </c>
      <c r="J295" s="19" t="s">
        <v>28</v>
      </c>
      <c r="K295" s="19" t="s">
        <v>28</v>
      </c>
      <c r="L295" s="19"/>
    </row>
    <row r="296" ht="22.5" customHeight="1">
      <c r="C296" s="19" t="s">
        <v>1144</v>
      </c>
      <c r="D296" s="19" t="s">
        <v>1209</v>
      </c>
      <c r="E296" s="36" t="s">
        <v>1210</v>
      </c>
      <c r="F296" s="36" t="s">
        <v>1211</v>
      </c>
      <c r="G296" s="36" t="s">
        <v>170</v>
      </c>
      <c r="H296" s="37" t="s">
        <v>1212</v>
      </c>
      <c r="I296" s="18">
        <f t="shared" si="2"/>
        <v>45932</v>
      </c>
      <c r="J296" s="19" t="s">
        <v>28</v>
      </c>
      <c r="K296" s="19" t="s">
        <v>28</v>
      </c>
      <c r="L296" s="19"/>
    </row>
    <row r="297" ht="22.5" customHeight="1">
      <c r="C297" s="19" t="s">
        <v>1144</v>
      </c>
      <c r="D297" s="19" t="s">
        <v>1213</v>
      </c>
      <c r="E297" s="36" t="s">
        <v>1214</v>
      </c>
      <c r="F297" s="36" t="s">
        <v>1215</v>
      </c>
      <c r="G297" s="36" t="s">
        <v>136</v>
      </c>
      <c r="H297" s="37" t="s">
        <v>1216</v>
      </c>
      <c r="I297" s="18">
        <f t="shared" si="2"/>
        <v>45932</v>
      </c>
      <c r="J297" s="19" t="s">
        <v>28</v>
      </c>
      <c r="K297" s="19" t="s">
        <v>28</v>
      </c>
      <c r="L297" s="19"/>
    </row>
    <row r="298" ht="22.5" customHeight="1">
      <c r="C298" s="19" t="s">
        <v>1144</v>
      </c>
      <c r="D298" s="19" t="s">
        <v>1217</v>
      </c>
      <c r="E298" s="36" t="s">
        <v>1218</v>
      </c>
      <c r="F298" s="36" t="s">
        <v>1219</v>
      </c>
      <c r="G298" s="36" t="s">
        <v>408</v>
      </c>
      <c r="H298" s="32">
        <v>1.3059346215E10</v>
      </c>
      <c r="I298" s="18">
        <f t="shared" si="2"/>
        <v>45932</v>
      </c>
      <c r="J298" s="19" t="s">
        <v>28</v>
      </c>
      <c r="K298" s="19" t="s">
        <v>28</v>
      </c>
      <c r="L298" s="19"/>
    </row>
    <row r="299" ht="22.5" customHeight="1">
      <c r="C299" s="19" t="s">
        <v>1144</v>
      </c>
      <c r="D299" s="19" t="s">
        <v>1220</v>
      </c>
      <c r="E299" s="36" t="s">
        <v>1221</v>
      </c>
      <c r="F299" s="36" t="s">
        <v>1222</v>
      </c>
      <c r="G299" s="36" t="s">
        <v>82</v>
      </c>
      <c r="H299" s="37" t="s">
        <v>1223</v>
      </c>
      <c r="I299" s="18">
        <f t="shared" si="2"/>
        <v>45932</v>
      </c>
      <c r="J299" s="19" t="s">
        <v>28</v>
      </c>
      <c r="K299" s="19" t="s">
        <v>28</v>
      </c>
      <c r="L299" s="19"/>
    </row>
    <row r="300" ht="22.5" customHeight="1">
      <c r="C300" s="19" t="s">
        <v>1144</v>
      </c>
      <c r="D300" s="19" t="s">
        <v>1224</v>
      </c>
      <c r="E300" s="36" t="s">
        <v>1225</v>
      </c>
      <c r="F300" s="36" t="s">
        <v>1226</v>
      </c>
      <c r="G300" s="36" t="s">
        <v>269</v>
      </c>
      <c r="H300" s="32">
        <v>7.867071516E9</v>
      </c>
      <c r="I300" s="18">
        <f t="shared" si="2"/>
        <v>45932</v>
      </c>
      <c r="J300" s="19" t="s">
        <v>28</v>
      </c>
      <c r="K300" s="19" t="s">
        <v>28</v>
      </c>
      <c r="L300" s="19"/>
    </row>
    <row r="301" ht="22.5" customHeight="1">
      <c r="C301" s="19" t="s">
        <v>1144</v>
      </c>
      <c r="D301" s="19" t="s">
        <v>1227</v>
      </c>
      <c r="E301" s="36" t="s">
        <v>1228</v>
      </c>
      <c r="F301" s="36" t="s">
        <v>1229</v>
      </c>
      <c r="G301" s="36" t="s">
        <v>1230</v>
      </c>
      <c r="H301" s="32">
        <v>9.56639291E9</v>
      </c>
      <c r="I301" s="18">
        <f t="shared" si="2"/>
        <v>45932</v>
      </c>
      <c r="J301" s="19" t="s">
        <v>28</v>
      </c>
      <c r="K301" s="19" t="s">
        <v>28</v>
      </c>
      <c r="L301" s="19"/>
    </row>
    <row r="302" ht="22.5" customHeight="1">
      <c r="C302" s="19" t="s">
        <v>1144</v>
      </c>
      <c r="D302" s="19" t="s">
        <v>1231</v>
      </c>
      <c r="E302" s="36" t="s">
        <v>1232</v>
      </c>
      <c r="F302" s="36" t="s">
        <v>877</v>
      </c>
      <c r="G302" s="36" t="s">
        <v>77</v>
      </c>
      <c r="H302" s="37" t="s">
        <v>1233</v>
      </c>
      <c r="I302" s="18">
        <f t="shared" si="2"/>
        <v>45932</v>
      </c>
      <c r="J302" s="19" t="s">
        <v>28</v>
      </c>
      <c r="K302" s="19" t="s">
        <v>28</v>
      </c>
      <c r="L302" s="19"/>
    </row>
    <row r="303" ht="22.5" customHeight="1">
      <c r="C303" s="19" t="s">
        <v>1144</v>
      </c>
      <c r="D303" s="19" t="s">
        <v>1234</v>
      </c>
      <c r="E303" s="36" t="s">
        <v>1235</v>
      </c>
      <c r="F303" s="36" t="s">
        <v>1236</v>
      </c>
      <c r="G303" s="36" t="s">
        <v>152</v>
      </c>
      <c r="H303" s="32">
        <v>3.059781533E9</v>
      </c>
      <c r="I303" s="18">
        <f t="shared" si="2"/>
        <v>45932</v>
      </c>
      <c r="J303" s="19" t="s">
        <v>28</v>
      </c>
      <c r="K303" s="19" t="s">
        <v>28</v>
      </c>
      <c r="L303" s="19"/>
    </row>
    <row r="304" ht="22.5" customHeight="1">
      <c r="C304" s="19" t="s">
        <v>1144</v>
      </c>
      <c r="D304" s="19" t="s">
        <v>1237</v>
      </c>
      <c r="E304" s="36" t="s">
        <v>1238</v>
      </c>
      <c r="F304" s="36" t="s">
        <v>1239</v>
      </c>
      <c r="G304" s="36" t="s">
        <v>142</v>
      </c>
      <c r="H304" s="37" t="s">
        <v>1240</v>
      </c>
      <c r="I304" s="18">
        <f t="shared" si="2"/>
        <v>45932</v>
      </c>
      <c r="J304" s="19" t="s">
        <v>28</v>
      </c>
      <c r="K304" s="19" t="s">
        <v>28</v>
      </c>
      <c r="L304" s="19"/>
    </row>
    <row r="305" ht="22.5" customHeight="1">
      <c r="C305" s="19" t="s">
        <v>1144</v>
      </c>
      <c r="D305" s="19" t="s">
        <v>1241</v>
      </c>
      <c r="E305" s="36" t="s">
        <v>1242</v>
      </c>
      <c r="F305" s="36" t="s">
        <v>1243</v>
      </c>
      <c r="G305" s="36" t="s">
        <v>577</v>
      </c>
      <c r="H305" s="32">
        <v>9.544786392E9</v>
      </c>
      <c r="I305" s="18">
        <f t="shared" si="2"/>
        <v>45932</v>
      </c>
      <c r="J305" s="19" t="s">
        <v>28</v>
      </c>
      <c r="K305" s="19" t="s">
        <v>28</v>
      </c>
      <c r="L305" s="19"/>
    </row>
    <row r="306" ht="22.5" customHeight="1">
      <c r="C306" s="19" t="s">
        <v>1144</v>
      </c>
      <c r="D306" s="19" t="s">
        <v>1244</v>
      </c>
      <c r="E306" s="36" t="s">
        <v>1245</v>
      </c>
      <c r="F306" s="36" t="s">
        <v>1246</v>
      </c>
      <c r="G306" s="36" t="s">
        <v>52</v>
      </c>
      <c r="H306" s="37" t="s">
        <v>1247</v>
      </c>
      <c r="I306" s="18">
        <f t="shared" si="2"/>
        <v>45932</v>
      </c>
      <c r="J306" s="19" t="s">
        <v>28</v>
      </c>
      <c r="K306" s="19" t="s">
        <v>28</v>
      </c>
      <c r="L306" s="19"/>
    </row>
    <row r="307" ht="22.5" customHeight="1">
      <c r="C307" s="19" t="s">
        <v>1144</v>
      </c>
      <c r="D307" s="19" t="s">
        <v>1248</v>
      </c>
      <c r="E307" s="36" t="s">
        <v>1249</v>
      </c>
      <c r="F307" s="36" t="s">
        <v>1250</v>
      </c>
      <c r="G307" s="36" t="s">
        <v>118</v>
      </c>
      <c r="H307" s="37" t="s">
        <v>1251</v>
      </c>
      <c r="I307" s="18">
        <f t="shared" si="2"/>
        <v>45932</v>
      </c>
      <c r="J307" s="19" t="s">
        <v>28</v>
      </c>
      <c r="K307" s="19" t="s">
        <v>28</v>
      </c>
      <c r="L307" s="19"/>
    </row>
    <row r="308" ht="22.5" customHeight="1">
      <c r="C308" s="19" t="s">
        <v>1144</v>
      </c>
      <c r="D308" s="19" t="s">
        <v>1252</v>
      </c>
      <c r="E308" s="36" t="s">
        <v>1253</v>
      </c>
      <c r="F308" s="36" t="s">
        <v>1254</v>
      </c>
      <c r="G308" s="36" t="s">
        <v>301</v>
      </c>
      <c r="H308" s="32">
        <v>1.9548050351E10</v>
      </c>
      <c r="I308" s="18">
        <f t="shared" si="2"/>
        <v>45932</v>
      </c>
      <c r="J308" s="19" t="s">
        <v>28</v>
      </c>
      <c r="K308" s="19" t="s">
        <v>28</v>
      </c>
      <c r="L308" s="19" t="s">
        <v>99</v>
      </c>
    </row>
    <row r="309" ht="22.5" customHeight="1">
      <c r="C309" s="19" t="s">
        <v>1144</v>
      </c>
      <c r="D309" s="19" t="s">
        <v>1255</v>
      </c>
      <c r="E309" s="31" t="s">
        <v>1256</v>
      </c>
      <c r="F309" s="31" t="s">
        <v>1257</v>
      </c>
      <c r="G309" s="31" t="s">
        <v>1258</v>
      </c>
      <c r="H309" s="32">
        <v>1.3053019702E10</v>
      </c>
      <c r="I309" s="18">
        <f t="shared" si="2"/>
        <v>45932</v>
      </c>
      <c r="J309" s="19" t="s">
        <v>28</v>
      </c>
      <c r="K309" s="19" t="s">
        <v>28</v>
      </c>
      <c r="L309" s="19" t="s">
        <v>99</v>
      </c>
    </row>
    <row r="310" ht="22.5" customHeight="1">
      <c r="C310" s="19" t="s">
        <v>1144</v>
      </c>
      <c r="D310" s="19" t="s">
        <v>1259</v>
      </c>
      <c r="E310" s="36" t="s">
        <v>1260</v>
      </c>
      <c r="F310" s="36" t="s">
        <v>1261</v>
      </c>
      <c r="G310" s="36" t="s">
        <v>72</v>
      </c>
      <c r="H310" s="37" t="s">
        <v>1262</v>
      </c>
      <c r="I310" s="18">
        <f t="shared" si="2"/>
        <v>45932</v>
      </c>
      <c r="J310" s="19" t="s">
        <v>28</v>
      </c>
      <c r="K310" s="19" t="s">
        <v>28</v>
      </c>
      <c r="L310" s="19"/>
    </row>
    <row r="311" ht="22.5" customHeight="1">
      <c r="C311" s="19" t="s">
        <v>1144</v>
      </c>
      <c r="D311" s="19" t="s">
        <v>1263</v>
      </c>
      <c r="E311" s="36" t="s">
        <v>1264</v>
      </c>
      <c r="F311" s="36" t="s">
        <v>1265</v>
      </c>
      <c r="G311" s="36" t="s">
        <v>1266</v>
      </c>
      <c r="H311" s="37" t="s">
        <v>1267</v>
      </c>
      <c r="I311" s="18">
        <f t="shared" si="2"/>
        <v>45932</v>
      </c>
      <c r="J311" s="19" t="s">
        <v>28</v>
      </c>
      <c r="K311" s="19" t="s">
        <v>28</v>
      </c>
      <c r="L311" s="19"/>
    </row>
    <row r="312" ht="22.5" customHeight="1">
      <c r="C312" s="19" t="s">
        <v>1144</v>
      </c>
      <c r="D312" s="19" t="s">
        <v>1268</v>
      </c>
      <c r="E312" s="36" t="s">
        <v>1269</v>
      </c>
      <c r="F312" s="36" t="s">
        <v>1270</v>
      </c>
      <c r="G312" s="36" t="s">
        <v>915</v>
      </c>
      <c r="H312" s="37" t="s">
        <v>1271</v>
      </c>
      <c r="I312" s="18">
        <f t="shared" si="2"/>
        <v>45932</v>
      </c>
      <c r="J312" s="19" t="s">
        <v>28</v>
      </c>
      <c r="K312" s="19" t="s">
        <v>28</v>
      </c>
      <c r="L312" s="19"/>
    </row>
    <row r="313" ht="22.5" customHeight="1">
      <c r="C313" s="19" t="s">
        <v>1272</v>
      </c>
      <c r="D313" s="19" t="s">
        <v>182</v>
      </c>
      <c r="E313" s="33" t="s">
        <v>1273</v>
      </c>
      <c r="F313" s="33" t="s">
        <v>182</v>
      </c>
      <c r="G313" s="33" t="s">
        <v>182</v>
      </c>
      <c r="H313" s="34" t="s">
        <v>182</v>
      </c>
      <c r="I313" s="18">
        <f t="shared" ref="I313:I360" si="3">DATE(2025, 10, 3)</f>
        <v>45933</v>
      </c>
      <c r="J313" s="19" t="s">
        <v>28</v>
      </c>
      <c r="K313" s="19" t="s">
        <v>28</v>
      </c>
      <c r="L313" s="19" t="s">
        <v>148</v>
      </c>
    </row>
    <row r="314" ht="22.5" customHeight="1">
      <c r="C314" s="19" t="s">
        <v>1274</v>
      </c>
      <c r="D314" s="19" t="s">
        <v>1066</v>
      </c>
      <c r="E314" s="36" t="s">
        <v>1275</v>
      </c>
      <c r="F314" s="36" t="s">
        <v>1276</v>
      </c>
      <c r="G314" s="36" t="s">
        <v>126</v>
      </c>
      <c r="H314" s="32">
        <v>7.862028214E9</v>
      </c>
      <c r="I314" s="18">
        <f t="shared" si="3"/>
        <v>45933</v>
      </c>
      <c r="J314" s="19" t="s">
        <v>28</v>
      </c>
      <c r="K314" s="19" t="s">
        <v>325</v>
      </c>
      <c r="L314" s="19"/>
    </row>
    <row r="315" ht="22.5" customHeight="1">
      <c r="C315" s="19" t="s">
        <v>1274</v>
      </c>
      <c r="D315" s="19" t="s">
        <v>1070</v>
      </c>
      <c r="E315" s="36" t="s">
        <v>1277</v>
      </c>
      <c r="F315" s="36" t="s">
        <v>892</v>
      </c>
      <c r="G315" s="36" t="s">
        <v>72</v>
      </c>
      <c r="H315" s="32">
        <v>9.548649656E9</v>
      </c>
      <c r="I315" s="18">
        <f t="shared" si="3"/>
        <v>45933</v>
      </c>
      <c r="J315" s="19" t="s">
        <v>28</v>
      </c>
      <c r="K315" s="19" t="s">
        <v>325</v>
      </c>
      <c r="L315" s="19"/>
    </row>
    <row r="316" ht="22.5" customHeight="1">
      <c r="C316" s="19" t="s">
        <v>1274</v>
      </c>
      <c r="D316" s="19" t="s">
        <v>1074</v>
      </c>
      <c r="E316" s="36" t="s">
        <v>1278</v>
      </c>
      <c r="F316" s="36" t="s">
        <v>1279</v>
      </c>
      <c r="G316" s="36" t="s">
        <v>915</v>
      </c>
      <c r="H316" s="37" t="s">
        <v>1280</v>
      </c>
      <c r="I316" s="18">
        <f t="shared" si="3"/>
        <v>45933</v>
      </c>
      <c r="J316" s="19" t="s">
        <v>28</v>
      </c>
      <c r="K316" s="19" t="s">
        <v>325</v>
      </c>
      <c r="L316" s="19"/>
    </row>
    <row r="317" ht="22.5" customHeight="1">
      <c r="C317" s="19" t="s">
        <v>1274</v>
      </c>
      <c r="D317" s="19" t="s">
        <v>1078</v>
      </c>
      <c r="E317" s="36" t="s">
        <v>1281</v>
      </c>
      <c r="F317" s="36" t="s">
        <v>1282</v>
      </c>
      <c r="G317" s="36" t="s">
        <v>52</v>
      </c>
      <c r="H317" s="37" t="s">
        <v>1283</v>
      </c>
      <c r="I317" s="18">
        <f t="shared" si="3"/>
        <v>45933</v>
      </c>
      <c r="J317" s="19" t="s">
        <v>28</v>
      </c>
      <c r="K317" s="19" t="s">
        <v>325</v>
      </c>
      <c r="L317" s="19"/>
    </row>
    <row r="318" ht="22.5" customHeight="1">
      <c r="C318" s="19" t="s">
        <v>1274</v>
      </c>
      <c r="D318" s="19" t="s">
        <v>1081</v>
      </c>
      <c r="E318" s="36" t="s">
        <v>1284</v>
      </c>
      <c r="F318" s="36" t="s">
        <v>1285</v>
      </c>
      <c r="G318" s="36" t="s">
        <v>387</v>
      </c>
      <c r="H318" s="37" t="s">
        <v>1286</v>
      </c>
      <c r="I318" s="18">
        <f t="shared" si="3"/>
        <v>45933</v>
      </c>
      <c r="J318" s="19" t="s">
        <v>28</v>
      </c>
      <c r="K318" s="19" t="s">
        <v>325</v>
      </c>
      <c r="L318" s="19"/>
    </row>
    <row r="319" ht="22.5" customHeight="1">
      <c r="C319" s="19" t="s">
        <v>1274</v>
      </c>
      <c r="D319" s="19" t="s">
        <v>1085</v>
      </c>
      <c r="E319" s="36" t="s">
        <v>1287</v>
      </c>
      <c r="F319" s="36" t="s">
        <v>1288</v>
      </c>
      <c r="G319" s="36" t="s">
        <v>346</v>
      </c>
      <c r="H319" s="37" t="s">
        <v>1289</v>
      </c>
      <c r="I319" s="18">
        <f t="shared" si="3"/>
        <v>45933</v>
      </c>
      <c r="J319" s="19" t="s">
        <v>28</v>
      </c>
      <c r="K319" s="19" t="s">
        <v>325</v>
      </c>
      <c r="L319" s="19"/>
    </row>
    <row r="320" ht="22.5" customHeight="1">
      <c r="C320" s="19" t="s">
        <v>1274</v>
      </c>
      <c r="D320" s="19" t="s">
        <v>1089</v>
      </c>
      <c r="E320" s="36" t="s">
        <v>1290</v>
      </c>
      <c r="F320" s="36" t="s">
        <v>1291</v>
      </c>
      <c r="G320" s="36" t="s">
        <v>67</v>
      </c>
      <c r="H320" s="32">
        <v>7.862363546E9</v>
      </c>
      <c r="I320" s="18">
        <f t="shared" si="3"/>
        <v>45933</v>
      </c>
      <c r="J320" s="19" t="s">
        <v>28</v>
      </c>
      <c r="K320" s="19" t="s">
        <v>325</v>
      </c>
      <c r="L320" s="19"/>
    </row>
    <row r="321" ht="22.5" customHeight="1">
      <c r="C321" s="19" t="s">
        <v>1274</v>
      </c>
      <c r="D321" s="19" t="s">
        <v>1093</v>
      </c>
      <c r="E321" s="36" t="s">
        <v>1292</v>
      </c>
      <c r="F321" s="36" t="s">
        <v>1293</v>
      </c>
      <c r="G321" s="36" t="s">
        <v>77</v>
      </c>
      <c r="H321" s="32">
        <v>9.546327957E9</v>
      </c>
      <c r="I321" s="18">
        <f t="shared" si="3"/>
        <v>45933</v>
      </c>
      <c r="J321" s="19" t="s">
        <v>28</v>
      </c>
      <c r="K321" s="19" t="s">
        <v>325</v>
      </c>
      <c r="L321" s="19"/>
    </row>
    <row r="322" ht="22.5" customHeight="1">
      <c r="C322" s="19" t="s">
        <v>1274</v>
      </c>
      <c r="D322" s="19" t="s">
        <v>1097</v>
      </c>
      <c r="E322" s="36" t="s">
        <v>1294</v>
      </c>
      <c r="F322" s="36" t="s">
        <v>1295</v>
      </c>
      <c r="G322" s="36" t="s">
        <v>62</v>
      </c>
      <c r="H322" s="32">
        <v>7.865052306E9</v>
      </c>
      <c r="I322" s="18">
        <f t="shared" si="3"/>
        <v>45933</v>
      </c>
      <c r="J322" s="19" t="s">
        <v>28</v>
      </c>
      <c r="K322" s="19" t="s">
        <v>325</v>
      </c>
      <c r="L322" s="19"/>
    </row>
    <row r="323" ht="22.5" customHeight="1">
      <c r="C323" s="19" t="s">
        <v>1296</v>
      </c>
      <c r="D323" s="19" t="s">
        <v>1297</v>
      </c>
      <c r="E323" s="36" t="s">
        <v>1298</v>
      </c>
      <c r="F323" s="36" t="s">
        <v>1299</v>
      </c>
      <c r="G323" s="36" t="s">
        <v>230</v>
      </c>
      <c r="H323" s="37" t="s">
        <v>1300</v>
      </c>
      <c r="I323" s="18">
        <f t="shared" si="3"/>
        <v>45933</v>
      </c>
      <c r="J323" s="19" t="s">
        <v>28</v>
      </c>
      <c r="K323" s="19" t="s">
        <v>325</v>
      </c>
      <c r="L323" s="19" t="s">
        <v>99</v>
      </c>
    </row>
    <row r="324" ht="22.5" customHeight="1">
      <c r="C324" s="19" t="s">
        <v>1296</v>
      </c>
      <c r="D324" s="19" t="s">
        <v>1301</v>
      </c>
      <c r="E324" s="36" t="s">
        <v>1302</v>
      </c>
      <c r="F324" s="36" t="s">
        <v>1303</v>
      </c>
      <c r="G324" s="36" t="s">
        <v>387</v>
      </c>
      <c r="H324" s="32">
        <v>3.055826506E9</v>
      </c>
      <c r="I324" s="18">
        <f t="shared" si="3"/>
        <v>45933</v>
      </c>
      <c r="J324" s="19" t="s">
        <v>28</v>
      </c>
      <c r="K324" s="19" t="s">
        <v>325</v>
      </c>
      <c r="L324" s="19"/>
    </row>
    <row r="325" ht="22.5" customHeight="1">
      <c r="C325" s="19" t="s">
        <v>1296</v>
      </c>
      <c r="D325" s="19" t="s">
        <v>1304</v>
      </c>
      <c r="E325" s="36" t="s">
        <v>1305</v>
      </c>
      <c r="F325" s="36" t="s">
        <v>1306</v>
      </c>
      <c r="G325" s="36" t="s">
        <v>1307</v>
      </c>
      <c r="H325" s="32">
        <v>7.865147886E9</v>
      </c>
      <c r="I325" s="18">
        <f t="shared" si="3"/>
        <v>45933</v>
      </c>
      <c r="J325" s="19" t="s">
        <v>28</v>
      </c>
      <c r="K325" s="19" t="s">
        <v>325</v>
      </c>
      <c r="L325" s="19"/>
    </row>
    <row r="326" ht="22.5" customHeight="1">
      <c r="C326" s="19" t="s">
        <v>1296</v>
      </c>
      <c r="D326" s="19" t="s">
        <v>1308</v>
      </c>
      <c r="E326" s="36" t="s">
        <v>1309</v>
      </c>
      <c r="F326" s="36" t="s">
        <v>1310</v>
      </c>
      <c r="G326" s="36" t="s">
        <v>323</v>
      </c>
      <c r="H326" s="32">
        <v>3.054602678E9</v>
      </c>
      <c r="I326" s="18">
        <f t="shared" si="3"/>
        <v>45933</v>
      </c>
      <c r="J326" s="19" t="s">
        <v>28</v>
      </c>
      <c r="K326" s="19" t="s">
        <v>325</v>
      </c>
      <c r="L326" s="19" t="s">
        <v>99</v>
      </c>
    </row>
    <row r="327" ht="22.5" customHeight="1">
      <c r="C327" s="19" t="s">
        <v>1296</v>
      </c>
      <c r="D327" s="19" t="s">
        <v>1311</v>
      </c>
      <c r="E327" s="36" t="s">
        <v>1312</v>
      </c>
      <c r="F327" s="36" t="s">
        <v>1313</v>
      </c>
      <c r="G327" s="36" t="s">
        <v>126</v>
      </c>
      <c r="H327" s="37" t="s">
        <v>1314</v>
      </c>
      <c r="I327" s="18">
        <f t="shared" si="3"/>
        <v>45933</v>
      </c>
      <c r="J327" s="19" t="s">
        <v>28</v>
      </c>
      <c r="K327" s="19" t="s">
        <v>325</v>
      </c>
      <c r="L327" s="19"/>
    </row>
    <row r="328" ht="22.5" customHeight="1">
      <c r="C328" s="19" t="s">
        <v>1296</v>
      </c>
      <c r="D328" s="19" t="s">
        <v>1315</v>
      </c>
      <c r="E328" s="36" t="s">
        <v>1316</v>
      </c>
      <c r="F328" s="36" t="s">
        <v>1317</v>
      </c>
      <c r="G328" s="36" t="s">
        <v>1318</v>
      </c>
      <c r="H328" s="37" t="s">
        <v>1319</v>
      </c>
      <c r="I328" s="18">
        <f t="shared" si="3"/>
        <v>45933</v>
      </c>
      <c r="J328" s="19" t="s">
        <v>28</v>
      </c>
      <c r="K328" s="19" t="s">
        <v>325</v>
      </c>
      <c r="L328" s="19"/>
    </row>
    <row r="329" ht="22.5" customHeight="1">
      <c r="C329" s="19" t="s">
        <v>1296</v>
      </c>
      <c r="D329" s="19" t="s">
        <v>1320</v>
      </c>
      <c r="E329" s="36" t="s">
        <v>1321</v>
      </c>
      <c r="F329" s="36" t="s">
        <v>1322</v>
      </c>
      <c r="G329" s="36" t="s">
        <v>1323</v>
      </c>
      <c r="H329" s="32">
        <v>7.135308837E9</v>
      </c>
      <c r="I329" s="18">
        <f t="shared" si="3"/>
        <v>45933</v>
      </c>
      <c r="J329" s="19" t="s">
        <v>28</v>
      </c>
      <c r="K329" s="19" t="s">
        <v>325</v>
      </c>
      <c r="L329" s="19"/>
    </row>
    <row r="330" ht="22.5" customHeight="1">
      <c r="C330" s="19" t="s">
        <v>1296</v>
      </c>
      <c r="D330" s="19" t="s">
        <v>1324</v>
      </c>
      <c r="E330" s="36" t="s">
        <v>1325</v>
      </c>
      <c r="F330" s="36" t="s">
        <v>1326</v>
      </c>
      <c r="G330" s="36" t="s">
        <v>77</v>
      </c>
      <c r="H330" s="37" t="s">
        <v>1327</v>
      </c>
      <c r="I330" s="18">
        <f t="shared" si="3"/>
        <v>45933</v>
      </c>
      <c r="J330" s="19" t="s">
        <v>28</v>
      </c>
      <c r="K330" s="19" t="s">
        <v>325</v>
      </c>
      <c r="L330" s="19"/>
    </row>
    <row r="331" ht="22.5" customHeight="1">
      <c r="C331" s="19" t="s">
        <v>1296</v>
      </c>
      <c r="D331" s="19" t="s">
        <v>1328</v>
      </c>
      <c r="E331" s="36" t="s">
        <v>1329</v>
      </c>
      <c r="F331" s="36" t="s">
        <v>1330</v>
      </c>
      <c r="G331" s="36" t="s">
        <v>62</v>
      </c>
      <c r="H331" s="32">
        <v>9.549008885E9</v>
      </c>
      <c r="I331" s="18">
        <f t="shared" si="3"/>
        <v>45933</v>
      </c>
      <c r="J331" s="19" t="s">
        <v>28</v>
      </c>
      <c r="K331" s="19" t="s">
        <v>325</v>
      </c>
      <c r="L331" s="19"/>
    </row>
    <row r="332" ht="22.5" customHeight="1">
      <c r="C332" s="19" t="s">
        <v>1296</v>
      </c>
      <c r="D332" s="19" t="s">
        <v>1331</v>
      </c>
      <c r="E332" s="36" t="s">
        <v>1332</v>
      </c>
      <c r="F332" s="36" t="s">
        <v>1333</v>
      </c>
      <c r="G332" s="36" t="s">
        <v>264</v>
      </c>
      <c r="H332" s="37" t="s">
        <v>1334</v>
      </c>
      <c r="I332" s="18">
        <f t="shared" si="3"/>
        <v>45933</v>
      </c>
      <c r="J332" s="19" t="s">
        <v>28</v>
      </c>
      <c r="K332" s="19" t="s">
        <v>325</v>
      </c>
      <c r="L332" s="19" t="s">
        <v>99</v>
      </c>
    </row>
    <row r="333" ht="22.5" customHeight="1">
      <c r="C333" s="19" t="s">
        <v>1296</v>
      </c>
      <c r="D333" s="19" t="s">
        <v>1335</v>
      </c>
      <c r="E333" s="36" t="s">
        <v>1336</v>
      </c>
      <c r="F333" s="36" t="s">
        <v>830</v>
      </c>
      <c r="G333" s="36" t="s">
        <v>82</v>
      </c>
      <c r="H333" s="32">
        <v>7.737877433E9</v>
      </c>
      <c r="I333" s="18">
        <f t="shared" si="3"/>
        <v>45933</v>
      </c>
      <c r="J333" s="19" t="s">
        <v>28</v>
      </c>
      <c r="K333" s="19" t="s">
        <v>325</v>
      </c>
      <c r="L333" s="19"/>
    </row>
    <row r="334" ht="22.5" customHeight="1">
      <c r="C334" s="19" t="s">
        <v>1296</v>
      </c>
      <c r="D334" s="19" t="s">
        <v>1337</v>
      </c>
      <c r="E334" s="36" t="s">
        <v>1338</v>
      </c>
      <c r="F334" s="36" t="s">
        <v>223</v>
      </c>
      <c r="G334" s="36" t="s">
        <v>224</v>
      </c>
      <c r="H334" s="32">
        <v>3.05587865E9</v>
      </c>
      <c r="I334" s="18">
        <f t="shared" si="3"/>
        <v>45933</v>
      </c>
      <c r="J334" s="19" t="s">
        <v>28</v>
      </c>
      <c r="K334" s="19" t="s">
        <v>325</v>
      </c>
      <c r="L334" s="19"/>
    </row>
    <row r="335" ht="22.5" customHeight="1">
      <c r="C335" s="19" t="s">
        <v>1296</v>
      </c>
      <c r="D335" s="19" t="s">
        <v>1339</v>
      </c>
      <c r="E335" s="36" t="s">
        <v>1340</v>
      </c>
      <c r="F335" s="36" t="s">
        <v>1341</v>
      </c>
      <c r="G335" s="36" t="s">
        <v>680</v>
      </c>
      <c r="H335" s="32">
        <v>3.054575442E9</v>
      </c>
      <c r="I335" s="18">
        <f t="shared" si="3"/>
        <v>45933</v>
      </c>
      <c r="J335" s="19" t="s">
        <v>28</v>
      </c>
      <c r="K335" s="19" t="s">
        <v>325</v>
      </c>
      <c r="L335" s="19"/>
    </row>
    <row r="336" ht="22.5" customHeight="1">
      <c r="C336" s="19" t="s">
        <v>1342</v>
      </c>
      <c r="D336" s="19" t="s">
        <v>1343</v>
      </c>
      <c r="E336" s="36" t="s">
        <v>1344</v>
      </c>
      <c r="F336" s="36" t="s">
        <v>877</v>
      </c>
      <c r="G336" s="36" t="s">
        <v>77</v>
      </c>
      <c r="H336" s="37" t="s">
        <v>1345</v>
      </c>
      <c r="I336" s="18">
        <f t="shared" si="3"/>
        <v>45933</v>
      </c>
      <c r="J336" s="19" t="s">
        <v>28</v>
      </c>
      <c r="K336" s="19" t="s">
        <v>325</v>
      </c>
      <c r="L336" s="19"/>
    </row>
    <row r="337" ht="22.5" customHeight="1">
      <c r="C337" s="19" t="s">
        <v>1342</v>
      </c>
      <c r="D337" s="19" t="s">
        <v>1346</v>
      </c>
      <c r="E337" s="36" t="s">
        <v>1347</v>
      </c>
      <c r="F337" s="36" t="s">
        <v>1348</v>
      </c>
      <c r="G337" s="36" t="s">
        <v>1349</v>
      </c>
      <c r="H337" s="37" t="s">
        <v>1350</v>
      </c>
      <c r="I337" s="18">
        <f t="shared" si="3"/>
        <v>45933</v>
      </c>
      <c r="J337" s="19" t="s">
        <v>28</v>
      </c>
      <c r="K337" s="19" t="s">
        <v>325</v>
      </c>
      <c r="L337" s="19"/>
    </row>
    <row r="338" ht="22.5" customHeight="1">
      <c r="C338" s="19" t="s">
        <v>1342</v>
      </c>
      <c r="D338" s="19" t="s">
        <v>1351</v>
      </c>
      <c r="E338" s="36" t="s">
        <v>1352</v>
      </c>
      <c r="F338" s="36" t="s">
        <v>1353</v>
      </c>
      <c r="G338" s="36" t="s">
        <v>438</v>
      </c>
      <c r="H338" s="32">
        <v>3.054567576E9</v>
      </c>
      <c r="I338" s="18">
        <f t="shared" si="3"/>
        <v>45933</v>
      </c>
      <c r="J338" s="19" t="s">
        <v>28</v>
      </c>
      <c r="K338" s="19" t="s">
        <v>325</v>
      </c>
      <c r="L338" s="19"/>
    </row>
    <row r="339" ht="22.5" customHeight="1">
      <c r="C339" s="19" t="s">
        <v>1342</v>
      </c>
      <c r="D339" s="19" t="s">
        <v>1354</v>
      </c>
      <c r="E339" s="36" t="s">
        <v>1355</v>
      </c>
      <c r="F339" s="36" t="s">
        <v>1356</v>
      </c>
      <c r="G339" s="36" t="s">
        <v>57</v>
      </c>
      <c r="H339" s="37" t="s">
        <v>1357</v>
      </c>
      <c r="I339" s="18">
        <f t="shared" si="3"/>
        <v>45933</v>
      </c>
      <c r="J339" s="19" t="s">
        <v>28</v>
      </c>
      <c r="K339" s="19" t="s">
        <v>325</v>
      </c>
      <c r="L339" s="19"/>
    </row>
    <row r="340" ht="22.5" customHeight="1">
      <c r="C340" s="19" t="s">
        <v>1342</v>
      </c>
      <c r="D340" s="19" t="s">
        <v>1358</v>
      </c>
      <c r="E340" s="36" t="s">
        <v>1359</v>
      </c>
      <c r="F340" s="36" t="s">
        <v>1360</v>
      </c>
      <c r="G340" s="36" t="s">
        <v>62</v>
      </c>
      <c r="H340" s="32">
        <v>9.542607817E9</v>
      </c>
      <c r="I340" s="18">
        <f t="shared" si="3"/>
        <v>45933</v>
      </c>
      <c r="J340" s="19" t="s">
        <v>28</v>
      </c>
      <c r="K340" s="19" t="s">
        <v>325</v>
      </c>
      <c r="L340" s="19"/>
    </row>
    <row r="341" ht="22.5" customHeight="1">
      <c r="C341" s="19" t="s">
        <v>1342</v>
      </c>
      <c r="D341" s="19" t="s">
        <v>1361</v>
      </c>
      <c r="E341" s="36" t="s">
        <v>1362</v>
      </c>
      <c r="F341" s="36" t="s">
        <v>1363</v>
      </c>
      <c r="G341" s="36" t="s">
        <v>680</v>
      </c>
      <c r="H341" s="32">
        <v>7.863020582E9</v>
      </c>
      <c r="I341" s="18">
        <f t="shared" si="3"/>
        <v>45933</v>
      </c>
      <c r="J341" s="19" t="s">
        <v>28</v>
      </c>
      <c r="K341" s="19" t="s">
        <v>325</v>
      </c>
      <c r="L341" s="19"/>
    </row>
    <row r="342" ht="22.5" customHeight="1">
      <c r="C342" s="19" t="s">
        <v>1342</v>
      </c>
      <c r="D342" s="19" t="s">
        <v>1364</v>
      </c>
      <c r="E342" s="36" t="s">
        <v>1365</v>
      </c>
      <c r="F342" s="36" t="s">
        <v>328</v>
      </c>
      <c r="G342" s="36" t="s">
        <v>126</v>
      </c>
      <c r="H342" s="37" t="s">
        <v>1366</v>
      </c>
      <c r="I342" s="18">
        <f t="shared" si="3"/>
        <v>45933</v>
      </c>
      <c r="J342" s="19" t="s">
        <v>28</v>
      </c>
      <c r="K342" s="19" t="s">
        <v>325</v>
      </c>
      <c r="L342" s="19"/>
    </row>
    <row r="343" ht="22.5" customHeight="1">
      <c r="C343" s="19" t="s">
        <v>1342</v>
      </c>
      <c r="D343" s="19" t="s">
        <v>1367</v>
      </c>
      <c r="E343" s="36" t="s">
        <v>1368</v>
      </c>
      <c r="F343" s="36" t="s">
        <v>1369</v>
      </c>
      <c r="G343" s="36" t="s">
        <v>1370</v>
      </c>
      <c r="H343" s="37" t="s">
        <v>1371</v>
      </c>
      <c r="I343" s="18">
        <f t="shared" si="3"/>
        <v>45933</v>
      </c>
      <c r="J343" s="19" t="s">
        <v>28</v>
      </c>
      <c r="K343" s="19" t="s">
        <v>325</v>
      </c>
      <c r="L343" s="19"/>
    </row>
    <row r="344" ht="22.5" customHeight="1">
      <c r="C344" s="19" t="s">
        <v>1342</v>
      </c>
      <c r="D344" s="19" t="s">
        <v>1372</v>
      </c>
      <c r="E344" s="36" t="s">
        <v>1373</v>
      </c>
      <c r="F344" s="36" t="s">
        <v>1374</v>
      </c>
      <c r="G344" s="36" t="s">
        <v>1375</v>
      </c>
      <c r="H344" s="32">
        <v>3.058772777E9</v>
      </c>
      <c r="I344" s="18">
        <f t="shared" si="3"/>
        <v>45933</v>
      </c>
      <c r="J344" s="19" t="s">
        <v>28</v>
      </c>
      <c r="K344" s="19" t="s">
        <v>325</v>
      </c>
      <c r="L344" s="19"/>
    </row>
    <row r="345" ht="22.5" customHeight="1">
      <c r="C345" s="19" t="s">
        <v>1342</v>
      </c>
      <c r="D345" s="19" t="s">
        <v>1376</v>
      </c>
      <c r="E345" s="36" t="s">
        <v>1377</v>
      </c>
      <c r="F345" s="36" t="s">
        <v>1378</v>
      </c>
      <c r="G345" s="36" t="s">
        <v>360</v>
      </c>
      <c r="H345" s="32">
        <v>3.052643551E9</v>
      </c>
      <c r="I345" s="18">
        <f t="shared" si="3"/>
        <v>45933</v>
      </c>
      <c r="J345" s="19" t="s">
        <v>28</v>
      </c>
      <c r="K345" s="19" t="s">
        <v>325</v>
      </c>
      <c r="L345" s="19"/>
    </row>
    <row r="346" ht="22.5" customHeight="1">
      <c r="C346" s="19" t="s">
        <v>1342</v>
      </c>
      <c r="D346" s="19" t="s">
        <v>1379</v>
      </c>
      <c r="E346" s="36" t="s">
        <v>1380</v>
      </c>
      <c r="F346" s="36" t="s">
        <v>1381</v>
      </c>
      <c r="G346" s="36" t="s">
        <v>113</v>
      </c>
      <c r="H346" s="32">
        <v>7.863749103E9</v>
      </c>
      <c r="I346" s="18">
        <f t="shared" si="3"/>
        <v>45933</v>
      </c>
      <c r="J346" s="19" t="s">
        <v>28</v>
      </c>
      <c r="K346" s="19" t="s">
        <v>325</v>
      </c>
      <c r="L346" s="19"/>
    </row>
    <row r="347" ht="22.5" customHeight="1">
      <c r="C347" s="19" t="s">
        <v>1342</v>
      </c>
      <c r="D347" s="19" t="s">
        <v>1382</v>
      </c>
      <c r="E347" s="36" t="s">
        <v>1383</v>
      </c>
      <c r="F347" s="36" t="s">
        <v>1384</v>
      </c>
      <c r="G347" s="36" t="s">
        <v>82</v>
      </c>
      <c r="H347" s="32">
        <v>7.862361792E9</v>
      </c>
      <c r="I347" s="18">
        <f t="shared" si="3"/>
        <v>45933</v>
      </c>
      <c r="J347" s="19" t="s">
        <v>28</v>
      </c>
      <c r="K347" s="19" t="s">
        <v>325</v>
      </c>
      <c r="L347" s="19"/>
    </row>
    <row r="348" ht="22.5" customHeight="1">
      <c r="C348" s="19" t="s">
        <v>1342</v>
      </c>
      <c r="D348" s="19" t="s">
        <v>1385</v>
      </c>
      <c r="E348" s="36" t="s">
        <v>1386</v>
      </c>
      <c r="F348" s="36" t="s">
        <v>1387</v>
      </c>
      <c r="G348" s="36" t="s">
        <v>230</v>
      </c>
      <c r="H348" s="32">
        <v>7.867720146E9</v>
      </c>
      <c r="I348" s="18">
        <f t="shared" si="3"/>
        <v>45933</v>
      </c>
      <c r="J348" s="19" t="s">
        <v>28</v>
      </c>
      <c r="K348" s="19" t="s">
        <v>325</v>
      </c>
      <c r="L348" s="19"/>
    </row>
    <row r="349" ht="22.5" customHeight="1">
      <c r="C349" s="19" t="s">
        <v>1342</v>
      </c>
      <c r="D349" s="19" t="s">
        <v>1388</v>
      </c>
      <c r="E349" s="36" t="s">
        <v>1389</v>
      </c>
      <c r="F349" s="36" t="s">
        <v>1390</v>
      </c>
      <c r="G349" s="36" t="s">
        <v>524</v>
      </c>
      <c r="H349" s="37" t="s">
        <v>1391</v>
      </c>
      <c r="I349" s="18">
        <f t="shared" si="3"/>
        <v>45933</v>
      </c>
      <c r="J349" s="19" t="s">
        <v>28</v>
      </c>
      <c r="K349" s="19" t="s">
        <v>325</v>
      </c>
      <c r="L349" s="19"/>
    </row>
    <row r="350" ht="22.5" customHeight="1">
      <c r="C350" s="19" t="s">
        <v>1342</v>
      </c>
      <c r="D350" s="19" t="s">
        <v>1392</v>
      </c>
      <c r="E350" s="36" t="s">
        <v>1393</v>
      </c>
      <c r="F350" s="36" t="s">
        <v>1394</v>
      </c>
      <c r="G350" s="36" t="s">
        <v>387</v>
      </c>
      <c r="H350" s="37" t="s">
        <v>1395</v>
      </c>
      <c r="I350" s="18">
        <f t="shared" si="3"/>
        <v>45933</v>
      </c>
      <c r="J350" s="19" t="s">
        <v>28</v>
      </c>
      <c r="K350" s="19" t="s">
        <v>325</v>
      </c>
      <c r="L350" s="19"/>
    </row>
    <row r="351" ht="22.5" customHeight="1">
      <c r="C351" s="19" t="s">
        <v>1342</v>
      </c>
      <c r="D351" s="19" t="s">
        <v>1396</v>
      </c>
      <c r="E351" s="36" t="s">
        <v>1397</v>
      </c>
      <c r="F351" s="36" t="s">
        <v>1398</v>
      </c>
      <c r="G351" s="36" t="s">
        <v>118</v>
      </c>
      <c r="H351" s="37" t="s">
        <v>1399</v>
      </c>
      <c r="I351" s="18">
        <f t="shared" si="3"/>
        <v>45933</v>
      </c>
      <c r="J351" s="19" t="s">
        <v>28</v>
      </c>
      <c r="K351" s="19" t="s">
        <v>325</v>
      </c>
      <c r="L351" s="19"/>
    </row>
    <row r="352" ht="22.5" customHeight="1">
      <c r="C352" s="19" t="s">
        <v>1342</v>
      </c>
      <c r="D352" s="19" t="s">
        <v>1400</v>
      </c>
      <c r="E352" s="36" t="s">
        <v>1401</v>
      </c>
      <c r="F352" s="36" t="s">
        <v>1402</v>
      </c>
      <c r="G352" s="36" t="s">
        <v>26</v>
      </c>
      <c r="H352" s="37" t="s">
        <v>1403</v>
      </c>
      <c r="I352" s="18">
        <f t="shared" si="3"/>
        <v>45933</v>
      </c>
      <c r="J352" s="19" t="s">
        <v>28</v>
      </c>
      <c r="K352" s="19" t="s">
        <v>325</v>
      </c>
      <c r="L352" s="19" t="s">
        <v>99</v>
      </c>
    </row>
    <row r="353" ht="22.5" customHeight="1">
      <c r="C353" s="19" t="s">
        <v>1342</v>
      </c>
      <c r="D353" s="19" t="s">
        <v>1404</v>
      </c>
      <c r="E353" s="36" t="s">
        <v>1405</v>
      </c>
      <c r="F353" s="28" t="s">
        <v>182</v>
      </c>
      <c r="G353" s="36" t="s">
        <v>346</v>
      </c>
      <c r="H353" s="32">
        <v>3.053513376E9</v>
      </c>
      <c r="I353" s="18">
        <f t="shared" si="3"/>
        <v>45933</v>
      </c>
      <c r="J353" s="19" t="s">
        <v>28</v>
      </c>
      <c r="K353" s="19" t="s">
        <v>325</v>
      </c>
      <c r="L353" s="19"/>
    </row>
    <row r="354" ht="22.5" customHeight="1">
      <c r="C354" s="19" t="s">
        <v>1342</v>
      </c>
      <c r="D354" s="19" t="s">
        <v>1406</v>
      </c>
      <c r="E354" s="36" t="s">
        <v>1407</v>
      </c>
      <c r="F354" s="36" t="s">
        <v>1408</v>
      </c>
      <c r="G354" s="36" t="s">
        <v>224</v>
      </c>
      <c r="H354" s="37" t="s">
        <v>1409</v>
      </c>
      <c r="I354" s="18">
        <f t="shared" si="3"/>
        <v>45933</v>
      </c>
      <c r="J354" s="19" t="s">
        <v>28</v>
      </c>
      <c r="K354" s="19" t="s">
        <v>325</v>
      </c>
      <c r="L354" s="19" t="s">
        <v>148</v>
      </c>
    </row>
    <row r="355" ht="22.5" customHeight="1">
      <c r="C355" s="19" t="s">
        <v>1342</v>
      </c>
      <c r="D355" s="19" t="s">
        <v>1410</v>
      </c>
      <c r="E355" s="36" t="s">
        <v>1411</v>
      </c>
      <c r="F355" s="36" t="s">
        <v>1412</v>
      </c>
      <c r="G355" s="36" t="s">
        <v>421</v>
      </c>
      <c r="H355" s="37" t="s">
        <v>1413</v>
      </c>
      <c r="I355" s="18">
        <f t="shared" si="3"/>
        <v>45933</v>
      </c>
      <c r="J355" s="19" t="s">
        <v>28</v>
      </c>
      <c r="K355" s="19" t="s">
        <v>325</v>
      </c>
      <c r="L355" s="19"/>
    </row>
    <row r="356" ht="22.5" customHeight="1">
      <c r="C356" s="19" t="s">
        <v>1342</v>
      </c>
      <c r="D356" s="19" t="s">
        <v>1414</v>
      </c>
      <c r="E356" s="36" t="s">
        <v>1415</v>
      </c>
      <c r="F356" s="36" t="s">
        <v>1416</v>
      </c>
      <c r="G356" s="36" t="s">
        <v>97</v>
      </c>
      <c r="H356" s="32">
        <v>3.053230341E9</v>
      </c>
      <c r="I356" s="18">
        <f t="shared" si="3"/>
        <v>45933</v>
      </c>
      <c r="J356" s="19" t="s">
        <v>28</v>
      </c>
      <c r="K356" s="19" t="s">
        <v>325</v>
      </c>
      <c r="L356" s="19"/>
    </row>
    <row r="357" ht="22.5" customHeight="1">
      <c r="C357" s="19" t="s">
        <v>1342</v>
      </c>
      <c r="D357" s="19" t="s">
        <v>1417</v>
      </c>
      <c r="E357" s="36" t="s">
        <v>1418</v>
      </c>
      <c r="F357" s="36" t="s">
        <v>1419</v>
      </c>
      <c r="G357" s="36" t="s">
        <v>627</v>
      </c>
      <c r="H357" s="32">
        <v>7.866963343E9</v>
      </c>
      <c r="I357" s="18">
        <f t="shared" si="3"/>
        <v>45933</v>
      </c>
      <c r="J357" s="19" t="s">
        <v>28</v>
      </c>
      <c r="K357" s="19" t="s">
        <v>325</v>
      </c>
      <c r="L357" s="19" t="s">
        <v>89</v>
      </c>
    </row>
    <row r="358" ht="22.5" customHeight="1">
      <c r="C358" s="19" t="s">
        <v>1342</v>
      </c>
      <c r="D358" s="19" t="s">
        <v>1420</v>
      </c>
      <c r="E358" s="36" t="s">
        <v>1421</v>
      </c>
      <c r="F358" s="36" t="s">
        <v>1422</v>
      </c>
      <c r="G358" s="36" t="s">
        <v>52</v>
      </c>
      <c r="H358" s="32">
        <v>3.054323443E9</v>
      </c>
      <c r="I358" s="18">
        <f t="shared" si="3"/>
        <v>45933</v>
      </c>
      <c r="J358" s="19" t="s">
        <v>28</v>
      </c>
      <c r="K358" s="19" t="s">
        <v>325</v>
      </c>
      <c r="L358" s="19"/>
    </row>
    <row r="359" ht="22.5" customHeight="1">
      <c r="C359" s="19" t="s">
        <v>1342</v>
      </c>
      <c r="D359" s="19" t="s">
        <v>1423</v>
      </c>
      <c r="E359" s="36" t="s">
        <v>1424</v>
      </c>
      <c r="F359" s="36" t="s">
        <v>1425</v>
      </c>
      <c r="G359" s="36" t="s">
        <v>636</v>
      </c>
      <c r="H359" s="32">
        <v>3.053866165E9</v>
      </c>
      <c r="I359" s="18">
        <f t="shared" si="3"/>
        <v>45933</v>
      </c>
      <c r="J359" s="19" t="s">
        <v>28</v>
      </c>
      <c r="K359" s="19" t="s">
        <v>325</v>
      </c>
      <c r="L359" s="19"/>
    </row>
    <row r="360" ht="22.5" customHeight="1">
      <c r="C360" s="19" t="s">
        <v>1342</v>
      </c>
      <c r="D360" s="19" t="s">
        <v>1426</v>
      </c>
      <c r="E360" s="36" t="s">
        <v>1427</v>
      </c>
      <c r="F360" s="36" t="s">
        <v>1428</v>
      </c>
      <c r="G360" s="36" t="s">
        <v>72</v>
      </c>
      <c r="H360" s="37" t="s">
        <v>1429</v>
      </c>
      <c r="I360" s="18">
        <f t="shared" si="3"/>
        <v>45933</v>
      </c>
      <c r="J360" s="19" t="s">
        <v>28</v>
      </c>
      <c r="K360" s="19" t="s">
        <v>325</v>
      </c>
      <c r="L360" s="19"/>
    </row>
    <row r="361" ht="22.5" customHeight="1">
      <c r="C361" s="19" t="s">
        <v>1430</v>
      </c>
      <c r="D361" s="19" t="s">
        <v>1431</v>
      </c>
      <c r="E361" s="38" t="s">
        <v>1432</v>
      </c>
      <c r="F361" s="38" t="s">
        <v>1433</v>
      </c>
      <c r="G361" s="38" t="s">
        <v>1434</v>
      </c>
      <c r="H361" s="37">
        <f>5519997716889</f>
        <v>5519997716889</v>
      </c>
      <c r="I361" s="18">
        <f t="shared" ref="I361:I545" si="4">DATE(2025, 10, 6)</f>
        <v>45936</v>
      </c>
      <c r="J361" s="19" t="s">
        <v>28</v>
      </c>
      <c r="K361" s="19" t="s">
        <v>28</v>
      </c>
      <c r="L361" s="19" t="s">
        <v>148</v>
      </c>
    </row>
    <row r="362" ht="22.5" customHeight="1">
      <c r="C362" s="19" t="s">
        <v>1435</v>
      </c>
      <c r="D362" s="19" t="s">
        <v>1297</v>
      </c>
      <c r="E362" s="36" t="s">
        <v>1436</v>
      </c>
      <c r="F362" s="36" t="s">
        <v>1437</v>
      </c>
      <c r="G362" s="36" t="s">
        <v>230</v>
      </c>
      <c r="H362" s="37" t="s">
        <v>1438</v>
      </c>
      <c r="I362" s="18">
        <f t="shared" si="4"/>
        <v>45936</v>
      </c>
      <c r="J362" s="19" t="s">
        <v>28</v>
      </c>
      <c r="K362" s="19" t="s">
        <v>325</v>
      </c>
      <c r="L362" s="19" t="s">
        <v>148</v>
      </c>
    </row>
    <row r="363" ht="22.5" customHeight="1">
      <c r="C363" s="19" t="s">
        <v>1435</v>
      </c>
      <c r="D363" s="19" t="s">
        <v>1301</v>
      </c>
      <c r="E363" s="36" t="s">
        <v>1439</v>
      </c>
      <c r="F363" s="36" t="s">
        <v>1440</v>
      </c>
      <c r="G363" s="36" t="s">
        <v>131</v>
      </c>
      <c r="H363" s="32">
        <v>7.866066558E9</v>
      </c>
      <c r="I363" s="18">
        <f t="shared" si="4"/>
        <v>45936</v>
      </c>
      <c r="J363" s="19" t="s">
        <v>28</v>
      </c>
      <c r="K363" s="19" t="s">
        <v>325</v>
      </c>
      <c r="L363" s="19"/>
    </row>
    <row r="364" ht="22.5" customHeight="1">
      <c r="C364" s="19" t="s">
        <v>1435</v>
      </c>
      <c r="D364" s="19" t="s">
        <v>1304</v>
      </c>
      <c r="E364" s="36" t="s">
        <v>1441</v>
      </c>
      <c r="F364" s="36" t="s">
        <v>1442</v>
      </c>
      <c r="G364" s="36" t="s">
        <v>636</v>
      </c>
      <c r="H364" s="35">
        <v>3.054918023E9</v>
      </c>
      <c r="I364" s="18">
        <f t="shared" si="4"/>
        <v>45936</v>
      </c>
      <c r="J364" s="19" t="s">
        <v>28</v>
      </c>
      <c r="K364" s="19" t="s">
        <v>325</v>
      </c>
      <c r="L364" s="19"/>
    </row>
    <row r="365" ht="22.5" customHeight="1">
      <c r="C365" s="19" t="s">
        <v>1435</v>
      </c>
      <c r="D365" s="19" t="s">
        <v>1308</v>
      </c>
      <c r="E365" s="36" t="s">
        <v>1443</v>
      </c>
      <c r="F365" s="36" t="s">
        <v>1444</v>
      </c>
      <c r="G365" s="36" t="s">
        <v>323</v>
      </c>
      <c r="H365" s="37" t="s">
        <v>1445</v>
      </c>
      <c r="I365" s="18">
        <f t="shared" si="4"/>
        <v>45936</v>
      </c>
      <c r="J365" s="19" t="s">
        <v>28</v>
      </c>
      <c r="K365" s="19" t="s">
        <v>325</v>
      </c>
      <c r="L365" s="19"/>
    </row>
    <row r="366" ht="22.5" customHeight="1">
      <c r="C366" s="19" t="s">
        <v>1435</v>
      </c>
      <c r="D366" s="19" t="s">
        <v>1311</v>
      </c>
      <c r="E366" s="36" t="s">
        <v>1446</v>
      </c>
      <c r="F366" s="36" t="s">
        <v>1447</v>
      </c>
      <c r="G366" s="36" t="s">
        <v>346</v>
      </c>
      <c r="H366" s="32">
        <v>7.862731794E9</v>
      </c>
      <c r="I366" s="18">
        <f t="shared" si="4"/>
        <v>45936</v>
      </c>
      <c r="J366" s="19" t="s">
        <v>28</v>
      </c>
      <c r="K366" s="19" t="s">
        <v>325</v>
      </c>
      <c r="L366" s="19"/>
    </row>
    <row r="367" ht="22.5" customHeight="1">
      <c r="C367" s="19" t="s">
        <v>1435</v>
      </c>
      <c r="D367" s="19" t="s">
        <v>1315</v>
      </c>
      <c r="E367" s="36" t="s">
        <v>1448</v>
      </c>
      <c r="F367" s="36" t="s">
        <v>1449</v>
      </c>
      <c r="G367" s="36" t="s">
        <v>62</v>
      </c>
      <c r="H367" s="32">
        <v>3.052042877E9</v>
      </c>
      <c r="I367" s="18">
        <f t="shared" si="4"/>
        <v>45936</v>
      </c>
      <c r="J367" s="19" t="s">
        <v>28</v>
      </c>
      <c r="K367" s="19" t="s">
        <v>325</v>
      </c>
      <c r="L367" s="19"/>
    </row>
    <row r="368" ht="22.5" customHeight="1">
      <c r="C368" s="19" t="s">
        <v>1435</v>
      </c>
      <c r="D368" s="19" t="s">
        <v>1320</v>
      </c>
      <c r="E368" s="36" t="s">
        <v>1450</v>
      </c>
      <c r="F368" s="36" t="s">
        <v>1408</v>
      </c>
      <c r="G368" s="36" t="s">
        <v>224</v>
      </c>
      <c r="H368" s="37" t="s">
        <v>1451</v>
      </c>
      <c r="I368" s="18">
        <f t="shared" si="4"/>
        <v>45936</v>
      </c>
      <c r="J368" s="19" t="s">
        <v>28</v>
      </c>
      <c r="K368" s="19" t="s">
        <v>325</v>
      </c>
      <c r="L368" s="19"/>
    </row>
    <row r="369" ht="22.5" customHeight="1">
      <c r="C369" s="19" t="s">
        <v>1435</v>
      </c>
      <c r="D369" s="19" t="s">
        <v>1324</v>
      </c>
      <c r="E369" s="36" t="s">
        <v>1452</v>
      </c>
      <c r="F369" s="36" t="s">
        <v>1453</v>
      </c>
      <c r="G369" s="36" t="s">
        <v>126</v>
      </c>
      <c r="H369" s="37" t="s">
        <v>1454</v>
      </c>
      <c r="I369" s="18">
        <f t="shared" si="4"/>
        <v>45936</v>
      </c>
      <c r="J369" s="19" t="s">
        <v>28</v>
      </c>
      <c r="K369" s="19" t="s">
        <v>325</v>
      </c>
      <c r="L369" s="19"/>
    </row>
    <row r="370" ht="22.5" customHeight="1">
      <c r="C370" s="19" t="s">
        <v>1435</v>
      </c>
      <c r="D370" s="19" t="s">
        <v>1328</v>
      </c>
      <c r="E370" s="36" t="s">
        <v>1455</v>
      </c>
      <c r="F370" s="36" t="s">
        <v>1456</v>
      </c>
      <c r="G370" s="36" t="s">
        <v>118</v>
      </c>
      <c r="H370" s="32">
        <v>3.053423335E9</v>
      </c>
      <c r="I370" s="18">
        <f t="shared" si="4"/>
        <v>45936</v>
      </c>
      <c r="J370" s="19" t="s">
        <v>28</v>
      </c>
      <c r="K370" s="19" t="s">
        <v>325</v>
      </c>
      <c r="L370" s="19"/>
    </row>
    <row r="371" ht="22.5" customHeight="1">
      <c r="C371" s="19" t="s">
        <v>1435</v>
      </c>
      <c r="D371" s="19" t="s">
        <v>1331</v>
      </c>
      <c r="E371" s="36" t="s">
        <v>1457</v>
      </c>
      <c r="F371" s="36" t="s">
        <v>1419</v>
      </c>
      <c r="G371" s="36" t="s">
        <v>67</v>
      </c>
      <c r="H371" s="32">
        <v>3.05510016E9</v>
      </c>
      <c r="I371" s="18">
        <f t="shared" si="4"/>
        <v>45936</v>
      </c>
      <c r="J371" s="19" t="s">
        <v>28</v>
      </c>
      <c r="K371" s="19" t="s">
        <v>325</v>
      </c>
      <c r="L371" s="19"/>
    </row>
    <row r="372" ht="22.5" customHeight="1">
      <c r="C372" s="19" t="s">
        <v>1435</v>
      </c>
      <c r="D372" s="19" t="s">
        <v>1335</v>
      </c>
      <c r="E372" s="36" t="s">
        <v>1458</v>
      </c>
      <c r="F372" s="36" t="s">
        <v>296</v>
      </c>
      <c r="G372" s="36" t="s">
        <v>57</v>
      </c>
      <c r="H372" s="32">
        <v>3.056063919E9</v>
      </c>
      <c r="I372" s="18">
        <f t="shared" si="4"/>
        <v>45936</v>
      </c>
      <c r="J372" s="19" t="s">
        <v>28</v>
      </c>
      <c r="K372" s="19" t="s">
        <v>325</v>
      </c>
      <c r="L372" s="19"/>
    </row>
    <row r="373" ht="22.5" customHeight="1">
      <c r="C373" s="19" t="s">
        <v>1435</v>
      </c>
      <c r="D373" s="19" t="s">
        <v>1337</v>
      </c>
      <c r="E373" s="36" t="s">
        <v>1459</v>
      </c>
      <c r="F373" s="36" t="s">
        <v>1285</v>
      </c>
      <c r="G373" s="36" t="s">
        <v>387</v>
      </c>
      <c r="H373" s="35">
        <v>3.0585497E9</v>
      </c>
      <c r="I373" s="18">
        <f t="shared" si="4"/>
        <v>45936</v>
      </c>
      <c r="J373" s="19" t="s">
        <v>28</v>
      </c>
      <c r="K373" s="19" t="s">
        <v>325</v>
      </c>
      <c r="L373" s="19"/>
    </row>
    <row r="374" ht="22.5" customHeight="1">
      <c r="C374" s="19" t="s">
        <v>1435</v>
      </c>
      <c r="D374" s="19" t="s">
        <v>1339</v>
      </c>
      <c r="E374" s="36" t="s">
        <v>1460</v>
      </c>
      <c r="F374" s="36" t="s">
        <v>1461</v>
      </c>
      <c r="G374" s="36" t="s">
        <v>52</v>
      </c>
      <c r="H374" s="32">
        <v>3.057228015E9</v>
      </c>
      <c r="I374" s="18">
        <f t="shared" si="4"/>
        <v>45936</v>
      </c>
      <c r="J374" s="19" t="s">
        <v>28</v>
      </c>
      <c r="K374" s="19" t="s">
        <v>325</v>
      </c>
      <c r="L374" s="19"/>
    </row>
    <row r="375" ht="22.5" customHeight="1">
      <c r="C375" s="19" t="s">
        <v>1435</v>
      </c>
      <c r="D375" s="19" t="s">
        <v>1462</v>
      </c>
      <c r="E375" s="36" t="s">
        <v>1463</v>
      </c>
      <c r="F375" s="36" t="s">
        <v>1464</v>
      </c>
      <c r="G375" s="36" t="s">
        <v>524</v>
      </c>
      <c r="H375" s="37" t="s">
        <v>1465</v>
      </c>
      <c r="I375" s="18">
        <f t="shared" si="4"/>
        <v>45936</v>
      </c>
      <c r="J375" s="19" t="s">
        <v>28</v>
      </c>
      <c r="K375" s="19" t="s">
        <v>325</v>
      </c>
      <c r="L375" s="19"/>
    </row>
    <row r="376" ht="22.5" customHeight="1">
      <c r="C376" s="19" t="s">
        <v>1435</v>
      </c>
      <c r="D376" s="19" t="s">
        <v>1466</v>
      </c>
      <c r="E376" s="36" t="s">
        <v>1467</v>
      </c>
      <c r="F376" s="36" t="s">
        <v>1468</v>
      </c>
      <c r="G376" s="36" t="s">
        <v>72</v>
      </c>
      <c r="H376" s="32">
        <v>7.865851045E9</v>
      </c>
      <c r="I376" s="18">
        <f t="shared" si="4"/>
        <v>45936</v>
      </c>
      <c r="J376" s="19" t="s">
        <v>28</v>
      </c>
      <c r="K376" s="19" t="s">
        <v>325</v>
      </c>
      <c r="L376" s="19"/>
    </row>
    <row r="377" ht="22.5" customHeight="1">
      <c r="C377" s="19" t="s">
        <v>1435</v>
      </c>
      <c r="D377" s="19" t="s">
        <v>1469</v>
      </c>
      <c r="E377" s="36" t="s">
        <v>1470</v>
      </c>
      <c r="F377" s="36" t="s">
        <v>1471</v>
      </c>
      <c r="G377" s="36" t="s">
        <v>170</v>
      </c>
      <c r="H377" s="37" t="s">
        <v>1472</v>
      </c>
      <c r="I377" s="18">
        <f t="shared" si="4"/>
        <v>45936</v>
      </c>
      <c r="J377" s="19" t="s">
        <v>28</v>
      </c>
      <c r="K377" s="19" t="s">
        <v>325</v>
      </c>
      <c r="L377" s="19"/>
    </row>
    <row r="378" ht="22.5" customHeight="1">
      <c r="C378" s="19" t="s">
        <v>1435</v>
      </c>
      <c r="D378" s="19" t="s">
        <v>1473</v>
      </c>
      <c r="E378" s="36" t="s">
        <v>1474</v>
      </c>
      <c r="F378" s="36" t="s">
        <v>1475</v>
      </c>
      <c r="G378" s="36" t="s">
        <v>26</v>
      </c>
      <c r="H378" s="37" t="s">
        <v>1476</v>
      </c>
      <c r="I378" s="18">
        <f t="shared" si="4"/>
        <v>45936</v>
      </c>
      <c r="J378" s="19" t="s">
        <v>28</v>
      </c>
      <c r="K378" s="19" t="s">
        <v>325</v>
      </c>
      <c r="L378" s="19"/>
    </row>
    <row r="379" ht="22.5" customHeight="1">
      <c r="C379" s="19" t="s">
        <v>1477</v>
      </c>
      <c r="D379" s="19" t="s">
        <v>1478</v>
      </c>
      <c r="E379" s="36" t="s">
        <v>1479</v>
      </c>
      <c r="F379" s="36" t="s">
        <v>1480</v>
      </c>
      <c r="G379" s="36" t="s">
        <v>1481</v>
      </c>
      <c r="H379" s="37" t="s">
        <v>1482</v>
      </c>
      <c r="I379" s="18">
        <f t="shared" si="4"/>
        <v>45936</v>
      </c>
      <c r="J379" s="19" t="s">
        <v>28</v>
      </c>
      <c r="K379" s="19" t="s">
        <v>325</v>
      </c>
      <c r="L379" s="19" t="s">
        <v>148</v>
      </c>
    </row>
    <row r="380" ht="22.5" customHeight="1">
      <c r="C380" s="19" t="s">
        <v>1477</v>
      </c>
      <c r="D380" s="19" t="s">
        <v>1483</v>
      </c>
      <c r="E380" s="36" t="s">
        <v>1484</v>
      </c>
      <c r="F380" s="36" t="s">
        <v>1485</v>
      </c>
      <c r="G380" s="36" t="s">
        <v>360</v>
      </c>
      <c r="H380" s="32">
        <v>3.057935988E9</v>
      </c>
      <c r="I380" s="18">
        <f t="shared" si="4"/>
        <v>45936</v>
      </c>
      <c r="J380" s="19" t="s">
        <v>28</v>
      </c>
      <c r="K380" s="19" t="s">
        <v>325</v>
      </c>
      <c r="L380" s="19"/>
    </row>
    <row r="381" ht="22.5" customHeight="1">
      <c r="C381" s="19" t="s">
        <v>1477</v>
      </c>
      <c r="D381" s="19" t="s">
        <v>1486</v>
      </c>
      <c r="E381" s="36" t="s">
        <v>1487</v>
      </c>
      <c r="F381" s="36" t="s">
        <v>1488</v>
      </c>
      <c r="G381" s="36" t="s">
        <v>72</v>
      </c>
      <c r="H381" s="37" t="s">
        <v>1489</v>
      </c>
      <c r="I381" s="18">
        <f t="shared" si="4"/>
        <v>45936</v>
      </c>
      <c r="J381" s="19" t="s">
        <v>28</v>
      </c>
      <c r="K381" s="19" t="s">
        <v>325</v>
      </c>
      <c r="L381" s="19"/>
    </row>
    <row r="382" ht="22.5" customHeight="1">
      <c r="C382" s="19" t="s">
        <v>1477</v>
      </c>
      <c r="D382" s="19" t="s">
        <v>1490</v>
      </c>
      <c r="E382" s="36" t="s">
        <v>1491</v>
      </c>
      <c r="F382" s="36" t="s">
        <v>1492</v>
      </c>
      <c r="G382" s="36" t="s">
        <v>77</v>
      </c>
      <c r="H382" s="37" t="s">
        <v>1493</v>
      </c>
      <c r="I382" s="18">
        <f t="shared" si="4"/>
        <v>45936</v>
      </c>
      <c r="J382" s="19" t="s">
        <v>28</v>
      </c>
      <c r="K382" s="19" t="s">
        <v>325</v>
      </c>
      <c r="L382" s="19"/>
    </row>
    <row r="383" ht="22.5" customHeight="1">
      <c r="C383" s="19" t="s">
        <v>1477</v>
      </c>
      <c r="D383" s="19" t="s">
        <v>1494</v>
      </c>
      <c r="E383" s="36" t="s">
        <v>1495</v>
      </c>
      <c r="F383" s="36" t="s">
        <v>1496</v>
      </c>
      <c r="G383" s="36" t="s">
        <v>680</v>
      </c>
      <c r="H383" s="37" t="s">
        <v>1497</v>
      </c>
      <c r="I383" s="18">
        <f t="shared" si="4"/>
        <v>45936</v>
      </c>
      <c r="J383" s="19" t="s">
        <v>28</v>
      </c>
      <c r="K383" s="19" t="s">
        <v>325</v>
      </c>
      <c r="L383" s="19" t="s">
        <v>99</v>
      </c>
    </row>
    <row r="384" ht="22.5" customHeight="1">
      <c r="C384" s="19" t="s">
        <v>1477</v>
      </c>
      <c r="D384" s="19" t="s">
        <v>1498</v>
      </c>
      <c r="E384" s="36" t="s">
        <v>1499</v>
      </c>
      <c r="F384" s="36" t="s">
        <v>1500</v>
      </c>
      <c r="G384" s="36" t="s">
        <v>113</v>
      </c>
      <c r="H384" s="32">
        <v>3.05564972E9</v>
      </c>
      <c r="I384" s="18">
        <f t="shared" si="4"/>
        <v>45936</v>
      </c>
      <c r="J384" s="19" t="s">
        <v>28</v>
      </c>
      <c r="K384" s="19" t="s">
        <v>325</v>
      </c>
      <c r="L384" s="19"/>
    </row>
    <row r="385" ht="22.5" customHeight="1">
      <c r="C385" s="19" t="s">
        <v>1477</v>
      </c>
      <c r="D385" s="19" t="s">
        <v>1501</v>
      </c>
      <c r="E385" s="36" t="s">
        <v>1502</v>
      </c>
      <c r="F385" s="36" t="s">
        <v>1503</v>
      </c>
      <c r="G385" s="36" t="s">
        <v>1504</v>
      </c>
      <c r="H385" s="32">
        <v>3.05224221E9</v>
      </c>
      <c r="I385" s="18">
        <f t="shared" si="4"/>
        <v>45936</v>
      </c>
      <c r="J385" s="19" t="s">
        <v>28</v>
      </c>
      <c r="K385" s="19" t="s">
        <v>325</v>
      </c>
      <c r="L385" s="19"/>
    </row>
    <row r="386" ht="22.5" customHeight="1">
      <c r="C386" s="19" t="s">
        <v>1477</v>
      </c>
      <c r="D386" s="19" t="s">
        <v>1505</v>
      </c>
      <c r="E386" s="36" t="s">
        <v>1506</v>
      </c>
      <c r="F386" s="36" t="s">
        <v>1507</v>
      </c>
      <c r="G386" s="36" t="s">
        <v>52</v>
      </c>
      <c r="H386" s="32">
        <v>3.054765444E9</v>
      </c>
      <c r="I386" s="18">
        <f t="shared" si="4"/>
        <v>45936</v>
      </c>
      <c r="J386" s="19" t="s">
        <v>28</v>
      </c>
      <c r="K386" s="19" t="s">
        <v>325</v>
      </c>
      <c r="L386" s="19"/>
    </row>
    <row r="387" ht="22.5" customHeight="1">
      <c r="C387" s="19" t="s">
        <v>1477</v>
      </c>
      <c r="D387" s="19" t="s">
        <v>1508</v>
      </c>
      <c r="E387" s="36" t="s">
        <v>1509</v>
      </c>
      <c r="F387" s="36" t="s">
        <v>1510</v>
      </c>
      <c r="G387" s="36" t="s">
        <v>279</v>
      </c>
      <c r="H387" s="32">
        <v>3.059159525E9</v>
      </c>
      <c r="I387" s="18">
        <f t="shared" si="4"/>
        <v>45936</v>
      </c>
      <c r="J387" s="19" t="s">
        <v>28</v>
      </c>
      <c r="K387" s="19" t="s">
        <v>325</v>
      </c>
      <c r="L387" s="19"/>
    </row>
    <row r="388" ht="22.5" customHeight="1">
      <c r="C388" s="19" t="s">
        <v>1477</v>
      </c>
      <c r="D388" s="19" t="s">
        <v>1511</v>
      </c>
      <c r="E388" s="36" t="s">
        <v>1512</v>
      </c>
      <c r="F388" s="36" t="s">
        <v>767</v>
      </c>
      <c r="G388" s="36" t="s">
        <v>768</v>
      </c>
      <c r="H388" s="32">
        <v>7.862396991E9</v>
      </c>
      <c r="I388" s="18">
        <f t="shared" si="4"/>
        <v>45936</v>
      </c>
      <c r="J388" s="19" t="s">
        <v>28</v>
      </c>
      <c r="K388" s="19" t="s">
        <v>325</v>
      </c>
      <c r="L388" s="19"/>
    </row>
    <row r="389" ht="22.5" customHeight="1">
      <c r="C389" s="19" t="s">
        <v>1477</v>
      </c>
      <c r="D389" s="19" t="s">
        <v>1513</v>
      </c>
      <c r="E389" s="36" t="s">
        <v>1514</v>
      </c>
      <c r="F389" s="36" t="s">
        <v>1515</v>
      </c>
      <c r="G389" s="36" t="s">
        <v>659</v>
      </c>
      <c r="H389" s="32">
        <v>7.868758511E9</v>
      </c>
      <c r="I389" s="18">
        <f t="shared" si="4"/>
        <v>45936</v>
      </c>
      <c r="J389" s="19" t="s">
        <v>28</v>
      </c>
      <c r="K389" s="19" t="s">
        <v>325</v>
      </c>
      <c r="L389" s="19" t="s">
        <v>148</v>
      </c>
    </row>
    <row r="390" ht="22.5" customHeight="1">
      <c r="C390" s="19" t="s">
        <v>1477</v>
      </c>
      <c r="D390" s="19" t="s">
        <v>1516</v>
      </c>
      <c r="E390" s="36" t="s">
        <v>1517</v>
      </c>
      <c r="F390" s="36" t="s">
        <v>1518</v>
      </c>
      <c r="G390" s="36" t="s">
        <v>82</v>
      </c>
      <c r="H390" s="37" t="s">
        <v>1519</v>
      </c>
      <c r="I390" s="18">
        <f t="shared" si="4"/>
        <v>45936</v>
      </c>
      <c r="J390" s="19" t="s">
        <v>28</v>
      </c>
      <c r="K390" s="19" t="s">
        <v>325</v>
      </c>
      <c r="L390" s="19" t="s">
        <v>148</v>
      </c>
    </row>
    <row r="391" ht="22.5" customHeight="1">
      <c r="C391" s="19" t="s">
        <v>1477</v>
      </c>
      <c r="D391" s="19" t="s">
        <v>1520</v>
      </c>
      <c r="E391" s="36" t="s">
        <v>1521</v>
      </c>
      <c r="F391" s="36" t="s">
        <v>1522</v>
      </c>
      <c r="G391" s="36" t="s">
        <v>1134</v>
      </c>
      <c r="H391" s="32">
        <v>3.0542597E9</v>
      </c>
      <c r="I391" s="18">
        <f t="shared" si="4"/>
        <v>45936</v>
      </c>
      <c r="J391" s="19" t="s">
        <v>28</v>
      </c>
      <c r="K391" s="19" t="s">
        <v>325</v>
      </c>
      <c r="L391" s="19"/>
    </row>
    <row r="392" ht="22.5" customHeight="1">
      <c r="C392" s="19" t="s">
        <v>1477</v>
      </c>
      <c r="D392" s="19" t="s">
        <v>1523</v>
      </c>
      <c r="E392" s="36" t="s">
        <v>1524</v>
      </c>
      <c r="F392" s="36" t="s">
        <v>1525</v>
      </c>
      <c r="G392" s="36" t="s">
        <v>617</v>
      </c>
      <c r="H392" s="32">
        <v>3.055864456E9</v>
      </c>
      <c r="I392" s="18">
        <f t="shared" si="4"/>
        <v>45936</v>
      </c>
      <c r="J392" s="19" t="s">
        <v>28</v>
      </c>
      <c r="K392" s="19" t="s">
        <v>325</v>
      </c>
      <c r="L392" s="19" t="s">
        <v>99</v>
      </c>
    </row>
    <row r="393" ht="22.5" customHeight="1">
      <c r="C393" s="19" t="s">
        <v>1477</v>
      </c>
      <c r="D393" s="19" t="s">
        <v>1526</v>
      </c>
      <c r="E393" s="36" t="s">
        <v>1527</v>
      </c>
      <c r="F393" s="36" t="s">
        <v>1528</v>
      </c>
      <c r="G393" s="36" t="s">
        <v>62</v>
      </c>
      <c r="H393" s="37" t="s">
        <v>1529</v>
      </c>
      <c r="I393" s="18">
        <f t="shared" si="4"/>
        <v>45936</v>
      </c>
      <c r="J393" s="19" t="s">
        <v>28</v>
      </c>
      <c r="K393" s="19" t="s">
        <v>325</v>
      </c>
      <c r="L393" s="19"/>
    </row>
    <row r="394" ht="22.5" customHeight="1">
      <c r="C394" s="19" t="s">
        <v>1477</v>
      </c>
      <c r="D394" s="19" t="s">
        <v>1530</v>
      </c>
      <c r="E394" s="36" t="s">
        <v>1531</v>
      </c>
      <c r="F394" s="36" t="s">
        <v>1532</v>
      </c>
      <c r="G394" s="36" t="s">
        <v>42</v>
      </c>
      <c r="H394" s="32">
        <v>3.058517033E9</v>
      </c>
      <c r="I394" s="18">
        <f t="shared" si="4"/>
        <v>45936</v>
      </c>
      <c r="J394" s="19" t="s">
        <v>28</v>
      </c>
      <c r="K394" s="19" t="s">
        <v>325</v>
      </c>
      <c r="L394" s="19"/>
    </row>
    <row r="395" ht="22.5" customHeight="1">
      <c r="C395" s="19" t="s">
        <v>1477</v>
      </c>
      <c r="D395" s="19" t="s">
        <v>1533</v>
      </c>
      <c r="E395" s="36" t="s">
        <v>1534</v>
      </c>
      <c r="F395" s="36" t="s">
        <v>1535</v>
      </c>
      <c r="G395" s="36" t="s">
        <v>224</v>
      </c>
      <c r="H395" s="32" t="s">
        <v>1096</v>
      </c>
      <c r="I395" s="18">
        <f t="shared" si="4"/>
        <v>45936</v>
      </c>
      <c r="J395" s="19" t="s">
        <v>28</v>
      </c>
      <c r="K395" s="19" t="s">
        <v>325</v>
      </c>
      <c r="L395" s="19"/>
    </row>
    <row r="396" ht="22.5" customHeight="1">
      <c r="C396" s="19" t="s">
        <v>1477</v>
      </c>
      <c r="D396" s="19" t="s">
        <v>1536</v>
      </c>
      <c r="E396" s="36" t="s">
        <v>1537</v>
      </c>
      <c r="F396" s="36" t="s">
        <v>1538</v>
      </c>
      <c r="G396" s="36" t="s">
        <v>108</v>
      </c>
      <c r="H396" s="32">
        <v>9.547368696E9</v>
      </c>
      <c r="I396" s="18">
        <f t="shared" si="4"/>
        <v>45936</v>
      </c>
      <c r="J396" s="19" t="s">
        <v>28</v>
      </c>
      <c r="K396" s="19" t="s">
        <v>325</v>
      </c>
      <c r="L396" s="19"/>
    </row>
    <row r="397" ht="22.5" customHeight="1">
      <c r="C397" s="19" t="s">
        <v>1477</v>
      </c>
      <c r="D397" s="19" t="s">
        <v>1539</v>
      </c>
      <c r="E397" s="36" t="s">
        <v>1540</v>
      </c>
      <c r="F397" s="36" t="s">
        <v>1541</v>
      </c>
      <c r="G397" s="36" t="s">
        <v>346</v>
      </c>
      <c r="H397" s="37" t="s">
        <v>1542</v>
      </c>
      <c r="I397" s="18">
        <f t="shared" si="4"/>
        <v>45936</v>
      </c>
      <c r="J397" s="19" t="s">
        <v>28</v>
      </c>
      <c r="K397" s="19" t="s">
        <v>325</v>
      </c>
      <c r="L397" s="19"/>
    </row>
    <row r="398" ht="22.5" customHeight="1">
      <c r="C398" s="19" t="s">
        <v>1543</v>
      </c>
      <c r="D398" s="19" t="s">
        <v>1544</v>
      </c>
      <c r="E398" s="36" t="s">
        <v>1545</v>
      </c>
      <c r="F398" s="36" t="s">
        <v>1546</v>
      </c>
      <c r="G398" s="36" t="s">
        <v>360</v>
      </c>
      <c r="H398" s="37" t="s">
        <v>1547</v>
      </c>
      <c r="I398" s="18">
        <f t="shared" si="4"/>
        <v>45936</v>
      </c>
      <c r="J398" s="19" t="s">
        <v>28</v>
      </c>
      <c r="K398" s="19" t="s">
        <v>325</v>
      </c>
      <c r="L398" s="19"/>
    </row>
    <row r="399" ht="22.5" customHeight="1">
      <c r="C399" s="19" t="s">
        <v>1543</v>
      </c>
      <c r="D399" s="19" t="s">
        <v>1548</v>
      </c>
      <c r="E399" s="36" t="s">
        <v>1549</v>
      </c>
      <c r="F399" s="36" t="s">
        <v>1550</v>
      </c>
      <c r="G399" s="36" t="s">
        <v>1551</v>
      </c>
      <c r="H399" s="37" t="s">
        <v>1552</v>
      </c>
      <c r="I399" s="18">
        <f t="shared" si="4"/>
        <v>45936</v>
      </c>
      <c r="J399" s="19" t="s">
        <v>28</v>
      </c>
      <c r="K399" s="19" t="s">
        <v>325</v>
      </c>
      <c r="L399" s="19"/>
    </row>
    <row r="400" ht="22.5" customHeight="1">
      <c r="C400" s="19" t="s">
        <v>1543</v>
      </c>
      <c r="D400" s="19" t="s">
        <v>1553</v>
      </c>
      <c r="E400" s="36" t="s">
        <v>1554</v>
      </c>
      <c r="F400" s="36" t="s">
        <v>1555</v>
      </c>
      <c r="G400" s="36" t="s">
        <v>1556</v>
      </c>
      <c r="H400" s="32">
        <v>5.612422455E9</v>
      </c>
      <c r="I400" s="18">
        <f t="shared" si="4"/>
        <v>45936</v>
      </c>
      <c r="J400" s="19" t="s">
        <v>28</v>
      </c>
      <c r="K400" s="19" t="s">
        <v>325</v>
      </c>
      <c r="L400" s="19"/>
    </row>
    <row r="401" ht="22.5" customHeight="1">
      <c r="C401" s="19" t="s">
        <v>1543</v>
      </c>
      <c r="D401" s="19" t="s">
        <v>1557</v>
      </c>
      <c r="E401" s="36" t="s">
        <v>1558</v>
      </c>
      <c r="F401" s="36" t="s">
        <v>1559</v>
      </c>
      <c r="G401" s="36" t="s">
        <v>118</v>
      </c>
      <c r="H401" s="32">
        <v>5.616676916E9</v>
      </c>
      <c r="I401" s="18">
        <f t="shared" si="4"/>
        <v>45936</v>
      </c>
      <c r="J401" s="19" t="s">
        <v>28</v>
      </c>
      <c r="K401" s="19" t="s">
        <v>325</v>
      </c>
      <c r="L401" s="19"/>
    </row>
    <row r="402" ht="22.5" customHeight="1">
      <c r="C402" s="19" t="s">
        <v>1543</v>
      </c>
      <c r="D402" s="19" t="s">
        <v>1560</v>
      </c>
      <c r="E402" s="36" t="s">
        <v>1561</v>
      </c>
      <c r="F402" s="36" t="s">
        <v>1562</v>
      </c>
      <c r="G402" s="36" t="s">
        <v>717</v>
      </c>
      <c r="H402" s="32">
        <v>5.614066905E9</v>
      </c>
      <c r="I402" s="18">
        <f t="shared" si="4"/>
        <v>45936</v>
      </c>
      <c r="J402" s="19" t="s">
        <v>28</v>
      </c>
      <c r="K402" s="19" t="s">
        <v>325</v>
      </c>
      <c r="L402" s="19"/>
    </row>
    <row r="403" ht="22.5" customHeight="1">
      <c r="C403" s="19" t="s">
        <v>1543</v>
      </c>
      <c r="D403" s="19" t="s">
        <v>1563</v>
      </c>
      <c r="E403" s="36" t="s">
        <v>1564</v>
      </c>
      <c r="F403" s="36" t="s">
        <v>1565</v>
      </c>
      <c r="G403" s="36" t="s">
        <v>97</v>
      </c>
      <c r="H403" s="37" t="s">
        <v>1566</v>
      </c>
      <c r="I403" s="18">
        <f t="shared" si="4"/>
        <v>45936</v>
      </c>
      <c r="J403" s="19" t="s">
        <v>28</v>
      </c>
      <c r="K403" s="19" t="s">
        <v>325</v>
      </c>
      <c r="L403" s="19"/>
    </row>
    <row r="404" ht="22.5" customHeight="1">
      <c r="C404" s="19" t="s">
        <v>1543</v>
      </c>
      <c r="D404" s="19" t="s">
        <v>1567</v>
      </c>
      <c r="E404" s="36" t="s">
        <v>1568</v>
      </c>
      <c r="F404" s="36" t="s">
        <v>1569</v>
      </c>
      <c r="G404" s="36" t="s">
        <v>360</v>
      </c>
      <c r="H404" s="37" t="s">
        <v>1570</v>
      </c>
      <c r="I404" s="18">
        <f t="shared" si="4"/>
        <v>45936</v>
      </c>
      <c r="J404" s="19" t="s">
        <v>28</v>
      </c>
      <c r="K404" s="19" t="s">
        <v>325</v>
      </c>
      <c r="L404" s="19"/>
    </row>
    <row r="405" ht="22.5" customHeight="1">
      <c r="C405" s="19" t="s">
        <v>1543</v>
      </c>
      <c r="D405" s="19" t="s">
        <v>1571</v>
      </c>
      <c r="E405" s="36" t="s">
        <v>1572</v>
      </c>
      <c r="F405" s="36" t="s">
        <v>1573</v>
      </c>
      <c r="G405" s="36" t="s">
        <v>636</v>
      </c>
      <c r="H405" s="37" t="s">
        <v>1574</v>
      </c>
      <c r="I405" s="18">
        <f t="shared" si="4"/>
        <v>45936</v>
      </c>
      <c r="J405" s="19" t="s">
        <v>28</v>
      </c>
      <c r="K405" s="19" t="s">
        <v>325</v>
      </c>
      <c r="L405" s="19"/>
    </row>
    <row r="406" ht="22.5" customHeight="1">
      <c r="C406" s="19" t="s">
        <v>1543</v>
      </c>
      <c r="D406" s="19" t="s">
        <v>1575</v>
      </c>
      <c r="E406" s="36" t="s">
        <v>1576</v>
      </c>
      <c r="F406" s="36" t="s">
        <v>1577</v>
      </c>
      <c r="G406" s="36" t="s">
        <v>131</v>
      </c>
      <c r="H406" s="32">
        <v>5.616021792E9</v>
      </c>
      <c r="I406" s="18">
        <f t="shared" si="4"/>
        <v>45936</v>
      </c>
      <c r="J406" s="19" t="s">
        <v>28</v>
      </c>
      <c r="K406" s="19" t="s">
        <v>325</v>
      </c>
      <c r="L406" s="19"/>
    </row>
    <row r="407" ht="22.5" customHeight="1">
      <c r="C407" s="19" t="s">
        <v>1543</v>
      </c>
      <c r="D407" s="19" t="s">
        <v>1578</v>
      </c>
      <c r="E407" s="36" t="s">
        <v>1579</v>
      </c>
      <c r="F407" s="36" t="s">
        <v>1580</v>
      </c>
      <c r="G407" s="36" t="s">
        <v>103</v>
      </c>
      <c r="H407" s="32">
        <v>5.616018229E9</v>
      </c>
      <c r="I407" s="18">
        <f t="shared" si="4"/>
        <v>45936</v>
      </c>
      <c r="J407" s="19" t="s">
        <v>28</v>
      </c>
      <c r="K407" s="19" t="s">
        <v>325</v>
      </c>
      <c r="L407" s="19"/>
    </row>
    <row r="408" ht="22.5" customHeight="1">
      <c r="C408" s="19" t="s">
        <v>1543</v>
      </c>
      <c r="D408" s="19" t="s">
        <v>1581</v>
      </c>
      <c r="E408" s="36" t="s">
        <v>1582</v>
      </c>
      <c r="F408" s="36" t="s">
        <v>1583</v>
      </c>
      <c r="G408" s="36" t="s">
        <v>108</v>
      </c>
      <c r="H408" s="37" t="s">
        <v>1584</v>
      </c>
      <c r="I408" s="18">
        <f t="shared" si="4"/>
        <v>45936</v>
      </c>
      <c r="J408" s="19" t="s">
        <v>28</v>
      </c>
      <c r="K408" s="19" t="s">
        <v>325</v>
      </c>
      <c r="L408" s="19"/>
    </row>
    <row r="409" ht="22.5" customHeight="1">
      <c r="C409" s="19" t="s">
        <v>1543</v>
      </c>
      <c r="D409" s="19" t="s">
        <v>1585</v>
      </c>
      <c r="E409" s="36" t="s">
        <v>1586</v>
      </c>
      <c r="F409" s="36" t="s">
        <v>1587</v>
      </c>
      <c r="G409" s="36" t="s">
        <v>1588</v>
      </c>
      <c r="H409" s="37" t="s">
        <v>1589</v>
      </c>
      <c r="I409" s="18">
        <f t="shared" si="4"/>
        <v>45936</v>
      </c>
      <c r="J409" s="19" t="s">
        <v>28</v>
      </c>
      <c r="K409" s="19" t="s">
        <v>325</v>
      </c>
      <c r="L409" s="19"/>
    </row>
    <row r="410" ht="22.5" customHeight="1">
      <c r="C410" s="19" t="s">
        <v>1543</v>
      </c>
      <c r="D410" s="19" t="s">
        <v>1590</v>
      </c>
      <c r="E410" s="36" t="s">
        <v>1591</v>
      </c>
      <c r="F410" s="36" t="s">
        <v>1592</v>
      </c>
      <c r="G410" s="36" t="s">
        <v>72</v>
      </c>
      <c r="H410" s="37" t="s">
        <v>1593</v>
      </c>
      <c r="I410" s="18">
        <f t="shared" si="4"/>
        <v>45936</v>
      </c>
      <c r="J410" s="19" t="s">
        <v>28</v>
      </c>
      <c r="K410" s="19" t="s">
        <v>325</v>
      </c>
      <c r="L410" s="19"/>
    </row>
    <row r="411" ht="22.5" customHeight="1">
      <c r="C411" s="19" t="s">
        <v>1543</v>
      </c>
      <c r="D411" s="19" t="s">
        <v>1594</v>
      </c>
      <c r="E411" s="36" t="s">
        <v>1595</v>
      </c>
      <c r="F411" s="36" t="s">
        <v>1596</v>
      </c>
      <c r="G411" s="36" t="s">
        <v>727</v>
      </c>
      <c r="H411" s="37" t="s">
        <v>1597</v>
      </c>
      <c r="I411" s="18">
        <f t="shared" si="4"/>
        <v>45936</v>
      </c>
      <c r="J411" s="19" t="s">
        <v>28</v>
      </c>
      <c r="K411" s="19" t="s">
        <v>325</v>
      </c>
      <c r="L411" s="19"/>
    </row>
    <row r="412" ht="22.5" customHeight="1">
      <c r="C412" s="19" t="s">
        <v>1543</v>
      </c>
      <c r="D412" s="19" t="s">
        <v>1598</v>
      </c>
      <c r="E412" s="36" t="s">
        <v>1599</v>
      </c>
      <c r="F412" s="36" t="s">
        <v>1600</v>
      </c>
      <c r="G412" s="36" t="s">
        <v>57</v>
      </c>
      <c r="H412" s="37" t="s">
        <v>1601</v>
      </c>
      <c r="I412" s="18">
        <f t="shared" si="4"/>
        <v>45936</v>
      </c>
      <c r="J412" s="19" t="s">
        <v>28</v>
      </c>
      <c r="K412" s="19" t="s">
        <v>325</v>
      </c>
      <c r="L412" s="19"/>
    </row>
    <row r="413" ht="22.5" customHeight="1">
      <c r="C413" s="19" t="s">
        <v>1543</v>
      </c>
      <c r="D413" s="19" t="s">
        <v>1602</v>
      </c>
      <c r="E413" s="36" t="s">
        <v>1603</v>
      </c>
      <c r="F413" s="36" t="s">
        <v>1604</v>
      </c>
      <c r="G413" s="36" t="s">
        <v>1605</v>
      </c>
      <c r="H413" s="37" t="s">
        <v>1606</v>
      </c>
      <c r="I413" s="18">
        <f t="shared" si="4"/>
        <v>45936</v>
      </c>
      <c r="J413" s="19" t="s">
        <v>28</v>
      </c>
      <c r="K413" s="19" t="s">
        <v>325</v>
      </c>
      <c r="L413" s="19"/>
    </row>
    <row r="414" ht="22.5" customHeight="1">
      <c r="C414" s="19" t="s">
        <v>1543</v>
      </c>
      <c r="D414" s="19" t="s">
        <v>1607</v>
      </c>
      <c r="E414" s="36" t="s">
        <v>1608</v>
      </c>
      <c r="F414" s="36" t="s">
        <v>1609</v>
      </c>
      <c r="G414" s="36" t="s">
        <v>126</v>
      </c>
      <c r="H414" s="37" t="s">
        <v>1610</v>
      </c>
      <c r="I414" s="18">
        <f t="shared" si="4"/>
        <v>45936</v>
      </c>
      <c r="J414" s="19" t="s">
        <v>28</v>
      </c>
      <c r="K414" s="19" t="s">
        <v>325</v>
      </c>
      <c r="L414" s="19"/>
    </row>
    <row r="415" ht="22.5" customHeight="1">
      <c r="C415" s="19" t="s">
        <v>1543</v>
      </c>
      <c r="D415" s="19" t="s">
        <v>1611</v>
      </c>
      <c r="E415" s="36" t="s">
        <v>1612</v>
      </c>
      <c r="F415" s="36" t="s">
        <v>1613</v>
      </c>
      <c r="G415" s="36" t="s">
        <v>82</v>
      </c>
      <c r="H415" s="37" t="s">
        <v>1614</v>
      </c>
      <c r="I415" s="18">
        <f t="shared" si="4"/>
        <v>45936</v>
      </c>
      <c r="J415" s="19" t="s">
        <v>28</v>
      </c>
      <c r="K415" s="19" t="s">
        <v>325</v>
      </c>
      <c r="L415" s="19"/>
    </row>
    <row r="416" ht="22.5" customHeight="1">
      <c r="C416" s="19" t="s">
        <v>1543</v>
      </c>
      <c r="D416" s="19" t="s">
        <v>1615</v>
      </c>
      <c r="E416" s="36" t="s">
        <v>1616</v>
      </c>
      <c r="F416" s="36" t="s">
        <v>1617</v>
      </c>
      <c r="G416" s="36" t="s">
        <v>1199</v>
      </c>
      <c r="H416" s="37" t="s">
        <v>1618</v>
      </c>
      <c r="I416" s="18">
        <f t="shared" si="4"/>
        <v>45936</v>
      </c>
      <c r="J416" s="19" t="s">
        <v>28</v>
      </c>
      <c r="K416" s="19" t="s">
        <v>325</v>
      </c>
      <c r="L416" s="19"/>
    </row>
    <row r="417" ht="22.5" customHeight="1">
      <c r="C417" s="19" t="s">
        <v>1543</v>
      </c>
      <c r="D417" s="19" t="s">
        <v>1619</v>
      </c>
      <c r="E417" s="36" t="s">
        <v>1620</v>
      </c>
      <c r="F417" s="36" t="s">
        <v>1621</v>
      </c>
      <c r="G417" s="36" t="s">
        <v>1622</v>
      </c>
      <c r="H417" s="37" t="s">
        <v>1623</v>
      </c>
      <c r="I417" s="18">
        <f t="shared" si="4"/>
        <v>45936</v>
      </c>
      <c r="J417" s="19" t="s">
        <v>28</v>
      </c>
      <c r="K417" s="19" t="s">
        <v>325</v>
      </c>
      <c r="L417" s="19"/>
    </row>
    <row r="418" ht="22.5" customHeight="1">
      <c r="C418" s="19" t="s">
        <v>1543</v>
      </c>
      <c r="D418" s="19" t="s">
        <v>1624</v>
      </c>
      <c r="E418" s="36" t="s">
        <v>1625</v>
      </c>
      <c r="F418" s="36" t="s">
        <v>1626</v>
      </c>
      <c r="G418" s="36" t="s">
        <v>113</v>
      </c>
      <c r="H418" s="32">
        <v>5.613395894E9</v>
      </c>
      <c r="I418" s="18">
        <f t="shared" si="4"/>
        <v>45936</v>
      </c>
      <c r="J418" s="19" t="s">
        <v>28</v>
      </c>
      <c r="K418" s="19" t="s">
        <v>325</v>
      </c>
      <c r="L418" s="19"/>
    </row>
    <row r="419" ht="22.5" customHeight="1">
      <c r="C419" s="19" t="s">
        <v>1543</v>
      </c>
      <c r="D419" s="19" t="s">
        <v>1627</v>
      </c>
      <c r="E419" s="36" t="s">
        <v>1628</v>
      </c>
      <c r="F419" s="36" t="s">
        <v>1629</v>
      </c>
      <c r="G419" s="36" t="s">
        <v>915</v>
      </c>
      <c r="H419" s="37" t="s">
        <v>1630</v>
      </c>
      <c r="I419" s="18">
        <f t="shared" si="4"/>
        <v>45936</v>
      </c>
      <c r="J419" s="19" t="s">
        <v>28</v>
      </c>
      <c r="K419" s="19" t="s">
        <v>325</v>
      </c>
      <c r="L419" s="19"/>
    </row>
    <row r="420" ht="22.5" customHeight="1">
      <c r="C420" s="19" t="s">
        <v>1543</v>
      </c>
      <c r="D420" s="19" t="s">
        <v>1631</v>
      </c>
      <c r="E420" s="36" t="s">
        <v>1632</v>
      </c>
      <c r="F420" s="36" t="s">
        <v>1633</v>
      </c>
      <c r="G420" s="36" t="s">
        <v>67</v>
      </c>
      <c r="H420" s="32">
        <v>8.60706281E9</v>
      </c>
      <c r="I420" s="18">
        <f t="shared" si="4"/>
        <v>45936</v>
      </c>
      <c r="J420" s="19" t="s">
        <v>28</v>
      </c>
      <c r="K420" s="19" t="s">
        <v>325</v>
      </c>
      <c r="L420" s="19"/>
    </row>
    <row r="421" ht="22.5" customHeight="1">
      <c r="C421" s="19" t="s">
        <v>1543</v>
      </c>
      <c r="D421" s="19" t="s">
        <v>1634</v>
      </c>
      <c r="E421" s="36" t="s">
        <v>1635</v>
      </c>
      <c r="F421" s="36" t="s">
        <v>1636</v>
      </c>
      <c r="G421" s="36" t="s">
        <v>301</v>
      </c>
      <c r="H421" s="32">
        <v>5.615130591E9</v>
      </c>
      <c r="I421" s="18">
        <f t="shared" si="4"/>
        <v>45936</v>
      </c>
      <c r="J421" s="19" t="s">
        <v>28</v>
      </c>
      <c r="K421" s="19" t="s">
        <v>325</v>
      </c>
      <c r="L421" s="19"/>
    </row>
    <row r="422" ht="22.5" customHeight="1">
      <c r="C422" s="19" t="s">
        <v>1543</v>
      </c>
      <c r="D422" s="19" t="s">
        <v>1637</v>
      </c>
      <c r="E422" s="36" t="s">
        <v>1638</v>
      </c>
      <c r="F422" s="36" t="s">
        <v>1639</v>
      </c>
      <c r="G422" s="36" t="s">
        <v>1640</v>
      </c>
      <c r="H422" s="37" t="s">
        <v>1641</v>
      </c>
      <c r="I422" s="18">
        <f t="shared" si="4"/>
        <v>45936</v>
      </c>
      <c r="J422" s="19" t="s">
        <v>28</v>
      </c>
      <c r="K422" s="19" t="s">
        <v>325</v>
      </c>
      <c r="L422" s="19"/>
    </row>
    <row r="423" ht="22.5" customHeight="1">
      <c r="C423" s="19" t="s">
        <v>1543</v>
      </c>
      <c r="D423" s="19" t="s">
        <v>1642</v>
      </c>
      <c r="E423" s="36" t="s">
        <v>1643</v>
      </c>
      <c r="F423" s="36" t="s">
        <v>1644</v>
      </c>
      <c r="G423" s="36" t="s">
        <v>136</v>
      </c>
      <c r="H423" s="37" t="s">
        <v>1645</v>
      </c>
      <c r="I423" s="18">
        <f t="shared" si="4"/>
        <v>45936</v>
      </c>
      <c r="J423" s="19" t="s">
        <v>28</v>
      </c>
      <c r="K423" s="19" t="s">
        <v>325</v>
      </c>
      <c r="L423" s="19"/>
    </row>
    <row r="424" ht="22.5" customHeight="1">
      <c r="C424" s="19" t="s">
        <v>1543</v>
      </c>
      <c r="D424" s="19" t="s">
        <v>1646</v>
      </c>
      <c r="E424" s="36" t="s">
        <v>1647</v>
      </c>
      <c r="F424" s="36" t="s">
        <v>1055</v>
      </c>
      <c r="G424" s="36" t="s">
        <v>224</v>
      </c>
      <c r="H424" s="32">
        <v>5.61432155E9</v>
      </c>
      <c r="I424" s="18">
        <f t="shared" si="4"/>
        <v>45936</v>
      </c>
      <c r="J424" s="19" t="s">
        <v>28</v>
      </c>
      <c r="K424" s="19" t="s">
        <v>325</v>
      </c>
      <c r="L424" s="19"/>
    </row>
    <row r="425" ht="22.5" customHeight="1">
      <c r="C425" s="19" t="s">
        <v>1543</v>
      </c>
      <c r="D425" s="19" t="s">
        <v>1648</v>
      </c>
      <c r="E425" s="36" t="s">
        <v>1649</v>
      </c>
      <c r="F425" s="36" t="s">
        <v>1650</v>
      </c>
      <c r="G425" s="36" t="s">
        <v>77</v>
      </c>
      <c r="H425" s="32">
        <v>5.613463734E9</v>
      </c>
      <c r="I425" s="18">
        <f t="shared" si="4"/>
        <v>45936</v>
      </c>
      <c r="J425" s="19" t="s">
        <v>28</v>
      </c>
      <c r="K425" s="19" t="s">
        <v>325</v>
      </c>
      <c r="L425" s="19"/>
    </row>
    <row r="426" ht="22.5" customHeight="1">
      <c r="C426" s="19" t="s">
        <v>1543</v>
      </c>
      <c r="D426" s="19" t="s">
        <v>1651</v>
      </c>
      <c r="E426" s="36" t="s">
        <v>1652</v>
      </c>
      <c r="F426" s="36" t="s">
        <v>1653</v>
      </c>
      <c r="G426" s="36" t="s">
        <v>113</v>
      </c>
      <c r="H426" s="32">
        <v>5.612819334E9</v>
      </c>
      <c r="I426" s="18">
        <f t="shared" si="4"/>
        <v>45936</v>
      </c>
      <c r="J426" s="19" t="s">
        <v>28</v>
      </c>
      <c r="K426" s="19" t="s">
        <v>325</v>
      </c>
      <c r="L426" s="19"/>
    </row>
    <row r="427" ht="22.5" customHeight="1">
      <c r="C427" s="19" t="s">
        <v>1654</v>
      </c>
      <c r="D427" s="39" t="s">
        <v>1655</v>
      </c>
      <c r="E427" s="36" t="s">
        <v>1656</v>
      </c>
      <c r="F427" s="36" t="s">
        <v>1657</v>
      </c>
      <c r="G427" s="36" t="s">
        <v>1658</v>
      </c>
      <c r="H427" s="32">
        <v>4.076834241E9</v>
      </c>
      <c r="I427" s="18">
        <f t="shared" si="4"/>
        <v>45936</v>
      </c>
      <c r="J427" s="19" t="s">
        <v>28</v>
      </c>
      <c r="K427" s="19" t="s">
        <v>325</v>
      </c>
      <c r="L427" s="19"/>
    </row>
    <row r="428" ht="22.5" customHeight="1">
      <c r="C428" s="19" t="s">
        <v>1654</v>
      </c>
      <c r="D428" s="39" t="s">
        <v>1659</v>
      </c>
      <c r="E428" s="36" t="s">
        <v>1660</v>
      </c>
      <c r="F428" s="36" t="s">
        <v>1661</v>
      </c>
      <c r="G428" s="36" t="s">
        <v>301</v>
      </c>
      <c r="H428" s="37" t="s">
        <v>1662</v>
      </c>
      <c r="I428" s="18">
        <f t="shared" si="4"/>
        <v>45936</v>
      </c>
      <c r="J428" s="19" t="s">
        <v>28</v>
      </c>
      <c r="K428" s="19" t="s">
        <v>325</v>
      </c>
      <c r="L428" s="19"/>
    </row>
    <row r="429" ht="22.5" customHeight="1">
      <c r="C429" s="19" t="s">
        <v>1654</v>
      </c>
      <c r="D429" s="39" t="s">
        <v>1663</v>
      </c>
      <c r="E429" s="36" t="s">
        <v>1664</v>
      </c>
      <c r="F429" s="36" t="s">
        <v>1665</v>
      </c>
      <c r="G429" s="36" t="s">
        <v>113</v>
      </c>
      <c r="H429" s="32">
        <v>9.546637878E9</v>
      </c>
      <c r="I429" s="18">
        <f t="shared" si="4"/>
        <v>45936</v>
      </c>
      <c r="J429" s="19" t="s">
        <v>28</v>
      </c>
      <c r="K429" s="19" t="s">
        <v>325</v>
      </c>
      <c r="L429" s="19" t="s">
        <v>148</v>
      </c>
    </row>
    <row r="430" ht="22.5" customHeight="1">
      <c r="C430" s="19" t="s">
        <v>1654</v>
      </c>
      <c r="D430" s="39" t="s">
        <v>1666</v>
      </c>
      <c r="E430" s="36" t="s">
        <v>1667</v>
      </c>
      <c r="F430" s="36" t="s">
        <v>1668</v>
      </c>
      <c r="G430" s="36" t="s">
        <v>1043</v>
      </c>
      <c r="H430" s="32">
        <v>5.616531163E9</v>
      </c>
      <c r="I430" s="18">
        <f t="shared" si="4"/>
        <v>45936</v>
      </c>
      <c r="J430" s="19" t="s">
        <v>28</v>
      </c>
      <c r="K430" s="19" t="s">
        <v>325</v>
      </c>
      <c r="L430" s="19"/>
    </row>
    <row r="431" ht="22.5" customHeight="1">
      <c r="C431" s="19" t="s">
        <v>1654</v>
      </c>
      <c r="D431" s="39" t="s">
        <v>1669</v>
      </c>
      <c r="E431" s="36" t="s">
        <v>1670</v>
      </c>
      <c r="F431" s="36" t="s">
        <v>1671</v>
      </c>
      <c r="G431" s="36" t="s">
        <v>553</v>
      </c>
      <c r="H431" s="32">
        <v>5.613109078E9</v>
      </c>
      <c r="I431" s="18">
        <f t="shared" si="4"/>
        <v>45936</v>
      </c>
      <c r="J431" s="19" t="s">
        <v>28</v>
      </c>
      <c r="K431" s="19" t="s">
        <v>325</v>
      </c>
      <c r="L431" s="19" t="s">
        <v>148</v>
      </c>
    </row>
    <row r="432" ht="22.5" customHeight="1">
      <c r="C432" s="19" t="s">
        <v>1654</v>
      </c>
      <c r="D432" s="39" t="s">
        <v>1672</v>
      </c>
      <c r="E432" s="36" t="s">
        <v>1673</v>
      </c>
      <c r="F432" s="36" t="s">
        <v>1674</v>
      </c>
      <c r="G432" s="36" t="s">
        <v>82</v>
      </c>
      <c r="H432" s="32">
        <v>5.614632339E9</v>
      </c>
      <c r="I432" s="18">
        <f t="shared" si="4"/>
        <v>45936</v>
      </c>
      <c r="J432" s="19" t="s">
        <v>28</v>
      </c>
      <c r="K432" s="19" t="s">
        <v>325</v>
      </c>
      <c r="L432" s="19"/>
    </row>
    <row r="433" ht="22.5" customHeight="1">
      <c r="C433" s="19" t="s">
        <v>1654</v>
      </c>
      <c r="D433" s="39" t="s">
        <v>1675</v>
      </c>
      <c r="E433" s="36" t="s">
        <v>1676</v>
      </c>
      <c r="F433" s="36" t="s">
        <v>1677</v>
      </c>
      <c r="G433" s="36" t="s">
        <v>57</v>
      </c>
      <c r="H433" s="37" t="s">
        <v>1678</v>
      </c>
      <c r="I433" s="18">
        <f t="shared" si="4"/>
        <v>45936</v>
      </c>
      <c r="J433" s="19" t="s">
        <v>28</v>
      </c>
      <c r="K433" s="19" t="s">
        <v>325</v>
      </c>
      <c r="L433" s="19"/>
    </row>
    <row r="434" ht="22.5" customHeight="1">
      <c r="C434" s="19" t="s">
        <v>1654</v>
      </c>
      <c r="D434" s="39" t="s">
        <v>1679</v>
      </c>
      <c r="E434" s="36" t="s">
        <v>1680</v>
      </c>
      <c r="F434" s="36" t="s">
        <v>1681</v>
      </c>
      <c r="G434" s="36" t="s">
        <v>126</v>
      </c>
      <c r="H434" s="37" t="s">
        <v>1682</v>
      </c>
      <c r="I434" s="18">
        <f t="shared" si="4"/>
        <v>45936</v>
      </c>
      <c r="J434" s="19" t="s">
        <v>28</v>
      </c>
      <c r="K434" s="19" t="s">
        <v>325</v>
      </c>
      <c r="L434" s="19"/>
    </row>
    <row r="435" ht="22.5" customHeight="1">
      <c r="C435" s="19" t="s">
        <v>1654</v>
      </c>
      <c r="D435" s="39" t="s">
        <v>1683</v>
      </c>
      <c r="E435" s="36" t="s">
        <v>1684</v>
      </c>
      <c r="F435" s="36" t="s">
        <v>1685</v>
      </c>
      <c r="G435" s="36" t="s">
        <v>77</v>
      </c>
      <c r="H435" s="37" t="s">
        <v>1686</v>
      </c>
      <c r="I435" s="18">
        <f t="shared" si="4"/>
        <v>45936</v>
      </c>
      <c r="J435" s="19" t="s">
        <v>28</v>
      </c>
      <c r="K435" s="19" t="s">
        <v>325</v>
      </c>
      <c r="L435" s="19"/>
    </row>
    <row r="436" ht="22.5" customHeight="1">
      <c r="C436" s="19" t="s">
        <v>1654</v>
      </c>
      <c r="D436" s="39" t="s">
        <v>1687</v>
      </c>
      <c r="E436" s="36" t="s">
        <v>1688</v>
      </c>
      <c r="F436" s="36" t="s">
        <v>1689</v>
      </c>
      <c r="G436" s="36" t="s">
        <v>67</v>
      </c>
      <c r="H436" s="32">
        <v>1.5613850938E10</v>
      </c>
      <c r="I436" s="18">
        <f t="shared" si="4"/>
        <v>45936</v>
      </c>
      <c r="J436" s="19" t="s">
        <v>28</v>
      </c>
      <c r="K436" s="19" t="s">
        <v>325</v>
      </c>
      <c r="L436" s="19"/>
    </row>
    <row r="437" ht="22.5" customHeight="1">
      <c r="C437" s="19" t="s">
        <v>1654</v>
      </c>
      <c r="D437" s="39" t="s">
        <v>1690</v>
      </c>
      <c r="E437" s="36" t="s">
        <v>1691</v>
      </c>
      <c r="F437" s="36" t="s">
        <v>1692</v>
      </c>
      <c r="G437" s="36" t="s">
        <v>26</v>
      </c>
      <c r="H437" s="37" t="s">
        <v>1693</v>
      </c>
      <c r="I437" s="18">
        <f t="shared" si="4"/>
        <v>45936</v>
      </c>
      <c r="J437" s="19" t="s">
        <v>28</v>
      </c>
      <c r="K437" s="19" t="s">
        <v>325</v>
      </c>
      <c r="L437" s="19"/>
    </row>
    <row r="438" ht="22.5" customHeight="1">
      <c r="C438" s="19" t="s">
        <v>1654</v>
      </c>
      <c r="D438" s="39" t="s">
        <v>1694</v>
      </c>
      <c r="E438" s="36" t="s">
        <v>1695</v>
      </c>
      <c r="F438" s="36" t="s">
        <v>1696</v>
      </c>
      <c r="G438" s="36" t="s">
        <v>346</v>
      </c>
      <c r="H438" s="37" t="s">
        <v>1697</v>
      </c>
      <c r="I438" s="18">
        <f t="shared" si="4"/>
        <v>45936</v>
      </c>
      <c r="J438" s="19" t="s">
        <v>28</v>
      </c>
      <c r="K438" s="19" t="s">
        <v>325</v>
      </c>
      <c r="L438" s="19"/>
    </row>
    <row r="439" ht="22.5" customHeight="1">
      <c r="C439" s="19" t="s">
        <v>1654</v>
      </c>
      <c r="D439" s="39" t="s">
        <v>1698</v>
      </c>
      <c r="E439" s="36" t="s">
        <v>1699</v>
      </c>
      <c r="F439" s="36" t="s">
        <v>1700</v>
      </c>
      <c r="G439" s="36" t="s">
        <v>97</v>
      </c>
      <c r="H439" s="35">
        <v>5.613398264E9</v>
      </c>
      <c r="I439" s="18">
        <f t="shared" si="4"/>
        <v>45936</v>
      </c>
      <c r="J439" s="19" t="s">
        <v>28</v>
      </c>
      <c r="K439" s="19" t="s">
        <v>325</v>
      </c>
      <c r="L439" s="19"/>
    </row>
    <row r="440" ht="22.5" customHeight="1">
      <c r="C440" s="19" t="s">
        <v>1701</v>
      </c>
      <c r="D440" s="39" t="s">
        <v>1702</v>
      </c>
      <c r="E440" s="36" t="s">
        <v>1703</v>
      </c>
      <c r="F440" s="36" t="s">
        <v>1704</v>
      </c>
      <c r="G440" s="36" t="s">
        <v>62</v>
      </c>
      <c r="H440" s="35">
        <v>5.615941436E9</v>
      </c>
      <c r="I440" s="18">
        <f t="shared" si="4"/>
        <v>45936</v>
      </c>
      <c r="J440" s="19" t="s">
        <v>28</v>
      </c>
      <c r="K440" s="19" t="s">
        <v>325</v>
      </c>
      <c r="L440" s="40"/>
    </row>
    <row r="441" ht="22.5" customHeight="1">
      <c r="C441" s="19" t="s">
        <v>1701</v>
      </c>
      <c r="D441" s="39" t="s">
        <v>1705</v>
      </c>
      <c r="E441" s="36" t="s">
        <v>1706</v>
      </c>
      <c r="F441" s="36" t="s">
        <v>1707</v>
      </c>
      <c r="G441" s="36" t="s">
        <v>42</v>
      </c>
      <c r="H441" s="41" t="s">
        <v>1708</v>
      </c>
      <c r="I441" s="18">
        <f t="shared" si="4"/>
        <v>45936</v>
      </c>
      <c r="J441" s="19" t="s">
        <v>28</v>
      </c>
      <c r="K441" s="19" t="s">
        <v>325</v>
      </c>
      <c r="L441" s="40"/>
    </row>
    <row r="442" ht="22.5" customHeight="1">
      <c r="C442" s="19" t="s">
        <v>1701</v>
      </c>
      <c r="D442" s="39" t="s">
        <v>1709</v>
      </c>
      <c r="E442" s="36" t="s">
        <v>1710</v>
      </c>
      <c r="F442" s="36" t="s">
        <v>1711</v>
      </c>
      <c r="G442" s="36" t="s">
        <v>67</v>
      </c>
      <c r="H442" s="41" t="s">
        <v>1712</v>
      </c>
      <c r="I442" s="18">
        <f t="shared" si="4"/>
        <v>45936</v>
      </c>
      <c r="J442" s="19" t="s">
        <v>28</v>
      </c>
      <c r="K442" s="19" t="s">
        <v>325</v>
      </c>
      <c r="L442" s="40"/>
    </row>
    <row r="443" ht="22.5" customHeight="1">
      <c r="C443" s="19" t="s">
        <v>1701</v>
      </c>
      <c r="D443" s="39" t="s">
        <v>1713</v>
      </c>
      <c r="E443" s="36" t="s">
        <v>1714</v>
      </c>
      <c r="F443" s="36" t="s">
        <v>274</v>
      </c>
      <c r="G443" s="36" t="s">
        <v>77</v>
      </c>
      <c r="H443" s="41" t="s">
        <v>1715</v>
      </c>
      <c r="I443" s="18">
        <f t="shared" si="4"/>
        <v>45936</v>
      </c>
      <c r="J443" s="19" t="s">
        <v>28</v>
      </c>
      <c r="K443" s="19" t="s">
        <v>325</v>
      </c>
      <c r="L443" s="40"/>
    </row>
    <row r="444" ht="22.5" customHeight="1">
      <c r="C444" s="19" t="s">
        <v>1701</v>
      </c>
      <c r="D444" s="39" t="s">
        <v>1716</v>
      </c>
      <c r="E444" s="36" t="s">
        <v>1717</v>
      </c>
      <c r="F444" s="36" t="s">
        <v>274</v>
      </c>
      <c r="G444" s="36" t="s">
        <v>346</v>
      </c>
      <c r="H444" s="41" t="s">
        <v>1718</v>
      </c>
      <c r="I444" s="18">
        <f t="shared" si="4"/>
        <v>45936</v>
      </c>
      <c r="J444" s="19" t="s">
        <v>28</v>
      </c>
      <c r="K444" s="19" t="s">
        <v>325</v>
      </c>
      <c r="L444" s="40"/>
    </row>
    <row r="445" ht="22.5" customHeight="1">
      <c r="C445" s="19" t="s">
        <v>1701</v>
      </c>
      <c r="D445" s="39" t="s">
        <v>1719</v>
      </c>
      <c r="E445" s="36" t="s">
        <v>1720</v>
      </c>
      <c r="F445" s="36" t="s">
        <v>1721</v>
      </c>
      <c r="G445" s="36" t="s">
        <v>360</v>
      </c>
      <c r="H445" s="35">
        <v>6.159712657E9</v>
      </c>
      <c r="I445" s="18">
        <f t="shared" si="4"/>
        <v>45936</v>
      </c>
      <c r="J445" s="19" t="s">
        <v>28</v>
      </c>
      <c r="K445" s="19" t="s">
        <v>325</v>
      </c>
      <c r="L445" s="40"/>
    </row>
    <row r="446" ht="22.5" customHeight="1">
      <c r="C446" s="19" t="s">
        <v>1701</v>
      </c>
      <c r="D446" s="39" t="s">
        <v>1722</v>
      </c>
      <c r="E446" s="36" t="s">
        <v>1723</v>
      </c>
      <c r="F446" s="36" t="s">
        <v>1055</v>
      </c>
      <c r="G446" s="36" t="s">
        <v>224</v>
      </c>
      <c r="H446" s="35">
        <v>5.617484192E9</v>
      </c>
      <c r="I446" s="18">
        <f t="shared" si="4"/>
        <v>45936</v>
      </c>
      <c r="J446" s="19" t="s">
        <v>28</v>
      </c>
      <c r="K446" s="19" t="s">
        <v>325</v>
      </c>
      <c r="L446" s="40"/>
    </row>
    <row r="447" ht="22.5" customHeight="1">
      <c r="C447" s="19" t="s">
        <v>1701</v>
      </c>
      <c r="D447" s="39" t="s">
        <v>1724</v>
      </c>
      <c r="E447" s="36" t="s">
        <v>1725</v>
      </c>
      <c r="F447" s="36" t="s">
        <v>1726</v>
      </c>
      <c r="G447" s="36" t="s">
        <v>1727</v>
      </c>
      <c r="H447" s="35" t="s">
        <v>1728</v>
      </c>
      <c r="I447" s="18">
        <f t="shared" si="4"/>
        <v>45936</v>
      </c>
      <c r="J447" s="19" t="s">
        <v>28</v>
      </c>
      <c r="K447" s="19" t="s">
        <v>325</v>
      </c>
      <c r="L447" s="40"/>
    </row>
    <row r="448" ht="22.5" customHeight="1">
      <c r="C448" s="19" t="s">
        <v>1701</v>
      </c>
      <c r="D448" s="39" t="s">
        <v>1729</v>
      </c>
      <c r="E448" s="36" t="s">
        <v>1730</v>
      </c>
      <c r="F448" s="36" t="s">
        <v>1731</v>
      </c>
      <c r="G448" s="36" t="s">
        <v>118</v>
      </c>
      <c r="H448" s="35">
        <v>5.61746954E9</v>
      </c>
      <c r="I448" s="18">
        <f t="shared" si="4"/>
        <v>45936</v>
      </c>
      <c r="J448" s="19" t="s">
        <v>28</v>
      </c>
      <c r="K448" s="19" t="s">
        <v>325</v>
      </c>
      <c r="L448" s="40"/>
    </row>
    <row r="449" ht="22.5" customHeight="1">
      <c r="C449" s="19" t="s">
        <v>1701</v>
      </c>
      <c r="D449" s="39" t="s">
        <v>1732</v>
      </c>
      <c r="E449" s="36" t="s">
        <v>1733</v>
      </c>
      <c r="F449" s="36" t="s">
        <v>1734</v>
      </c>
      <c r="G449" s="36" t="s">
        <v>1504</v>
      </c>
      <c r="H449" s="41" t="s">
        <v>1735</v>
      </c>
      <c r="I449" s="18">
        <f t="shared" si="4"/>
        <v>45936</v>
      </c>
      <c r="J449" s="19" t="s">
        <v>28</v>
      </c>
      <c r="K449" s="19" t="s">
        <v>325</v>
      </c>
      <c r="L449" s="40"/>
    </row>
    <row r="450" ht="22.5" customHeight="1">
      <c r="C450" s="19" t="s">
        <v>1701</v>
      </c>
      <c r="D450" s="39" t="s">
        <v>1736</v>
      </c>
      <c r="E450" s="36" t="s">
        <v>1737</v>
      </c>
      <c r="F450" s="36" t="s">
        <v>1738</v>
      </c>
      <c r="G450" s="36" t="s">
        <v>26</v>
      </c>
      <c r="H450" s="41" t="s">
        <v>1739</v>
      </c>
      <c r="I450" s="18">
        <f t="shared" si="4"/>
        <v>45936</v>
      </c>
      <c r="J450" s="19" t="s">
        <v>28</v>
      </c>
      <c r="K450" s="19" t="s">
        <v>325</v>
      </c>
      <c r="L450" s="4" t="s">
        <v>89</v>
      </c>
    </row>
    <row r="451" ht="22.5" customHeight="1">
      <c r="C451" s="19" t="s">
        <v>1701</v>
      </c>
      <c r="D451" s="39" t="s">
        <v>1740</v>
      </c>
      <c r="E451" s="36" t="s">
        <v>1741</v>
      </c>
      <c r="F451" s="36" t="s">
        <v>1742</v>
      </c>
      <c r="G451" s="36" t="s">
        <v>636</v>
      </c>
      <c r="H451" s="35">
        <v>9.546324214E9</v>
      </c>
      <c r="I451" s="18">
        <f t="shared" si="4"/>
        <v>45936</v>
      </c>
      <c r="J451" s="19" t="s">
        <v>28</v>
      </c>
      <c r="K451" s="19" t="s">
        <v>325</v>
      </c>
      <c r="L451" s="40"/>
    </row>
    <row r="452" ht="22.5" customHeight="1">
      <c r="C452" s="19" t="s">
        <v>1701</v>
      </c>
      <c r="D452" s="39" t="s">
        <v>1743</v>
      </c>
      <c r="E452" s="36" t="s">
        <v>1744</v>
      </c>
      <c r="F452" s="36" t="s">
        <v>1745</v>
      </c>
      <c r="G452" s="36" t="s">
        <v>247</v>
      </c>
      <c r="H452" s="35">
        <v>5.614020371E9</v>
      </c>
      <c r="I452" s="18">
        <f t="shared" si="4"/>
        <v>45936</v>
      </c>
      <c r="J452" s="19" t="s">
        <v>28</v>
      </c>
      <c r="K452" s="19" t="s">
        <v>325</v>
      </c>
      <c r="L452" s="40"/>
    </row>
    <row r="453" ht="22.5" customHeight="1">
      <c r="C453" s="19" t="s">
        <v>1701</v>
      </c>
      <c r="D453" s="39" t="s">
        <v>1746</v>
      </c>
      <c r="E453" s="36" t="s">
        <v>1747</v>
      </c>
      <c r="F453" s="36" t="s">
        <v>1748</v>
      </c>
      <c r="G453" s="36" t="s">
        <v>57</v>
      </c>
      <c r="H453" s="41" t="s">
        <v>1749</v>
      </c>
      <c r="I453" s="18">
        <f t="shared" si="4"/>
        <v>45936</v>
      </c>
      <c r="J453" s="19" t="s">
        <v>28</v>
      </c>
      <c r="K453" s="19" t="s">
        <v>325</v>
      </c>
      <c r="L453" s="40"/>
    </row>
    <row r="454" ht="22.5" customHeight="1">
      <c r="C454" s="19" t="s">
        <v>1701</v>
      </c>
      <c r="D454" s="39" t="s">
        <v>1750</v>
      </c>
      <c r="E454" s="36" t="s">
        <v>1751</v>
      </c>
      <c r="F454" s="36" t="s">
        <v>1752</v>
      </c>
      <c r="G454" s="36" t="s">
        <v>126</v>
      </c>
      <c r="H454" s="35">
        <v>4.078838552E9</v>
      </c>
      <c r="I454" s="18">
        <f t="shared" si="4"/>
        <v>45936</v>
      </c>
      <c r="J454" s="19" t="s">
        <v>28</v>
      </c>
      <c r="K454" s="19" t="s">
        <v>325</v>
      </c>
      <c r="L454" s="40"/>
    </row>
    <row r="455" ht="22.5" customHeight="1">
      <c r="C455" s="19" t="s">
        <v>1753</v>
      </c>
      <c r="D455" s="39" t="s">
        <v>1754</v>
      </c>
      <c r="E455" s="36" t="s">
        <v>1755</v>
      </c>
      <c r="F455" s="36" t="s">
        <v>1756</v>
      </c>
      <c r="G455" s="36" t="s">
        <v>82</v>
      </c>
      <c r="H455" s="35">
        <v>7.729714823E9</v>
      </c>
      <c r="I455" s="18">
        <f t="shared" si="4"/>
        <v>45936</v>
      </c>
      <c r="J455" s="19" t="s">
        <v>28</v>
      </c>
      <c r="K455" s="19" t="s">
        <v>325</v>
      </c>
      <c r="L455" s="40"/>
    </row>
    <row r="456" ht="22.5" customHeight="1">
      <c r="C456" s="19" t="s">
        <v>1753</v>
      </c>
      <c r="D456" s="39" t="s">
        <v>1757</v>
      </c>
      <c r="E456" s="36" t="s">
        <v>1758</v>
      </c>
      <c r="F456" s="36" t="s">
        <v>1759</v>
      </c>
      <c r="G456" s="36" t="s">
        <v>622</v>
      </c>
      <c r="H456" s="41" t="s">
        <v>1760</v>
      </c>
      <c r="I456" s="18">
        <f t="shared" si="4"/>
        <v>45936</v>
      </c>
      <c r="J456" s="19" t="s">
        <v>28</v>
      </c>
      <c r="K456" s="19" t="s">
        <v>325</v>
      </c>
      <c r="L456" s="40"/>
    </row>
    <row r="457" ht="22.5" customHeight="1">
      <c r="C457" s="19" t="s">
        <v>1753</v>
      </c>
      <c r="D457" s="39" t="s">
        <v>1761</v>
      </c>
      <c r="E457" s="36" t="s">
        <v>1762</v>
      </c>
      <c r="F457" s="36" t="s">
        <v>1763</v>
      </c>
      <c r="G457" s="36" t="s">
        <v>1764</v>
      </c>
      <c r="H457" s="41" t="s">
        <v>1765</v>
      </c>
      <c r="I457" s="18">
        <f t="shared" si="4"/>
        <v>45936</v>
      </c>
      <c r="J457" s="19" t="s">
        <v>28</v>
      </c>
      <c r="K457" s="19" t="s">
        <v>325</v>
      </c>
      <c r="L457" s="40"/>
    </row>
    <row r="458" ht="22.5" customHeight="1">
      <c r="C458" s="19" t="s">
        <v>1753</v>
      </c>
      <c r="D458" s="39" t="s">
        <v>1766</v>
      </c>
      <c r="E458" s="36" t="s">
        <v>1767</v>
      </c>
      <c r="F458" s="36" t="s">
        <v>1768</v>
      </c>
      <c r="G458" s="36" t="s">
        <v>57</v>
      </c>
      <c r="H458" s="41" t="s">
        <v>1769</v>
      </c>
      <c r="I458" s="18">
        <f t="shared" si="4"/>
        <v>45936</v>
      </c>
      <c r="J458" s="19" t="s">
        <v>28</v>
      </c>
      <c r="K458" s="19" t="s">
        <v>325</v>
      </c>
      <c r="L458" s="40"/>
    </row>
    <row r="459" ht="22.5" customHeight="1">
      <c r="C459" s="19" t="s">
        <v>1753</v>
      </c>
      <c r="D459" s="39" t="s">
        <v>1770</v>
      </c>
      <c r="E459" s="36" t="s">
        <v>1771</v>
      </c>
      <c r="F459" s="36" t="s">
        <v>1772</v>
      </c>
      <c r="G459" s="36" t="s">
        <v>1773</v>
      </c>
      <c r="H459" s="35">
        <v>5.613895187E9</v>
      </c>
      <c r="I459" s="18">
        <f t="shared" si="4"/>
        <v>45936</v>
      </c>
      <c r="J459" s="19" t="s">
        <v>28</v>
      </c>
      <c r="K459" s="19" t="s">
        <v>325</v>
      </c>
      <c r="L459" s="40"/>
    </row>
    <row r="460" ht="22.5" customHeight="1">
      <c r="C460" s="19" t="s">
        <v>1753</v>
      </c>
      <c r="D460" s="39" t="s">
        <v>1774</v>
      </c>
      <c r="E460" s="36" t="s">
        <v>1775</v>
      </c>
      <c r="F460" s="36" t="s">
        <v>1776</v>
      </c>
      <c r="G460" s="36" t="s">
        <v>1777</v>
      </c>
      <c r="H460" s="35">
        <v>5.613714904E9</v>
      </c>
      <c r="I460" s="18">
        <f t="shared" si="4"/>
        <v>45936</v>
      </c>
      <c r="J460" s="19" t="s">
        <v>28</v>
      </c>
      <c r="K460" s="19" t="s">
        <v>325</v>
      </c>
      <c r="L460" s="40"/>
    </row>
    <row r="461" ht="22.5" customHeight="1">
      <c r="C461" s="19" t="s">
        <v>1753</v>
      </c>
      <c r="D461" s="39" t="s">
        <v>1778</v>
      </c>
      <c r="E461" s="36" t="s">
        <v>1779</v>
      </c>
      <c r="F461" s="36" t="s">
        <v>1780</v>
      </c>
      <c r="G461" s="36" t="s">
        <v>1781</v>
      </c>
      <c r="H461" s="35">
        <v>5.6129402048E10</v>
      </c>
      <c r="I461" s="18">
        <f t="shared" si="4"/>
        <v>45936</v>
      </c>
      <c r="J461" s="19" t="s">
        <v>28</v>
      </c>
      <c r="K461" s="19" t="s">
        <v>325</v>
      </c>
      <c r="L461" s="40"/>
    </row>
    <row r="462" ht="22.5" customHeight="1">
      <c r="C462" s="19" t="s">
        <v>1753</v>
      </c>
      <c r="D462" s="39" t="s">
        <v>1782</v>
      </c>
      <c r="E462" s="36" t="s">
        <v>1783</v>
      </c>
      <c r="F462" s="36" t="s">
        <v>1784</v>
      </c>
      <c r="G462" s="36" t="s">
        <v>72</v>
      </c>
      <c r="H462" s="35">
        <v>5.613014043E9</v>
      </c>
      <c r="I462" s="18">
        <f t="shared" si="4"/>
        <v>45936</v>
      </c>
      <c r="J462" s="19" t="s">
        <v>28</v>
      </c>
      <c r="K462" s="19" t="s">
        <v>325</v>
      </c>
      <c r="L462" s="40"/>
    </row>
    <row r="463" ht="22.5" customHeight="1">
      <c r="C463" s="19" t="s">
        <v>1753</v>
      </c>
      <c r="D463" s="39" t="s">
        <v>1785</v>
      </c>
      <c r="E463" s="36" t="s">
        <v>1786</v>
      </c>
      <c r="F463" s="36" t="s">
        <v>1787</v>
      </c>
      <c r="G463" s="36" t="s">
        <v>26</v>
      </c>
      <c r="H463" s="41" t="s">
        <v>1788</v>
      </c>
      <c r="I463" s="18">
        <f t="shared" si="4"/>
        <v>45936</v>
      </c>
      <c r="J463" s="19" t="s">
        <v>28</v>
      </c>
      <c r="K463" s="19" t="s">
        <v>325</v>
      </c>
      <c r="L463" s="40"/>
    </row>
    <row r="464" ht="22.5" customHeight="1">
      <c r="C464" s="19" t="s">
        <v>1753</v>
      </c>
      <c r="D464" s="39" t="s">
        <v>1789</v>
      </c>
      <c r="E464" s="36" t="s">
        <v>1790</v>
      </c>
      <c r="F464" s="36" t="s">
        <v>1791</v>
      </c>
      <c r="G464" s="36" t="s">
        <v>786</v>
      </c>
      <c r="H464" s="35">
        <v>5.618429336E9</v>
      </c>
      <c r="I464" s="18">
        <f t="shared" si="4"/>
        <v>45936</v>
      </c>
      <c r="J464" s="19" t="s">
        <v>28</v>
      </c>
      <c r="K464" s="19" t="s">
        <v>325</v>
      </c>
      <c r="L464" s="40"/>
    </row>
    <row r="465" ht="22.5" customHeight="1">
      <c r="C465" s="19" t="s">
        <v>1753</v>
      </c>
      <c r="D465" s="39" t="s">
        <v>1792</v>
      </c>
      <c r="E465" s="36" t="s">
        <v>1793</v>
      </c>
      <c r="F465" s="36" t="s">
        <v>1794</v>
      </c>
      <c r="G465" s="36" t="s">
        <v>1795</v>
      </c>
      <c r="H465" s="35">
        <v>5.612014459E9</v>
      </c>
      <c r="I465" s="18">
        <f t="shared" si="4"/>
        <v>45936</v>
      </c>
      <c r="J465" s="19" t="s">
        <v>28</v>
      </c>
      <c r="K465" s="19" t="s">
        <v>325</v>
      </c>
      <c r="L465" s="40"/>
    </row>
    <row r="466" ht="22.5" customHeight="1">
      <c r="C466" s="19" t="s">
        <v>1753</v>
      </c>
      <c r="D466" s="39" t="s">
        <v>1796</v>
      </c>
      <c r="E466" s="36" t="s">
        <v>1797</v>
      </c>
      <c r="F466" s="36" t="s">
        <v>1798</v>
      </c>
      <c r="G466" s="36" t="s">
        <v>108</v>
      </c>
      <c r="H466" s="41" t="s">
        <v>1799</v>
      </c>
      <c r="I466" s="18">
        <f t="shared" si="4"/>
        <v>45936</v>
      </c>
      <c r="J466" s="19" t="s">
        <v>28</v>
      </c>
      <c r="K466" s="19" t="s">
        <v>325</v>
      </c>
      <c r="L466" s="40"/>
    </row>
    <row r="467" ht="22.5" customHeight="1">
      <c r="C467" s="19" t="s">
        <v>1753</v>
      </c>
      <c r="D467" s="39" t="s">
        <v>1800</v>
      </c>
      <c r="E467" s="36" t="s">
        <v>1801</v>
      </c>
      <c r="F467" s="36" t="s">
        <v>1802</v>
      </c>
      <c r="G467" s="36" t="s">
        <v>727</v>
      </c>
      <c r="H467" s="35">
        <v>5.61537166E9</v>
      </c>
      <c r="I467" s="18">
        <f t="shared" si="4"/>
        <v>45936</v>
      </c>
      <c r="J467" s="19" t="s">
        <v>28</v>
      </c>
      <c r="K467" s="19" t="s">
        <v>325</v>
      </c>
      <c r="L467" s="40"/>
    </row>
    <row r="468" ht="22.5" customHeight="1">
      <c r="C468" s="19" t="s">
        <v>1753</v>
      </c>
      <c r="D468" s="39" t="s">
        <v>1803</v>
      </c>
      <c r="E468" s="36" t="s">
        <v>1804</v>
      </c>
      <c r="F468" s="36" t="s">
        <v>1805</v>
      </c>
      <c r="G468" s="36" t="s">
        <v>1199</v>
      </c>
      <c r="H468" s="41" t="s">
        <v>1806</v>
      </c>
      <c r="I468" s="18">
        <f t="shared" si="4"/>
        <v>45936</v>
      </c>
      <c r="J468" s="19" t="s">
        <v>28</v>
      </c>
      <c r="K468" s="19" t="s">
        <v>325</v>
      </c>
      <c r="L468" s="40"/>
    </row>
    <row r="469" ht="22.5" customHeight="1">
      <c r="C469" s="19" t="s">
        <v>1753</v>
      </c>
      <c r="D469" s="39" t="s">
        <v>1807</v>
      </c>
      <c r="E469" s="36" t="s">
        <v>1808</v>
      </c>
      <c r="F469" s="36" t="s">
        <v>1809</v>
      </c>
      <c r="G469" s="36" t="s">
        <v>553</v>
      </c>
      <c r="H469" s="35">
        <v>7.72262575E9</v>
      </c>
      <c r="I469" s="18">
        <f t="shared" si="4"/>
        <v>45936</v>
      </c>
      <c r="J469" s="19" t="s">
        <v>28</v>
      </c>
      <c r="K469" s="19" t="s">
        <v>325</v>
      </c>
      <c r="L469" s="40"/>
    </row>
    <row r="470" ht="22.5" customHeight="1">
      <c r="C470" s="19" t="s">
        <v>1753</v>
      </c>
      <c r="D470" s="39" t="s">
        <v>1810</v>
      </c>
      <c r="E470" s="36" t="s">
        <v>1811</v>
      </c>
      <c r="F470" s="36" t="s">
        <v>1812</v>
      </c>
      <c r="G470" s="36" t="s">
        <v>1172</v>
      </c>
      <c r="H470" s="41" t="s">
        <v>1813</v>
      </c>
      <c r="I470" s="18">
        <f t="shared" si="4"/>
        <v>45936</v>
      </c>
      <c r="J470" s="19" t="s">
        <v>28</v>
      </c>
      <c r="K470" s="19" t="s">
        <v>325</v>
      </c>
      <c r="L470" s="40"/>
    </row>
    <row r="471" ht="22.5" customHeight="1">
      <c r="C471" s="19" t="s">
        <v>1753</v>
      </c>
      <c r="D471" s="39" t="s">
        <v>1814</v>
      </c>
      <c r="E471" s="36" t="s">
        <v>1815</v>
      </c>
      <c r="F471" s="36" t="s">
        <v>612</v>
      </c>
      <c r="G471" s="36" t="s">
        <v>412</v>
      </c>
      <c r="H471" s="35">
        <v>5.613138107E9</v>
      </c>
      <c r="I471" s="18">
        <f t="shared" si="4"/>
        <v>45936</v>
      </c>
      <c r="J471" s="19" t="s">
        <v>28</v>
      </c>
      <c r="K471" s="19" t="s">
        <v>325</v>
      </c>
      <c r="L471" s="40"/>
    </row>
    <row r="472" ht="22.5" customHeight="1">
      <c r="C472" s="19" t="s">
        <v>1753</v>
      </c>
      <c r="D472" s="39" t="s">
        <v>1816</v>
      </c>
      <c r="E472" s="36" t="s">
        <v>1817</v>
      </c>
      <c r="F472" s="36" t="s">
        <v>1818</v>
      </c>
      <c r="G472" s="36" t="s">
        <v>1819</v>
      </c>
      <c r="H472" s="35">
        <v>5.612310401E9</v>
      </c>
      <c r="I472" s="18">
        <f t="shared" si="4"/>
        <v>45936</v>
      </c>
      <c r="J472" s="19" t="s">
        <v>28</v>
      </c>
      <c r="K472" s="19" t="s">
        <v>325</v>
      </c>
      <c r="L472" s="40"/>
    </row>
    <row r="473" ht="22.5" customHeight="1">
      <c r="C473" s="19" t="s">
        <v>1753</v>
      </c>
      <c r="D473" s="39" t="s">
        <v>1820</v>
      </c>
      <c r="E473" s="36" t="s">
        <v>1821</v>
      </c>
      <c r="F473" s="36" t="s">
        <v>1822</v>
      </c>
      <c r="G473" s="36" t="s">
        <v>1823</v>
      </c>
      <c r="H473" s="41" t="s">
        <v>1824</v>
      </c>
      <c r="I473" s="18">
        <f t="shared" si="4"/>
        <v>45936</v>
      </c>
      <c r="J473" s="19" t="s">
        <v>28</v>
      </c>
      <c r="K473" s="19" t="s">
        <v>325</v>
      </c>
      <c r="L473" s="40"/>
    </row>
    <row r="474" ht="22.5" customHeight="1">
      <c r="C474" s="19" t="s">
        <v>1753</v>
      </c>
      <c r="D474" s="39" t="s">
        <v>1825</v>
      </c>
      <c r="E474" s="36" t="s">
        <v>1826</v>
      </c>
      <c r="F474" s="36" t="s">
        <v>1827</v>
      </c>
      <c r="G474" s="36" t="s">
        <v>62</v>
      </c>
      <c r="H474" s="41" t="s">
        <v>1828</v>
      </c>
      <c r="I474" s="18">
        <f t="shared" si="4"/>
        <v>45936</v>
      </c>
      <c r="J474" s="19" t="s">
        <v>28</v>
      </c>
      <c r="K474" s="19" t="s">
        <v>325</v>
      </c>
      <c r="L474" s="40"/>
    </row>
    <row r="475" ht="22.5" customHeight="1">
      <c r="C475" s="19" t="s">
        <v>1753</v>
      </c>
      <c r="D475" s="39" t="s">
        <v>1829</v>
      </c>
      <c r="E475" s="36" t="s">
        <v>1830</v>
      </c>
      <c r="F475" s="36" t="s">
        <v>1831</v>
      </c>
      <c r="G475" s="36" t="s">
        <v>1832</v>
      </c>
      <c r="H475" s="42" t="s">
        <v>1096</v>
      </c>
      <c r="I475" s="18">
        <f t="shared" si="4"/>
        <v>45936</v>
      </c>
      <c r="J475" s="19" t="s">
        <v>28</v>
      </c>
      <c r="K475" s="19" t="s">
        <v>325</v>
      </c>
      <c r="L475" s="40"/>
    </row>
    <row r="476" ht="22.5" customHeight="1">
      <c r="C476" s="19" t="s">
        <v>1753</v>
      </c>
      <c r="D476" s="39" t="s">
        <v>1833</v>
      </c>
      <c r="E476" s="36" t="s">
        <v>1834</v>
      </c>
      <c r="F476" s="36" t="s">
        <v>1835</v>
      </c>
      <c r="G476" s="36" t="s">
        <v>781</v>
      </c>
      <c r="H476" s="41" t="s">
        <v>1836</v>
      </c>
      <c r="I476" s="18">
        <f t="shared" si="4"/>
        <v>45936</v>
      </c>
      <c r="J476" s="19" t="s">
        <v>28</v>
      </c>
      <c r="K476" s="19" t="s">
        <v>325</v>
      </c>
      <c r="L476" s="40"/>
    </row>
    <row r="477" ht="22.5" customHeight="1">
      <c r="C477" s="19" t="s">
        <v>1753</v>
      </c>
      <c r="D477" s="39" t="s">
        <v>1837</v>
      </c>
      <c r="E477" s="36" t="s">
        <v>1838</v>
      </c>
      <c r="F477" s="36" t="s">
        <v>1839</v>
      </c>
      <c r="G477" s="36" t="s">
        <v>360</v>
      </c>
      <c r="H477" s="35">
        <v>5.61262197E9</v>
      </c>
      <c r="I477" s="18">
        <f t="shared" si="4"/>
        <v>45936</v>
      </c>
      <c r="J477" s="19" t="s">
        <v>28</v>
      </c>
      <c r="K477" s="19" t="s">
        <v>325</v>
      </c>
      <c r="L477" s="40"/>
    </row>
    <row r="478" ht="22.5" customHeight="1">
      <c r="C478" s="19" t="s">
        <v>1753</v>
      </c>
      <c r="D478" s="39" t="s">
        <v>1840</v>
      </c>
      <c r="E478" s="36" t="s">
        <v>1841</v>
      </c>
      <c r="F478" s="36" t="s">
        <v>1842</v>
      </c>
      <c r="G478" s="36" t="s">
        <v>1843</v>
      </c>
      <c r="H478" s="35">
        <v>8.444564647E9</v>
      </c>
      <c r="I478" s="18">
        <f t="shared" si="4"/>
        <v>45936</v>
      </c>
      <c r="J478" s="19" t="s">
        <v>28</v>
      </c>
      <c r="K478" s="19" t="s">
        <v>325</v>
      </c>
      <c r="L478" s="40"/>
    </row>
    <row r="479" ht="22.5" customHeight="1">
      <c r="C479" s="19" t="s">
        <v>1753</v>
      </c>
      <c r="D479" s="39" t="s">
        <v>1844</v>
      </c>
      <c r="E479" s="36" t="s">
        <v>1845</v>
      </c>
      <c r="F479" s="36" t="s">
        <v>1846</v>
      </c>
      <c r="G479" s="36" t="s">
        <v>786</v>
      </c>
      <c r="H479" s="35">
        <v>5.616290693E9</v>
      </c>
      <c r="I479" s="18">
        <f t="shared" si="4"/>
        <v>45936</v>
      </c>
      <c r="J479" s="19" t="s">
        <v>28</v>
      </c>
      <c r="K479" s="19" t="s">
        <v>325</v>
      </c>
      <c r="L479" s="40"/>
    </row>
    <row r="480" ht="22.5" customHeight="1">
      <c r="C480" s="19" t="s">
        <v>1753</v>
      </c>
      <c r="D480" s="39" t="s">
        <v>1847</v>
      </c>
      <c r="E480" s="36" t="s">
        <v>1848</v>
      </c>
      <c r="F480" s="36" t="s">
        <v>1849</v>
      </c>
      <c r="G480" s="36" t="s">
        <v>659</v>
      </c>
      <c r="H480" s="41" t="s">
        <v>1850</v>
      </c>
      <c r="I480" s="18">
        <f t="shared" si="4"/>
        <v>45936</v>
      </c>
      <c r="J480" s="19" t="s">
        <v>28</v>
      </c>
      <c r="K480" s="19" t="s">
        <v>325</v>
      </c>
      <c r="L480" s="40"/>
    </row>
    <row r="481" ht="22.5" customHeight="1">
      <c r="C481" s="19" t="s">
        <v>1753</v>
      </c>
      <c r="D481" s="39" t="s">
        <v>1851</v>
      </c>
      <c r="E481" s="36" t="s">
        <v>1852</v>
      </c>
      <c r="F481" s="36" t="s">
        <v>1853</v>
      </c>
      <c r="G481" s="36" t="s">
        <v>118</v>
      </c>
      <c r="H481" s="35">
        <v>5.617689174E9</v>
      </c>
      <c r="I481" s="18">
        <f t="shared" si="4"/>
        <v>45936</v>
      </c>
      <c r="J481" s="19" t="s">
        <v>28</v>
      </c>
      <c r="K481" s="19" t="s">
        <v>325</v>
      </c>
      <c r="L481" s="40"/>
    </row>
    <row r="482" ht="22.5" customHeight="1">
      <c r="C482" s="19" t="s">
        <v>1753</v>
      </c>
      <c r="D482" s="39" t="s">
        <v>1854</v>
      </c>
      <c r="E482" s="36" t="s">
        <v>1855</v>
      </c>
      <c r="F482" s="36" t="s">
        <v>1856</v>
      </c>
      <c r="G482" s="36" t="s">
        <v>1010</v>
      </c>
      <c r="H482" s="35">
        <v>5.616939698E9</v>
      </c>
      <c r="I482" s="18">
        <f t="shared" si="4"/>
        <v>45936</v>
      </c>
      <c r="J482" s="19" t="s">
        <v>28</v>
      </c>
      <c r="K482" s="19" t="s">
        <v>325</v>
      </c>
      <c r="L482" s="40"/>
    </row>
    <row r="483" ht="22.5" customHeight="1">
      <c r="C483" s="19" t="s">
        <v>1753</v>
      </c>
      <c r="D483" s="39" t="s">
        <v>1857</v>
      </c>
      <c r="E483" s="36" t="s">
        <v>1858</v>
      </c>
      <c r="F483" s="36" t="s">
        <v>1859</v>
      </c>
      <c r="G483" s="36" t="s">
        <v>617</v>
      </c>
      <c r="H483" s="41" t="s">
        <v>1860</v>
      </c>
      <c r="I483" s="18">
        <f t="shared" si="4"/>
        <v>45936</v>
      </c>
      <c r="J483" s="19" t="s">
        <v>28</v>
      </c>
      <c r="K483" s="19" t="s">
        <v>325</v>
      </c>
      <c r="L483" s="40"/>
    </row>
    <row r="484" ht="22.5" customHeight="1">
      <c r="C484" s="19" t="s">
        <v>1753</v>
      </c>
      <c r="D484" s="39" t="s">
        <v>1861</v>
      </c>
      <c r="E484" s="36" t="s">
        <v>1862</v>
      </c>
      <c r="F484" s="36" t="s">
        <v>1863</v>
      </c>
      <c r="G484" s="36" t="s">
        <v>52</v>
      </c>
      <c r="H484" s="41" t="s">
        <v>1864</v>
      </c>
      <c r="I484" s="18">
        <f t="shared" si="4"/>
        <v>45936</v>
      </c>
      <c r="J484" s="19" t="s">
        <v>28</v>
      </c>
      <c r="K484" s="19" t="s">
        <v>325</v>
      </c>
      <c r="L484" s="40"/>
    </row>
    <row r="485" ht="22.5" customHeight="1">
      <c r="C485" s="19" t="s">
        <v>1753</v>
      </c>
      <c r="D485" s="39" t="s">
        <v>1865</v>
      </c>
      <c r="E485" s="36" t="s">
        <v>1866</v>
      </c>
      <c r="F485" s="36" t="s">
        <v>1867</v>
      </c>
      <c r="G485" s="36" t="s">
        <v>97</v>
      </c>
      <c r="H485" s="41" t="s">
        <v>1868</v>
      </c>
      <c r="I485" s="18">
        <f t="shared" si="4"/>
        <v>45936</v>
      </c>
      <c r="J485" s="19" t="s">
        <v>28</v>
      </c>
      <c r="K485" s="19" t="s">
        <v>325</v>
      </c>
      <c r="L485" s="40"/>
    </row>
    <row r="486" ht="22.5" customHeight="1">
      <c r="C486" s="19" t="s">
        <v>1753</v>
      </c>
      <c r="D486" s="39" t="s">
        <v>1869</v>
      </c>
      <c r="E486" s="36" t="s">
        <v>1870</v>
      </c>
      <c r="F486" s="36" t="s">
        <v>1871</v>
      </c>
      <c r="G486" s="36" t="s">
        <v>346</v>
      </c>
      <c r="H486" s="41" t="s">
        <v>1872</v>
      </c>
      <c r="I486" s="18">
        <f t="shared" si="4"/>
        <v>45936</v>
      </c>
      <c r="J486" s="19" t="s">
        <v>28</v>
      </c>
      <c r="K486" s="19" t="s">
        <v>325</v>
      </c>
      <c r="L486" s="40"/>
    </row>
    <row r="487" ht="22.5" customHeight="1">
      <c r="C487" s="19" t="s">
        <v>1753</v>
      </c>
      <c r="D487" s="39" t="s">
        <v>1873</v>
      </c>
      <c r="E487" s="36" t="s">
        <v>1874</v>
      </c>
      <c r="F487" s="36" t="s">
        <v>1875</v>
      </c>
      <c r="G487" s="36" t="s">
        <v>247</v>
      </c>
      <c r="H487" s="41" t="s">
        <v>1876</v>
      </c>
      <c r="I487" s="18">
        <f t="shared" si="4"/>
        <v>45936</v>
      </c>
      <c r="J487" s="19" t="s">
        <v>28</v>
      </c>
      <c r="K487" s="19" t="s">
        <v>325</v>
      </c>
      <c r="L487" s="40"/>
    </row>
    <row r="488" ht="22.5" customHeight="1">
      <c r="C488" s="19" t="s">
        <v>1753</v>
      </c>
      <c r="D488" s="39" t="s">
        <v>1877</v>
      </c>
      <c r="E488" s="36" t="s">
        <v>1878</v>
      </c>
      <c r="F488" s="36" t="s">
        <v>1310</v>
      </c>
      <c r="G488" s="36" t="s">
        <v>77</v>
      </c>
      <c r="H488" s="35">
        <v>5.616257949E9</v>
      </c>
      <c r="I488" s="18">
        <f t="shared" si="4"/>
        <v>45936</v>
      </c>
      <c r="J488" s="19" t="s">
        <v>28</v>
      </c>
      <c r="K488" s="19" t="s">
        <v>325</v>
      </c>
      <c r="L488" s="40"/>
    </row>
    <row r="489" ht="22.5" customHeight="1">
      <c r="C489" s="19" t="s">
        <v>1753</v>
      </c>
      <c r="D489" s="39" t="s">
        <v>1879</v>
      </c>
      <c r="E489" s="36" t="s">
        <v>1880</v>
      </c>
      <c r="F489" s="36" t="s">
        <v>1881</v>
      </c>
      <c r="G489" s="36" t="s">
        <v>32</v>
      </c>
      <c r="H489" s="35">
        <v>5.618421304E9</v>
      </c>
      <c r="I489" s="18">
        <f t="shared" si="4"/>
        <v>45936</v>
      </c>
      <c r="J489" s="19" t="s">
        <v>28</v>
      </c>
      <c r="K489" s="19" t="s">
        <v>325</v>
      </c>
      <c r="L489" s="40"/>
    </row>
    <row r="490" ht="22.5" customHeight="1">
      <c r="C490" s="19" t="s">
        <v>1753</v>
      </c>
      <c r="D490" s="39" t="s">
        <v>1882</v>
      </c>
      <c r="E490" s="36" t="s">
        <v>1883</v>
      </c>
      <c r="F490" s="36" t="s">
        <v>1884</v>
      </c>
      <c r="G490" s="36" t="s">
        <v>617</v>
      </c>
      <c r="H490" s="35">
        <v>5.613190278E9</v>
      </c>
      <c r="I490" s="18">
        <f t="shared" si="4"/>
        <v>45936</v>
      </c>
      <c r="J490" s="19" t="s">
        <v>28</v>
      </c>
      <c r="K490" s="19" t="s">
        <v>325</v>
      </c>
      <c r="L490" s="40"/>
    </row>
    <row r="491" ht="22.5" customHeight="1">
      <c r="C491" s="19" t="s">
        <v>1753</v>
      </c>
      <c r="D491" s="39" t="s">
        <v>1885</v>
      </c>
      <c r="E491" s="36" t="s">
        <v>1886</v>
      </c>
      <c r="F491" s="36" t="s">
        <v>1887</v>
      </c>
      <c r="G491" s="36" t="s">
        <v>136</v>
      </c>
      <c r="H491" s="41" t="s">
        <v>1888</v>
      </c>
      <c r="I491" s="18">
        <f t="shared" si="4"/>
        <v>45936</v>
      </c>
      <c r="J491" s="19" t="s">
        <v>28</v>
      </c>
      <c r="K491" s="19" t="s">
        <v>325</v>
      </c>
      <c r="L491" s="4" t="s">
        <v>148</v>
      </c>
    </row>
    <row r="492" ht="22.5" customHeight="1">
      <c r="C492" s="19" t="s">
        <v>1753</v>
      </c>
      <c r="D492" s="39" t="s">
        <v>1889</v>
      </c>
      <c r="E492" s="36" t="s">
        <v>1890</v>
      </c>
      <c r="F492" s="36" t="s">
        <v>1891</v>
      </c>
      <c r="G492" s="36" t="s">
        <v>786</v>
      </c>
      <c r="H492" s="35">
        <v>5.614895189E9</v>
      </c>
      <c r="I492" s="18">
        <f t="shared" si="4"/>
        <v>45936</v>
      </c>
      <c r="J492" s="19" t="s">
        <v>28</v>
      </c>
      <c r="K492" s="19" t="s">
        <v>325</v>
      </c>
      <c r="L492" s="40"/>
    </row>
    <row r="493" ht="22.5" customHeight="1">
      <c r="C493" s="19" t="s">
        <v>1753</v>
      </c>
      <c r="D493" s="39" t="s">
        <v>1892</v>
      </c>
      <c r="E493" s="36" t="s">
        <v>1893</v>
      </c>
      <c r="F493" s="36" t="s">
        <v>1894</v>
      </c>
      <c r="G493" s="36" t="s">
        <v>47</v>
      </c>
      <c r="H493" s="41" t="s">
        <v>1895</v>
      </c>
      <c r="I493" s="18">
        <f t="shared" si="4"/>
        <v>45936</v>
      </c>
      <c r="J493" s="19" t="s">
        <v>28</v>
      </c>
      <c r="K493" s="19" t="s">
        <v>325</v>
      </c>
      <c r="L493" s="40"/>
    </row>
    <row r="494" ht="22.5" customHeight="1">
      <c r="C494" s="19" t="s">
        <v>1753</v>
      </c>
      <c r="D494" s="39" t="s">
        <v>1896</v>
      </c>
      <c r="E494" s="36" t="s">
        <v>1897</v>
      </c>
      <c r="F494" s="36" t="s">
        <v>1898</v>
      </c>
      <c r="G494" s="36" t="s">
        <v>886</v>
      </c>
      <c r="H494" s="41" t="s">
        <v>1899</v>
      </c>
      <c r="I494" s="18">
        <f t="shared" si="4"/>
        <v>45936</v>
      </c>
      <c r="J494" s="19" t="s">
        <v>28</v>
      </c>
      <c r="K494" s="19" t="s">
        <v>325</v>
      </c>
      <c r="L494" s="40"/>
    </row>
    <row r="495" ht="22.5" customHeight="1">
      <c r="C495" s="19" t="s">
        <v>1753</v>
      </c>
      <c r="D495" s="39" t="s">
        <v>1900</v>
      </c>
      <c r="E495" s="36" t="s">
        <v>1901</v>
      </c>
      <c r="F495" s="36" t="s">
        <v>1902</v>
      </c>
      <c r="G495" s="36" t="s">
        <v>42</v>
      </c>
      <c r="H495" s="35">
        <v>5.618011626E9</v>
      </c>
      <c r="I495" s="18">
        <f t="shared" si="4"/>
        <v>45936</v>
      </c>
      <c r="J495" s="19" t="s">
        <v>28</v>
      </c>
      <c r="K495" s="19" t="s">
        <v>325</v>
      </c>
      <c r="L495" s="40"/>
    </row>
    <row r="496" ht="22.5" customHeight="1">
      <c r="C496" s="19" t="s">
        <v>1753</v>
      </c>
      <c r="D496" s="39" t="s">
        <v>1903</v>
      </c>
      <c r="E496" s="36" t="s">
        <v>1904</v>
      </c>
      <c r="F496" s="36" t="s">
        <v>1905</v>
      </c>
      <c r="G496" s="36" t="s">
        <v>142</v>
      </c>
      <c r="H496" s="41" t="s">
        <v>1906</v>
      </c>
      <c r="I496" s="18">
        <f t="shared" si="4"/>
        <v>45936</v>
      </c>
      <c r="J496" s="19" t="s">
        <v>28</v>
      </c>
      <c r="K496" s="19" t="s">
        <v>325</v>
      </c>
      <c r="L496" s="40"/>
    </row>
    <row r="497" ht="22.5" customHeight="1">
      <c r="C497" s="19" t="s">
        <v>1753</v>
      </c>
      <c r="D497" s="39" t="s">
        <v>1907</v>
      </c>
      <c r="E497" s="36" t="s">
        <v>1908</v>
      </c>
      <c r="F497" s="36" t="s">
        <v>1909</v>
      </c>
      <c r="G497" s="36" t="s">
        <v>377</v>
      </c>
      <c r="H497" s="41" t="s">
        <v>1910</v>
      </c>
      <c r="I497" s="18">
        <f t="shared" si="4"/>
        <v>45936</v>
      </c>
      <c r="J497" s="19" t="s">
        <v>28</v>
      </c>
      <c r="K497" s="19" t="s">
        <v>325</v>
      </c>
      <c r="L497" s="40"/>
    </row>
    <row r="498" ht="22.5" customHeight="1">
      <c r="C498" s="19" t="s">
        <v>1753</v>
      </c>
      <c r="D498" s="39" t="s">
        <v>1911</v>
      </c>
      <c r="E498" s="36" t="s">
        <v>1912</v>
      </c>
      <c r="F498" s="36" t="s">
        <v>1913</v>
      </c>
      <c r="G498" s="36" t="s">
        <v>680</v>
      </c>
      <c r="H498" s="41" t="s">
        <v>1914</v>
      </c>
      <c r="I498" s="18">
        <f t="shared" si="4"/>
        <v>45936</v>
      </c>
      <c r="J498" s="19" t="s">
        <v>28</v>
      </c>
      <c r="K498" s="19" t="s">
        <v>325</v>
      </c>
      <c r="L498" s="40"/>
    </row>
    <row r="499" ht="22.5" customHeight="1">
      <c r="C499" s="19" t="s">
        <v>1753</v>
      </c>
      <c r="D499" s="39" t="s">
        <v>1915</v>
      </c>
      <c r="E499" s="36" t="s">
        <v>1916</v>
      </c>
      <c r="F499" s="36" t="s">
        <v>1917</v>
      </c>
      <c r="G499" s="36" t="s">
        <v>717</v>
      </c>
      <c r="H499" s="35">
        <v>5.617074994E9</v>
      </c>
      <c r="I499" s="18">
        <f t="shared" si="4"/>
        <v>45936</v>
      </c>
      <c r="J499" s="19" t="s">
        <v>28</v>
      </c>
      <c r="K499" s="19" t="s">
        <v>325</v>
      </c>
      <c r="L499" s="40"/>
    </row>
    <row r="500" ht="22.5" customHeight="1">
      <c r="C500" s="19" t="s">
        <v>1753</v>
      </c>
      <c r="D500" s="39" t="s">
        <v>1918</v>
      </c>
      <c r="E500" s="36" t="s">
        <v>1919</v>
      </c>
      <c r="F500" s="36" t="s">
        <v>1920</v>
      </c>
      <c r="G500" s="36" t="s">
        <v>131</v>
      </c>
      <c r="H500" s="41" t="s">
        <v>1921</v>
      </c>
      <c r="I500" s="18">
        <f t="shared" si="4"/>
        <v>45936</v>
      </c>
      <c r="J500" s="19" t="s">
        <v>28</v>
      </c>
      <c r="K500" s="19" t="s">
        <v>325</v>
      </c>
      <c r="L500" s="40"/>
    </row>
    <row r="501" ht="22.5" customHeight="1">
      <c r="C501" s="19" t="s">
        <v>1753</v>
      </c>
      <c r="D501" s="39" t="s">
        <v>1922</v>
      </c>
      <c r="E501" s="36" t="s">
        <v>1923</v>
      </c>
      <c r="F501" s="36" t="s">
        <v>1924</v>
      </c>
      <c r="G501" s="36" t="s">
        <v>1060</v>
      </c>
      <c r="H501" s="35">
        <v>9.162239551E9</v>
      </c>
      <c r="I501" s="18">
        <f t="shared" si="4"/>
        <v>45936</v>
      </c>
      <c r="J501" s="19" t="s">
        <v>28</v>
      </c>
      <c r="K501" s="19" t="s">
        <v>325</v>
      </c>
      <c r="L501" s="40"/>
    </row>
    <row r="502" ht="22.5" customHeight="1">
      <c r="C502" s="19" t="s">
        <v>1753</v>
      </c>
      <c r="D502" s="39" t="s">
        <v>1925</v>
      </c>
      <c r="E502" s="36" t="s">
        <v>1926</v>
      </c>
      <c r="F502" s="36" t="s">
        <v>1927</v>
      </c>
      <c r="G502" s="36" t="s">
        <v>126</v>
      </c>
      <c r="H502" s="35">
        <v>5.612625626E9</v>
      </c>
      <c r="I502" s="18">
        <f t="shared" si="4"/>
        <v>45936</v>
      </c>
      <c r="J502" s="19" t="s">
        <v>28</v>
      </c>
      <c r="K502" s="19" t="s">
        <v>325</v>
      </c>
      <c r="L502" s="40"/>
    </row>
    <row r="503" ht="22.5" customHeight="1">
      <c r="C503" s="19" t="s">
        <v>1753</v>
      </c>
      <c r="D503" s="39" t="s">
        <v>1928</v>
      </c>
      <c r="E503" s="36" t="s">
        <v>1929</v>
      </c>
      <c r="F503" s="36" t="s">
        <v>1930</v>
      </c>
      <c r="G503" s="36" t="s">
        <v>170</v>
      </c>
      <c r="H503" s="41" t="s">
        <v>1931</v>
      </c>
      <c r="I503" s="18">
        <f t="shared" si="4"/>
        <v>45936</v>
      </c>
      <c r="J503" s="19" t="s">
        <v>28</v>
      </c>
      <c r="K503" s="19" t="s">
        <v>325</v>
      </c>
      <c r="L503" s="40"/>
    </row>
    <row r="504" ht="22.5" customHeight="1">
      <c r="C504" s="19" t="s">
        <v>1753</v>
      </c>
      <c r="D504" s="39" t="s">
        <v>1932</v>
      </c>
      <c r="E504" s="36" t="s">
        <v>1933</v>
      </c>
      <c r="F504" s="36" t="s">
        <v>1934</v>
      </c>
      <c r="G504" s="36" t="s">
        <v>1481</v>
      </c>
      <c r="H504" s="35">
        <v>8.603778359E9</v>
      </c>
      <c r="I504" s="18">
        <f t="shared" si="4"/>
        <v>45936</v>
      </c>
      <c r="J504" s="19" t="s">
        <v>28</v>
      </c>
      <c r="K504" s="19" t="s">
        <v>325</v>
      </c>
      <c r="L504" s="40"/>
    </row>
    <row r="505" ht="22.5" customHeight="1">
      <c r="C505" s="19" t="s">
        <v>1935</v>
      </c>
      <c r="D505" s="39" t="s">
        <v>1936</v>
      </c>
      <c r="E505" s="36" t="s">
        <v>1937</v>
      </c>
      <c r="F505" s="36" t="s">
        <v>1609</v>
      </c>
      <c r="G505" s="36" t="s">
        <v>126</v>
      </c>
      <c r="H505" s="35">
        <v>5.618919119E9</v>
      </c>
      <c r="I505" s="18">
        <f t="shared" si="4"/>
        <v>45936</v>
      </c>
      <c r="J505" s="19" t="s">
        <v>28</v>
      </c>
      <c r="K505" s="19" t="s">
        <v>325</v>
      </c>
      <c r="L505" s="40"/>
    </row>
    <row r="506" ht="22.5" customHeight="1">
      <c r="C506" s="19" t="s">
        <v>1935</v>
      </c>
      <c r="D506" s="39" t="s">
        <v>1938</v>
      </c>
      <c r="E506" s="36" t="s">
        <v>1939</v>
      </c>
      <c r="F506" s="36" t="s">
        <v>1940</v>
      </c>
      <c r="G506" s="36" t="s">
        <v>52</v>
      </c>
      <c r="H506" s="41" t="s">
        <v>1941</v>
      </c>
      <c r="I506" s="18">
        <f t="shared" si="4"/>
        <v>45936</v>
      </c>
      <c r="J506" s="19" t="s">
        <v>28</v>
      </c>
      <c r="K506" s="19" t="s">
        <v>325</v>
      </c>
      <c r="L506" s="40"/>
    </row>
    <row r="507" ht="22.5" customHeight="1">
      <c r="C507" s="19" t="s">
        <v>1935</v>
      </c>
      <c r="D507" s="39" t="s">
        <v>1942</v>
      </c>
      <c r="E507" s="36" t="s">
        <v>1943</v>
      </c>
      <c r="F507" s="36" t="s">
        <v>1944</v>
      </c>
      <c r="G507" s="36" t="s">
        <v>1945</v>
      </c>
      <c r="H507" s="41" t="s">
        <v>1946</v>
      </c>
      <c r="I507" s="18">
        <f t="shared" si="4"/>
        <v>45936</v>
      </c>
      <c r="J507" s="19" t="s">
        <v>28</v>
      </c>
      <c r="K507" s="19" t="s">
        <v>325</v>
      </c>
      <c r="L507" s="40"/>
    </row>
    <row r="508" ht="22.5" customHeight="1">
      <c r="C508" s="19" t="s">
        <v>1935</v>
      </c>
      <c r="D508" s="39" t="s">
        <v>1947</v>
      </c>
      <c r="E508" s="36" t="s">
        <v>1948</v>
      </c>
      <c r="F508" s="36" t="s">
        <v>1949</v>
      </c>
      <c r="G508" s="36" t="s">
        <v>26</v>
      </c>
      <c r="H508" s="41" t="s">
        <v>1950</v>
      </c>
      <c r="I508" s="18">
        <f t="shared" si="4"/>
        <v>45936</v>
      </c>
      <c r="J508" s="19" t="s">
        <v>28</v>
      </c>
      <c r="K508" s="19" t="s">
        <v>325</v>
      </c>
      <c r="L508" s="40"/>
    </row>
    <row r="509" ht="22.5" customHeight="1">
      <c r="C509" s="19" t="s">
        <v>1935</v>
      </c>
      <c r="D509" s="39" t="s">
        <v>1951</v>
      </c>
      <c r="E509" s="36" t="s">
        <v>1952</v>
      </c>
      <c r="F509" s="36" t="s">
        <v>1953</v>
      </c>
      <c r="G509" s="36" t="s">
        <v>57</v>
      </c>
      <c r="H509" s="41" t="s">
        <v>1954</v>
      </c>
      <c r="I509" s="18">
        <f t="shared" si="4"/>
        <v>45936</v>
      </c>
      <c r="J509" s="19" t="s">
        <v>28</v>
      </c>
      <c r="K509" s="19" t="s">
        <v>325</v>
      </c>
      <c r="L509" s="40"/>
    </row>
    <row r="510" ht="22.5" customHeight="1">
      <c r="C510" s="19" t="s">
        <v>1935</v>
      </c>
      <c r="D510" s="39" t="s">
        <v>1955</v>
      </c>
      <c r="E510" s="36" t="s">
        <v>1956</v>
      </c>
      <c r="F510" s="36" t="s">
        <v>274</v>
      </c>
      <c r="G510" s="36" t="s">
        <v>77</v>
      </c>
      <c r="H510" s="41" t="s">
        <v>1957</v>
      </c>
      <c r="I510" s="18">
        <f t="shared" si="4"/>
        <v>45936</v>
      </c>
      <c r="J510" s="19" t="s">
        <v>28</v>
      </c>
      <c r="K510" s="19" t="s">
        <v>325</v>
      </c>
      <c r="L510" s="40"/>
    </row>
    <row r="511" ht="22.5" customHeight="1">
      <c r="C511" s="19" t="s">
        <v>1935</v>
      </c>
      <c r="D511" s="39" t="s">
        <v>1958</v>
      </c>
      <c r="E511" s="36" t="s">
        <v>1959</v>
      </c>
      <c r="F511" s="36" t="s">
        <v>1960</v>
      </c>
      <c r="G511" s="36" t="s">
        <v>67</v>
      </c>
      <c r="H511" s="35">
        <v>5.619517005E9</v>
      </c>
      <c r="I511" s="18">
        <f t="shared" si="4"/>
        <v>45936</v>
      </c>
      <c r="J511" s="19" t="s">
        <v>28</v>
      </c>
      <c r="K511" s="19" t="s">
        <v>325</v>
      </c>
      <c r="L511" s="40"/>
    </row>
    <row r="512" ht="22.5" customHeight="1">
      <c r="C512" s="19" t="s">
        <v>1935</v>
      </c>
      <c r="D512" s="39" t="s">
        <v>1961</v>
      </c>
      <c r="E512" s="36" t="s">
        <v>1962</v>
      </c>
      <c r="F512" s="36" t="s">
        <v>1963</v>
      </c>
      <c r="G512" s="36" t="s">
        <v>346</v>
      </c>
      <c r="H512" s="41" t="s">
        <v>1964</v>
      </c>
      <c r="I512" s="18">
        <f t="shared" si="4"/>
        <v>45936</v>
      </c>
      <c r="J512" s="19" t="s">
        <v>28</v>
      </c>
      <c r="K512" s="19" t="s">
        <v>325</v>
      </c>
      <c r="L512" s="40"/>
    </row>
    <row r="513" ht="22.5" customHeight="1">
      <c r="C513" s="19" t="s">
        <v>1935</v>
      </c>
      <c r="D513" s="39" t="s">
        <v>1965</v>
      </c>
      <c r="E513" s="36" t="s">
        <v>1966</v>
      </c>
      <c r="F513" s="36" t="s">
        <v>1967</v>
      </c>
      <c r="G513" s="36" t="s">
        <v>387</v>
      </c>
      <c r="H513" s="41" t="s">
        <v>1968</v>
      </c>
      <c r="I513" s="18">
        <f t="shared" si="4"/>
        <v>45936</v>
      </c>
      <c r="J513" s="19" t="s">
        <v>28</v>
      </c>
      <c r="K513" s="19" t="s">
        <v>325</v>
      </c>
      <c r="L513" s="40"/>
    </row>
    <row r="514" ht="22.5" customHeight="1">
      <c r="C514" s="19" t="s">
        <v>1935</v>
      </c>
      <c r="D514" s="39" t="s">
        <v>1969</v>
      </c>
      <c r="E514" s="36" t="s">
        <v>1970</v>
      </c>
      <c r="F514" s="36" t="s">
        <v>1971</v>
      </c>
      <c r="G514" s="36" t="s">
        <v>152</v>
      </c>
      <c r="H514" s="41" t="s">
        <v>1972</v>
      </c>
      <c r="I514" s="18">
        <f t="shared" si="4"/>
        <v>45936</v>
      </c>
      <c r="J514" s="19" t="s">
        <v>28</v>
      </c>
      <c r="K514" s="19" t="s">
        <v>325</v>
      </c>
      <c r="L514" s="40"/>
    </row>
    <row r="515" ht="22.5" customHeight="1">
      <c r="C515" s="19" t="s">
        <v>1935</v>
      </c>
      <c r="D515" s="39" t="s">
        <v>1973</v>
      </c>
      <c r="E515" s="36" t="s">
        <v>1974</v>
      </c>
      <c r="F515" s="36" t="s">
        <v>1975</v>
      </c>
      <c r="G515" s="36" t="s">
        <v>1976</v>
      </c>
      <c r="H515" s="35">
        <v>5.6124892E9</v>
      </c>
      <c r="I515" s="18">
        <f t="shared" si="4"/>
        <v>45936</v>
      </c>
      <c r="J515" s="19" t="s">
        <v>28</v>
      </c>
      <c r="K515" s="19" t="s">
        <v>325</v>
      </c>
      <c r="L515" s="40"/>
    </row>
    <row r="516" ht="22.5" customHeight="1">
      <c r="C516" s="19" t="s">
        <v>1935</v>
      </c>
      <c r="D516" s="39" t="s">
        <v>1977</v>
      </c>
      <c r="E516" s="36" t="s">
        <v>1978</v>
      </c>
      <c r="F516" s="36" t="s">
        <v>1979</v>
      </c>
      <c r="G516" s="36" t="s">
        <v>118</v>
      </c>
      <c r="H516" s="35">
        <v>7.864653614E9</v>
      </c>
      <c r="I516" s="18">
        <f t="shared" si="4"/>
        <v>45936</v>
      </c>
      <c r="J516" s="19" t="s">
        <v>28</v>
      </c>
      <c r="K516" s="19" t="s">
        <v>325</v>
      </c>
      <c r="L516" s="40"/>
    </row>
    <row r="517" ht="22.5" customHeight="1">
      <c r="C517" s="19" t="s">
        <v>1935</v>
      </c>
      <c r="D517" s="39" t="s">
        <v>1980</v>
      </c>
      <c r="E517" s="36" t="s">
        <v>1981</v>
      </c>
      <c r="F517" s="36" t="s">
        <v>1982</v>
      </c>
      <c r="G517" s="36" t="s">
        <v>62</v>
      </c>
      <c r="H517" s="41" t="s">
        <v>1983</v>
      </c>
      <c r="I517" s="18">
        <f t="shared" si="4"/>
        <v>45936</v>
      </c>
      <c r="J517" s="19" t="s">
        <v>28</v>
      </c>
      <c r="K517" s="19" t="s">
        <v>325</v>
      </c>
      <c r="L517" s="40"/>
    </row>
    <row r="518" ht="22.5" customHeight="1">
      <c r="C518" s="19" t="s">
        <v>1984</v>
      </c>
      <c r="D518" s="39" t="s">
        <v>1985</v>
      </c>
      <c r="E518" s="36" t="s">
        <v>1986</v>
      </c>
      <c r="F518" s="36" t="s">
        <v>1987</v>
      </c>
      <c r="G518" s="36" t="s">
        <v>636</v>
      </c>
      <c r="H518" s="35">
        <v>5.616357515E9</v>
      </c>
      <c r="I518" s="18">
        <f t="shared" si="4"/>
        <v>45936</v>
      </c>
      <c r="J518" s="19" t="s">
        <v>28</v>
      </c>
      <c r="K518" s="19" t="s">
        <v>325</v>
      </c>
      <c r="L518" s="40"/>
    </row>
    <row r="519" ht="22.5" customHeight="1">
      <c r="C519" s="19" t="s">
        <v>1984</v>
      </c>
      <c r="D519" s="39" t="s">
        <v>1985</v>
      </c>
      <c r="E519" s="36" t="s">
        <v>1988</v>
      </c>
      <c r="F519" s="36" t="s">
        <v>1989</v>
      </c>
      <c r="G519" s="36" t="s">
        <v>126</v>
      </c>
      <c r="H519" s="35">
        <v>5.753234409E9</v>
      </c>
      <c r="I519" s="18">
        <f t="shared" si="4"/>
        <v>45936</v>
      </c>
      <c r="J519" s="19" t="s">
        <v>28</v>
      </c>
      <c r="K519" s="19" t="s">
        <v>325</v>
      </c>
      <c r="L519" s="40"/>
    </row>
    <row r="520" ht="22.5" customHeight="1">
      <c r="C520" s="19" t="s">
        <v>1984</v>
      </c>
      <c r="D520" s="39" t="s">
        <v>1985</v>
      </c>
      <c r="E520" s="36" t="s">
        <v>1990</v>
      </c>
      <c r="F520" s="36" t="s">
        <v>1991</v>
      </c>
      <c r="G520" s="36" t="s">
        <v>67</v>
      </c>
      <c r="H520" s="35">
        <v>5.613714295E9</v>
      </c>
      <c r="I520" s="18">
        <f t="shared" si="4"/>
        <v>45936</v>
      </c>
      <c r="J520" s="19" t="s">
        <v>28</v>
      </c>
      <c r="K520" s="19" t="s">
        <v>325</v>
      </c>
      <c r="L520" s="40"/>
    </row>
    <row r="521" ht="22.5" customHeight="1">
      <c r="C521" s="19" t="s">
        <v>1984</v>
      </c>
      <c r="D521" s="39" t="s">
        <v>1985</v>
      </c>
      <c r="E521" s="36" t="s">
        <v>1992</v>
      </c>
      <c r="F521" s="36" t="s">
        <v>1993</v>
      </c>
      <c r="G521" s="36" t="s">
        <v>113</v>
      </c>
      <c r="H521" s="35">
        <v>5.612547687E9</v>
      </c>
      <c r="I521" s="18">
        <f t="shared" si="4"/>
        <v>45936</v>
      </c>
      <c r="J521" s="19" t="s">
        <v>28</v>
      </c>
      <c r="K521" s="19" t="s">
        <v>325</v>
      </c>
      <c r="L521" s="40"/>
    </row>
    <row r="522" ht="22.5" customHeight="1">
      <c r="C522" s="19" t="s">
        <v>1984</v>
      </c>
      <c r="D522" s="39" t="s">
        <v>1985</v>
      </c>
      <c r="E522" s="36" t="s">
        <v>1994</v>
      </c>
      <c r="F522" s="36" t="s">
        <v>1995</v>
      </c>
      <c r="G522" s="36" t="s">
        <v>103</v>
      </c>
      <c r="H522" s="35">
        <v>5.612674865E9</v>
      </c>
      <c r="I522" s="18">
        <f t="shared" si="4"/>
        <v>45936</v>
      </c>
      <c r="J522" s="19" t="s">
        <v>28</v>
      </c>
      <c r="K522" s="19" t="s">
        <v>325</v>
      </c>
      <c r="L522" s="40"/>
    </row>
    <row r="523" ht="22.5" customHeight="1">
      <c r="C523" s="19" t="s">
        <v>1984</v>
      </c>
      <c r="D523" s="39" t="s">
        <v>1985</v>
      </c>
      <c r="E523" s="36" t="s">
        <v>1996</v>
      </c>
      <c r="F523" s="36" t="s">
        <v>1997</v>
      </c>
      <c r="G523" s="36" t="s">
        <v>717</v>
      </c>
      <c r="H523" s="35">
        <v>5.614255489E9</v>
      </c>
      <c r="I523" s="18">
        <f t="shared" si="4"/>
        <v>45936</v>
      </c>
      <c r="J523" s="19" t="s">
        <v>28</v>
      </c>
      <c r="K523" s="19" t="s">
        <v>325</v>
      </c>
      <c r="L523" s="40"/>
    </row>
    <row r="524" ht="22.5" customHeight="1">
      <c r="C524" s="19" t="s">
        <v>1984</v>
      </c>
      <c r="D524" s="39" t="s">
        <v>1985</v>
      </c>
      <c r="E524" s="36" t="s">
        <v>1998</v>
      </c>
      <c r="F524" s="36" t="s">
        <v>1999</v>
      </c>
      <c r="G524" s="36" t="s">
        <v>2000</v>
      </c>
      <c r="H524" s="35">
        <v>3.053990593E9</v>
      </c>
      <c r="I524" s="18">
        <f t="shared" si="4"/>
        <v>45936</v>
      </c>
      <c r="J524" s="19" t="s">
        <v>28</v>
      </c>
      <c r="K524" s="19" t="s">
        <v>325</v>
      </c>
      <c r="L524" s="40"/>
    </row>
    <row r="525" ht="22.5" customHeight="1">
      <c r="C525" s="19" t="s">
        <v>1984</v>
      </c>
      <c r="D525" s="39" t="s">
        <v>1985</v>
      </c>
      <c r="E525" s="36" t="s">
        <v>2001</v>
      </c>
      <c r="F525" s="36" t="s">
        <v>2002</v>
      </c>
      <c r="G525" s="36" t="s">
        <v>108</v>
      </c>
      <c r="H525" s="41" t="s">
        <v>2003</v>
      </c>
      <c r="I525" s="18">
        <f t="shared" si="4"/>
        <v>45936</v>
      </c>
      <c r="J525" s="19" t="s">
        <v>28</v>
      </c>
      <c r="K525" s="19" t="s">
        <v>325</v>
      </c>
      <c r="L525" s="40"/>
    </row>
    <row r="526" ht="22.5" customHeight="1">
      <c r="C526" s="19" t="s">
        <v>1984</v>
      </c>
      <c r="D526" s="39" t="s">
        <v>1985</v>
      </c>
      <c r="E526" s="36" t="s">
        <v>2004</v>
      </c>
      <c r="F526" s="36" t="s">
        <v>2005</v>
      </c>
      <c r="G526" s="36" t="s">
        <v>781</v>
      </c>
      <c r="H526" s="41" t="s">
        <v>2006</v>
      </c>
      <c r="I526" s="18">
        <f t="shared" si="4"/>
        <v>45936</v>
      </c>
      <c r="J526" s="19" t="s">
        <v>28</v>
      </c>
      <c r="K526" s="19" t="s">
        <v>325</v>
      </c>
      <c r="L526" s="40"/>
    </row>
    <row r="527" ht="22.5" customHeight="1">
      <c r="C527" s="19" t="s">
        <v>1984</v>
      </c>
      <c r="D527" s="39" t="s">
        <v>1985</v>
      </c>
      <c r="E527" s="36" t="s">
        <v>2007</v>
      </c>
      <c r="F527" s="36" t="s">
        <v>2008</v>
      </c>
      <c r="G527" s="36" t="s">
        <v>2009</v>
      </c>
      <c r="H527" s="41" t="s">
        <v>2010</v>
      </c>
      <c r="I527" s="18">
        <f t="shared" si="4"/>
        <v>45936</v>
      </c>
      <c r="J527" s="19" t="s">
        <v>28</v>
      </c>
      <c r="K527" s="19" t="s">
        <v>325</v>
      </c>
      <c r="L527" s="40"/>
    </row>
    <row r="528" ht="22.5" customHeight="1">
      <c r="C528" s="19" t="s">
        <v>1984</v>
      </c>
      <c r="D528" s="39" t="s">
        <v>1985</v>
      </c>
      <c r="E528" s="36" t="s">
        <v>2011</v>
      </c>
      <c r="F528" s="36" t="s">
        <v>2012</v>
      </c>
      <c r="G528" s="36" t="s">
        <v>2013</v>
      </c>
      <c r="H528" s="41" t="s">
        <v>2014</v>
      </c>
      <c r="I528" s="18">
        <f t="shared" si="4"/>
        <v>45936</v>
      </c>
      <c r="J528" s="19" t="s">
        <v>28</v>
      </c>
      <c r="K528" s="19" t="s">
        <v>325</v>
      </c>
      <c r="L528" s="40"/>
    </row>
    <row r="529" ht="22.5" customHeight="1">
      <c r="C529" s="19" t="s">
        <v>1984</v>
      </c>
      <c r="D529" s="39" t="s">
        <v>1985</v>
      </c>
      <c r="E529" s="36" t="s">
        <v>2015</v>
      </c>
      <c r="F529" s="36" t="s">
        <v>2016</v>
      </c>
      <c r="G529" s="36" t="s">
        <v>360</v>
      </c>
      <c r="H529" s="35">
        <v>5.619780933E9</v>
      </c>
      <c r="I529" s="18">
        <f t="shared" si="4"/>
        <v>45936</v>
      </c>
      <c r="J529" s="19" t="s">
        <v>28</v>
      </c>
      <c r="K529" s="19" t="s">
        <v>325</v>
      </c>
      <c r="L529" s="40"/>
    </row>
    <row r="530" ht="22.5" customHeight="1">
      <c r="C530" s="19" t="s">
        <v>1984</v>
      </c>
      <c r="D530" s="39" t="s">
        <v>1985</v>
      </c>
      <c r="E530" s="36" t="s">
        <v>2017</v>
      </c>
      <c r="F530" s="36" t="s">
        <v>2018</v>
      </c>
      <c r="G530" s="36" t="s">
        <v>301</v>
      </c>
      <c r="H530" s="41" t="s">
        <v>2019</v>
      </c>
      <c r="I530" s="18">
        <f t="shared" si="4"/>
        <v>45936</v>
      </c>
      <c r="J530" s="19" t="s">
        <v>28</v>
      </c>
      <c r="K530" s="19" t="s">
        <v>325</v>
      </c>
      <c r="L530" s="40"/>
    </row>
    <row r="531" ht="22.5" customHeight="1">
      <c r="C531" s="19" t="s">
        <v>1984</v>
      </c>
      <c r="D531" s="39" t="s">
        <v>1985</v>
      </c>
      <c r="E531" s="36" t="s">
        <v>2020</v>
      </c>
      <c r="F531" s="36" t="s">
        <v>2021</v>
      </c>
      <c r="G531" s="36" t="s">
        <v>2022</v>
      </c>
      <c r="H531" s="35">
        <v>5.613011977E9</v>
      </c>
      <c r="I531" s="18">
        <f t="shared" si="4"/>
        <v>45936</v>
      </c>
      <c r="J531" s="19" t="s">
        <v>28</v>
      </c>
      <c r="K531" s="19" t="s">
        <v>325</v>
      </c>
      <c r="L531" s="40"/>
    </row>
    <row r="532" ht="22.5" customHeight="1">
      <c r="C532" s="19" t="s">
        <v>1984</v>
      </c>
      <c r="D532" s="39" t="s">
        <v>1985</v>
      </c>
      <c r="E532" s="36" t="s">
        <v>2023</v>
      </c>
      <c r="F532" s="36" t="s">
        <v>2024</v>
      </c>
      <c r="G532" s="36" t="s">
        <v>77</v>
      </c>
      <c r="H532" s="35">
        <v>5.612464896E9</v>
      </c>
      <c r="I532" s="18">
        <f t="shared" si="4"/>
        <v>45936</v>
      </c>
      <c r="J532" s="19" t="s">
        <v>28</v>
      </c>
      <c r="K532" s="19" t="s">
        <v>325</v>
      </c>
      <c r="L532" s="40"/>
    </row>
    <row r="533" ht="22.5" customHeight="1">
      <c r="C533" s="19" t="s">
        <v>1984</v>
      </c>
      <c r="D533" s="39" t="s">
        <v>1985</v>
      </c>
      <c r="E533" s="36" t="s">
        <v>2025</v>
      </c>
      <c r="F533" s="36" t="s">
        <v>2026</v>
      </c>
      <c r="G533" s="36" t="s">
        <v>387</v>
      </c>
      <c r="H533" s="41" t="s">
        <v>2027</v>
      </c>
      <c r="I533" s="18">
        <f t="shared" si="4"/>
        <v>45936</v>
      </c>
      <c r="J533" s="19" t="s">
        <v>28</v>
      </c>
      <c r="K533" s="19" t="s">
        <v>325</v>
      </c>
      <c r="L533" s="40"/>
    </row>
    <row r="534" ht="22.5" customHeight="1">
      <c r="C534" s="19" t="s">
        <v>1984</v>
      </c>
      <c r="D534" s="39" t="s">
        <v>1985</v>
      </c>
      <c r="E534" s="36" t="s">
        <v>2028</v>
      </c>
      <c r="F534" s="36" t="s">
        <v>2029</v>
      </c>
      <c r="G534" s="36" t="s">
        <v>118</v>
      </c>
      <c r="H534" s="41" t="s">
        <v>2030</v>
      </c>
      <c r="I534" s="18">
        <f t="shared" si="4"/>
        <v>45936</v>
      </c>
      <c r="J534" s="19" t="s">
        <v>28</v>
      </c>
      <c r="K534" s="19" t="s">
        <v>325</v>
      </c>
      <c r="L534" s="40"/>
    </row>
    <row r="535" ht="22.5" customHeight="1">
      <c r="C535" s="19" t="s">
        <v>1984</v>
      </c>
      <c r="D535" s="39" t="s">
        <v>1985</v>
      </c>
      <c r="E535" s="36" t="s">
        <v>2031</v>
      </c>
      <c r="F535" s="36" t="s">
        <v>2032</v>
      </c>
      <c r="G535" s="36" t="s">
        <v>82</v>
      </c>
      <c r="H535" s="35">
        <v>5.616701446E9</v>
      </c>
      <c r="I535" s="18">
        <f t="shared" si="4"/>
        <v>45936</v>
      </c>
      <c r="J535" s="19" t="s">
        <v>28</v>
      </c>
      <c r="K535" s="19" t="s">
        <v>325</v>
      </c>
      <c r="L535" s="40"/>
    </row>
    <row r="536" ht="22.5" customHeight="1">
      <c r="C536" s="19" t="s">
        <v>1984</v>
      </c>
      <c r="D536" s="39" t="s">
        <v>1985</v>
      </c>
      <c r="E536" s="36" t="s">
        <v>2033</v>
      </c>
      <c r="F536" s="36" t="s">
        <v>2034</v>
      </c>
      <c r="G536" s="36" t="s">
        <v>355</v>
      </c>
      <c r="H536" s="41" t="s">
        <v>2035</v>
      </c>
      <c r="I536" s="18">
        <f t="shared" si="4"/>
        <v>45936</v>
      </c>
      <c r="J536" s="19" t="s">
        <v>28</v>
      </c>
      <c r="K536" s="19" t="s">
        <v>325</v>
      </c>
      <c r="L536" s="40"/>
    </row>
    <row r="537" ht="22.5" customHeight="1">
      <c r="C537" s="19" t="s">
        <v>1984</v>
      </c>
      <c r="D537" s="39" t="s">
        <v>1985</v>
      </c>
      <c r="E537" s="36" t="s">
        <v>2036</v>
      </c>
      <c r="F537" s="36" t="s">
        <v>2037</v>
      </c>
      <c r="G537" s="36" t="s">
        <v>97</v>
      </c>
      <c r="H537" s="35">
        <v>5.614440051E9</v>
      </c>
      <c r="I537" s="18">
        <f t="shared" si="4"/>
        <v>45936</v>
      </c>
      <c r="J537" s="19" t="s">
        <v>28</v>
      </c>
      <c r="K537" s="19" t="s">
        <v>325</v>
      </c>
      <c r="L537" s="40"/>
    </row>
    <row r="538" ht="22.5" customHeight="1">
      <c r="C538" s="19" t="s">
        <v>1984</v>
      </c>
      <c r="D538" s="39" t="s">
        <v>1985</v>
      </c>
      <c r="E538" s="36" t="s">
        <v>2038</v>
      </c>
      <c r="F538" s="36" t="s">
        <v>2039</v>
      </c>
      <c r="G538" s="36" t="s">
        <v>915</v>
      </c>
      <c r="H538" s="35">
        <v>5.612256086E9</v>
      </c>
      <c r="I538" s="18">
        <f t="shared" si="4"/>
        <v>45936</v>
      </c>
      <c r="J538" s="19" t="s">
        <v>28</v>
      </c>
      <c r="K538" s="19" t="s">
        <v>325</v>
      </c>
      <c r="L538" s="40"/>
    </row>
    <row r="539" ht="22.5" customHeight="1">
      <c r="C539" s="19" t="s">
        <v>1984</v>
      </c>
      <c r="D539" s="39" t="s">
        <v>1985</v>
      </c>
      <c r="E539" s="36" t="s">
        <v>2040</v>
      </c>
      <c r="F539" s="36" t="s">
        <v>2041</v>
      </c>
      <c r="G539" s="36" t="s">
        <v>136</v>
      </c>
      <c r="H539" s="41" t="s">
        <v>2042</v>
      </c>
      <c r="I539" s="18">
        <f t="shared" si="4"/>
        <v>45936</v>
      </c>
      <c r="J539" s="19" t="s">
        <v>28</v>
      </c>
      <c r="K539" s="19" t="s">
        <v>325</v>
      </c>
      <c r="L539" s="40"/>
    </row>
    <row r="540" ht="22.5" customHeight="1">
      <c r="C540" s="19" t="s">
        <v>1984</v>
      </c>
      <c r="D540" s="39" t="s">
        <v>1985</v>
      </c>
      <c r="E540" s="36" t="s">
        <v>2043</v>
      </c>
      <c r="F540" s="36" t="s">
        <v>2044</v>
      </c>
      <c r="G540" s="36" t="s">
        <v>217</v>
      </c>
      <c r="H540" s="41" t="s">
        <v>2045</v>
      </c>
      <c r="I540" s="18">
        <f t="shared" si="4"/>
        <v>45936</v>
      </c>
      <c r="J540" s="19" t="s">
        <v>28</v>
      </c>
      <c r="K540" s="19" t="s">
        <v>325</v>
      </c>
      <c r="L540" s="40"/>
    </row>
    <row r="541" ht="22.5" customHeight="1">
      <c r="C541" s="19" t="s">
        <v>1984</v>
      </c>
      <c r="D541" s="39" t="s">
        <v>1985</v>
      </c>
      <c r="E541" s="36" t="s">
        <v>2046</v>
      </c>
      <c r="F541" s="36" t="s">
        <v>2047</v>
      </c>
      <c r="G541" s="36" t="s">
        <v>57</v>
      </c>
      <c r="H541" s="35">
        <v>7.13471215E9</v>
      </c>
      <c r="I541" s="18">
        <f t="shared" si="4"/>
        <v>45936</v>
      </c>
      <c r="J541" s="19" t="s">
        <v>28</v>
      </c>
      <c r="K541" s="19" t="s">
        <v>325</v>
      </c>
      <c r="L541" s="40"/>
    </row>
    <row r="542" ht="22.5" customHeight="1">
      <c r="C542" s="19" t="s">
        <v>1984</v>
      </c>
      <c r="D542" s="39" t="s">
        <v>1985</v>
      </c>
      <c r="E542" s="36" t="s">
        <v>2048</v>
      </c>
      <c r="F542" s="36" t="s">
        <v>2049</v>
      </c>
      <c r="G542" s="36" t="s">
        <v>131</v>
      </c>
      <c r="H542" s="41" t="s">
        <v>2050</v>
      </c>
      <c r="I542" s="18">
        <f t="shared" si="4"/>
        <v>45936</v>
      </c>
      <c r="J542" s="19" t="s">
        <v>28</v>
      </c>
      <c r="K542" s="19" t="s">
        <v>325</v>
      </c>
      <c r="L542" s="4" t="s">
        <v>99</v>
      </c>
    </row>
    <row r="543" ht="22.5" customHeight="1">
      <c r="C543" s="19" t="s">
        <v>1984</v>
      </c>
      <c r="D543" s="39" t="s">
        <v>1985</v>
      </c>
      <c r="E543" s="36" t="s">
        <v>2051</v>
      </c>
      <c r="F543" s="36" t="s">
        <v>2052</v>
      </c>
      <c r="G543" s="36" t="s">
        <v>72</v>
      </c>
      <c r="H543" s="41" t="s">
        <v>2053</v>
      </c>
      <c r="I543" s="18">
        <f t="shared" si="4"/>
        <v>45936</v>
      </c>
      <c r="J543" s="19" t="s">
        <v>28</v>
      </c>
      <c r="K543" s="19" t="s">
        <v>325</v>
      </c>
      <c r="L543" s="40"/>
    </row>
    <row r="544" ht="22.5" customHeight="1">
      <c r="C544" s="19" t="s">
        <v>1984</v>
      </c>
      <c r="D544" s="39" t="s">
        <v>1985</v>
      </c>
      <c r="E544" s="36" t="s">
        <v>2054</v>
      </c>
      <c r="F544" s="36" t="s">
        <v>2055</v>
      </c>
      <c r="G544" s="36" t="s">
        <v>2056</v>
      </c>
      <c r="H544" s="35">
        <v>5.618844866E9</v>
      </c>
      <c r="I544" s="18">
        <f t="shared" si="4"/>
        <v>45936</v>
      </c>
      <c r="J544" s="19" t="s">
        <v>28</v>
      </c>
      <c r="K544" s="19" t="s">
        <v>325</v>
      </c>
      <c r="L544" s="40"/>
    </row>
    <row r="545" ht="22.5" customHeight="1">
      <c r="C545" s="19" t="s">
        <v>1984</v>
      </c>
      <c r="D545" s="39" t="s">
        <v>1985</v>
      </c>
      <c r="E545" s="36" t="s">
        <v>2057</v>
      </c>
      <c r="F545" s="36" t="s">
        <v>2058</v>
      </c>
      <c r="G545" s="36" t="s">
        <v>2059</v>
      </c>
      <c r="H545" s="35">
        <v>5.615961653E9</v>
      </c>
      <c r="I545" s="18">
        <f t="shared" si="4"/>
        <v>45936</v>
      </c>
      <c r="J545" s="19" t="s">
        <v>28</v>
      </c>
      <c r="K545" s="19" t="s">
        <v>325</v>
      </c>
      <c r="L545" s="40"/>
    </row>
    <row r="546" ht="22.5" customHeight="1">
      <c r="C546" s="19" t="s">
        <v>2060</v>
      </c>
      <c r="D546" s="39" t="s">
        <v>2061</v>
      </c>
      <c r="E546" s="36" t="s">
        <v>2062</v>
      </c>
      <c r="F546" s="36" t="s">
        <v>2063</v>
      </c>
      <c r="G546" s="36" t="s">
        <v>2064</v>
      </c>
      <c r="H546" s="35">
        <v>2.679877463E9</v>
      </c>
      <c r="I546" s="18">
        <f t="shared" ref="I546:I660" si="5">DATE(2025, 10, 7)</f>
        <v>45937</v>
      </c>
      <c r="J546" s="19" t="s">
        <v>28</v>
      </c>
      <c r="K546" s="19" t="s">
        <v>325</v>
      </c>
      <c r="L546" s="40"/>
    </row>
    <row r="547" ht="22.5" customHeight="1">
      <c r="C547" s="19" t="s">
        <v>2060</v>
      </c>
      <c r="D547" s="39" t="s">
        <v>2065</v>
      </c>
      <c r="E547" s="36" t="s">
        <v>2066</v>
      </c>
      <c r="F547" s="36" t="s">
        <v>2067</v>
      </c>
      <c r="G547" s="36" t="s">
        <v>641</v>
      </c>
      <c r="H547" s="35">
        <v>5.61747832E9</v>
      </c>
      <c r="I547" s="18">
        <f t="shared" si="5"/>
        <v>45937</v>
      </c>
      <c r="J547" s="19" t="s">
        <v>28</v>
      </c>
      <c r="K547" s="19" t="s">
        <v>325</v>
      </c>
      <c r="L547" s="40"/>
    </row>
    <row r="548" ht="22.5" customHeight="1">
      <c r="C548" s="19" t="s">
        <v>2060</v>
      </c>
      <c r="D548" s="39" t="s">
        <v>2068</v>
      </c>
      <c r="E548" s="36" t="s">
        <v>2069</v>
      </c>
      <c r="F548" s="36" t="s">
        <v>2070</v>
      </c>
      <c r="G548" s="36" t="s">
        <v>659</v>
      </c>
      <c r="H548" s="41" t="s">
        <v>2071</v>
      </c>
      <c r="I548" s="18">
        <f t="shared" si="5"/>
        <v>45937</v>
      </c>
      <c r="J548" s="19" t="s">
        <v>28</v>
      </c>
      <c r="K548" s="19" t="s">
        <v>325</v>
      </c>
      <c r="L548" s="40"/>
    </row>
    <row r="549" ht="22.5" customHeight="1">
      <c r="C549" s="19" t="s">
        <v>2060</v>
      </c>
      <c r="D549" s="39" t="s">
        <v>2072</v>
      </c>
      <c r="E549" s="36" t="s">
        <v>2073</v>
      </c>
      <c r="F549" s="36" t="s">
        <v>2074</v>
      </c>
      <c r="G549" s="36" t="s">
        <v>915</v>
      </c>
      <c r="H549" s="41" t="s">
        <v>2075</v>
      </c>
      <c r="I549" s="18">
        <f t="shared" si="5"/>
        <v>45937</v>
      </c>
      <c r="J549" s="19" t="s">
        <v>28</v>
      </c>
      <c r="K549" s="19" t="s">
        <v>325</v>
      </c>
      <c r="L549" s="40"/>
    </row>
    <row r="550" ht="22.5" customHeight="1">
      <c r="C550" s="19" t="s">
        <v>2060</v>
      </c>
      <c r="D550" s="39" t="s">
        <v>2076</v>
      </c>
      <c r="E550" s="36" t="s">
        <v>2077</v>
      </c>
      <c r="F550" s="36" t="s">
        <v>2078</v>
      </c>
      <c r="G550" s="36" t="s">
        <v>2079</v>
      </c>
      <c r="H550" s="35">
        <v>7.542484712E9</v>
      </c>
      <c r="I550" s="18">
        <f t="shared" si="5"/>
        <v>45937</v>
      </c>
      <c r="J550" s="19" t="s">
        <v>28</v>
      </c>
      <c r="K550" s="19" t="s">
        <v>325</v>
      </c>
      <c r="L550" s="40"/>
    </row>
    <row r="551" ht="22.5" customHeight="1">
      <c r="C551" s="19" t="s">
        <v>2060</v>
      </c>
      <c r="D551" s="39" t="s">
        <v>2080</v>
      </c>
      <c r="E551" s="36" t="s">
        <v>2081</v>
      </c>
      <c r="F551" s="36" t="s">
        <v>2082</v>
      </c>
      <c r="G551" s="36" t="s">
        <v>113</v>
      </c>
      <c r="H551" s="35">
        <v>5.616033377E9</v>
      </c>
      <c r="I551" s="18">
        <f t="shared" si="5"/>
        <v>45937</v>
      </c>
      <c r="J551" s="19" t="s">
        <v>28</v>
      </c>
      <c r="K551" s="19" t="s">
        <v>325</v>
      </c>
      <c r="L551" s="40"/>
    </row>
    <row r="552" ht="22.5" customHeight="1">
      <c r="C552" s="19" t="s">
        <v>2060</v>
      </c>
      <c r="D552" s="39" t="s">
        <v>2083</v>
      </c>
      <c r="E552" s="36" t="s">
        <v>2084</v>
      </c>
      <c r="F552" s="36" t="s">
        <v>2085</v>
      </c>
      <c r="G552" s="36" t="s">
        <v>26</v>
      </c>
      <c r="H552" s="41" t="s">
        <v>2086</v>
      </c>
      <c r="I552" s="18">
        <f t="shared" si="5"/>
        <v>45937</v>
      </c>
      <c r="J552" s="19" t="s">
        <v>28</v>
      </c>
      <c r="K552" s="19" t="s">
        <v>325</v>
      </c>
      <c r="L552" s="40"/>
    </row>
    <row r="553" ht="22.5" customHeight="1">
      <c r="C553" s="19" t="s">
        <v>2060</v>
      </c>
      <c r="D553" s="39" t="s">
        <v>2087</v>
      </c>
      <c r="E553" s="36" t="s">
        <v>2088</v>
      </c>
      <c r="F553" s="36" t="s">
        <v>2089</v>
      </c>
      <c r="G553" s="36" t="s">
        <v>72</v>
      </c>
      <c r="H553" s="41" t="s">
        <v>2090</v>
      </c>
      <c r="I553" s="18">
        <f t="shared" si="5"/>
        <v>45937</v>
      </c>
      <c r="J553" s="19" t="s">
        <v>28</v>
      </c>
      <c r="K553" s="19" t="s">
        <v>325</v>
      </c>
      <c r="L553" s="40"/>
    </row>
    <row r="554" ht="22.5" customHeight="1">
      <c r="C554" s="19" t="s">
        <v>2060</v>
      </c>
      <c r="D554" s="39" t="s">
        <v>2091</v>
      </c>
      <c r="E554" s="36" t="s">
        <v>2092</v>
      </c>
      <c r="F554" s="36" t="s">
        <v>2093</v>
      </c>
      <c r="G554" s="36" t="s">
        <v>636</v>
      </c>
      <c r="H554" s="35">
        <v>8.135709416E9</v>
      </c>
      <c r="I554" s="18">
        <f t="shared" si="5"/>
        <v>45937</v>
      </c>
      <c r="J554" s="19" t="s">
        <v>28</v>
      </c>
      <c r="K554" s="19" t="s">
        <v>325</v>
      </c>
      <c r="L554" s="40"/>
    </row>
    <row r="555" ht="22.5" customHeight="1">
      <c r="C555" s="19" t="s">
        <v>2060</v>
      </c>
      <c r="D555" s="39" t="s">
        <v>2094</v>
      </c>
      <c r="E555" s="36" t="s">
        <v>2095</v>
      </c>
      <c r="F555" s="36" t="s">
        <v>2096</v>
      </c>
      <c r="G555" s="36" t="s">
        <v>126</v>
      </c>
      <c r="H555" s="35">
        <v>5.617237608E9</v>
      </c>
      <c r="I555" s="18">
        <f t="shared" si="5"/>
        <v>45937</v>
      </c>
      <c r="J555" s="19" t="s">
        <v>28</v>
      </c>
      <c r="K555" s="19" t="s">
        <v>325</v>
      </c>
      <c r="L555" s="40"/>
    </row>
    <row r="556" ht="22.5" customHeight="1">
      <c r="C556" s="19" t="s">
        <v>2060</v>
      </c>
      <c r="D556" s="39" t="s">
        <v>2097</v>
      </c>
      <c r="E556" s="36" t="s">
        <v>2098</v>
      </c>
      <c r="F556" s="36" t="s">
        <v>2099</v>
      </c>
      <c r="G556" s="36" t="s">
        <v>2100</v>
      </c>
      <c r="H556" s="35">
        <v>8.594947151E9</v>
      </c>
      <c r="I556" s="18">
        <f t="shared" si="5"/>
        <v>45937</v>
      </c>
      <c r="J556" s="19" t="s">
        <v>28</v>
      </c>
      <c r="K556" s="19" t="s">
        <v>325</v>
      </c>
      <c r="L556" s="4" t="s">
        <v>148</v>
      </c>
    </row>
    <row r="557" ht="22.5" customHeight="1">
      <c r="C557" s="19" t="s">
        <v>2060</v>
      </c>
      <c r="D557" s="39" t="s">
        <v>2101</v>
      </c>
      <c r="E557" s="36" t="s">
        <v>2102</v>
      </c>
      <c r="F557" s="36" t="s">
        <v>2103</v>
      </c>
      <c r="G557" s="36" t="s">
        <v>346</v>
      </c>
      <c r="H557" s="35">
        <v>5.613450489E9</v>
      </c>
      <c r="I557" s="18">
        <f t="shared" si="5"/>
        <v>45937</v>
      </c>
      <c r="J557" s="19" t="s">
        <v>28</v>
      </c>
      <c r="K557" s="19" t="s">
        <v>325</v>
      </c>
      <c r="L557" s="40"/>
    </row>
    <row r="558" ht="22.5" customHeight="1">
      <c r="C558" s="19" t="s">
        <v>2060</v>
      </c>
      <c r="D558" s="39" t="s">
        <v>2104</v>
      </c>
      <c r="E558" s="36" t="s">
        <v>2105</v>
      </c>
      <c r="F558" s="36" t="s">
        <v>2106</v>
      </c>
      <c r="G558" s="36" t="s">
        <v>1781</v>
      </c>
      <c r="H558" s="35">
        <v>5.612936917E9</v>
      </c>
      <c r="I558" s="18">
        <f t="shared" si="5"/>
        <v>45937</v>
      </c>
      <c r="J558" s="19" t="s">
        <v>28</v>
      </c>
      <c r="K558" s="19" t="s">
        <v>325</v>
      </c>
      <c r="L558" s="40"/>
    </row>
    <row r="559" ht="22.5" customHeight="1">
      <c r="C559" s="19" t="s">
        <v>2060</v>
      </c>
      <c r="D559" s="39" t="s">
        <v>2107</v>
      </c>
      <c r="E559" s="36" t="s">
        <v>2108</v>
      </c>
      <c r="F559" s="36" t="s">
        <v>612</v>
      </c>
      <c r="G559" s="36" t="s">
        <v>224</v>
      </c>
      <c r="H559" s="41" t="s">
        <v>2109</v>
      </c>
      <c r="I559" s="18">
        <f t="shared" si="5"/>
        <v>45937</v>
      </c>
      <c r="J559" s="19" t="s">
        <v>28</v>
      </c>
      <c r="K559" s="19" t="s">
        <v>325</v>
      </c>
      <c r="L559" s="40"/>
    </row>
    <row r="560" ht="22.5" customHeight="1">
      <c r="C560" s="19" t="s">
        <v>2060</v>
      </c>
      <c r="D560" s="39" t="s">
        <v>2110</v>
      </c>
      <c r="E560" s="36" t="s">
        <v>2111</v>
      </c>
      <c r="F560" s="36" t="s">
        <v>2112</v>
      </c>
      <c r="G560" s="36" t="s">
        <v>131</v>
      </c>
      <c r="H560" s="35">
        <v>5.613777441E9</v>
      </c>
      <c r="I560" s="18">
        <f t="shared" si="5"/>
        <v>45937</v>
      </c>
      <c r="J560" s="19" t="s">
        <v>28</v>
      </c>
      <c r="K560" s="19" t="s">
        <v>325</v>
      </c>
      <c r="L560" s="40"/>
    </row>
    <row r="561" ht="22.5" customHeight="1">
      <c r="C561" s="19" t="s">
        <v>2060</v>
      </c>
      <c r="D561" s="39" t="s">
        <v>2113</v>
      </c>
      <c r="E561" s="36" t="s">
        <v>2114</v>
      </c>
      <c r="F561" s="36" t="s">
        <v>2115</v>
      </c>
      <c r="G561" s="36" t="s">
        <v>118</v>
      </c>
      <c r="H561" s="41" t="s">
        <v>2116</v>
      </c>
      <c r="I561" s="18">
        <f t="shared" si="5"/>
        <v>45937</v>
      </c>
      <c r="J561" s="19" t="s">
        <v>28</v>
      </c>
      <c r="K561" s="19" t="s">
        <v>325</v>
      </c>
      <c r="L561" s="40"/>
    </row>
    <row r="562" ht="22.5" customHeight="1">
      <c r="C562" s="19" t="s">
        <v>2060</v>
      </c>
      <c r="D562" s="39" t="s">
        <v>2117</v>
      </c>
      <c r="E562" s="36" t="s">
        <v>2118</v>
      </c>
      <c r="F562" s="36" t="s">
        <v>2119</v>
      </c>
      <c r="G562" s="36" t="s">
        <v>377</v>
      </c>
      <c r="H562" s="41" t="s">
        <v>2120</v>
      </c>
      <c r="I562" s="18">
        <f t="shared" si="5"/>
        <v>45937</v>
      </c>
      <c r="J562" s="19" t="s">
        <v>28</v>
      </c>
      <c r="K562" s="19" t="s">
        <v>325</v>
      </c>
      <c r="L562" s="40"/>
    </row>
    <row r="563" ht="22.5" customHeight="1">
      <c r="C563" s="19" t="s">
        <v>2060</v>
      </c>
      <c r="D563" s="39" t="s">
        <v>2121</v>
      </c>
      <c r="E563" s="36" t="s">
        <v>2122</v>
      </c>
      <c r="F563" s="36" t="s">
        <v>2123</v>
      </c>
      <c r="G563" s="36" t="s">
        <v>622</v>
      </c>
      <c r="H563" s="35">
        <v>5.616294861E9</v>
      </c>
      <c r="I563" s="18">
        <f t="shared" si="5"/>
        <v>45937</v>
      </c>
      <c r="J563" s="19" t="s">
        <v>28</v>
      </c>
      <c r="K563" s="19" t="s">
        <v>325</v>
      </c>
      <c r="L563" s="40"/>
    </row>
    <row r="564" ht="22.5" customHeight="1">
      <c r="C564" s="19" t="s">
        <v>2060</v>
      </c>
      <c r="D564" s="39" t="s">
        <v>2124</v>
      </c>
      <c r="E564" s="36" t="s">
        <v>2125</v>
      </c>
      <c r="F564" s="36" t="s">
        <v>2126</v>
      </c>
      <c r="G564" s="36" t="s">
        <v>97</v>
      </c>
      <c r="H564" s="41" t="s">
        <v>2127</v>
      </c>
      <c r="I564" s="18">
        <f t="shared" si="5"/>
        <v>45937</v>
      </c>
      <c r="J564" s="19" t="s">
        <v>28</v>
      </c>
      <c r="K564" s="19" t="s">
        <v>325</v>
      </c>
      <c r="L564" s="40"/>
    </row>
    <row r="565" ht="22.5" customHeight="1">
      <c r="C565" s="19" t="s">
        <v>2060</v>
      </c>
      <c r="D565" s="39" t="s">
        <v>2128</v>
      </c>
      <c r="E565" s="36" t="s">
        <v>2129</v>
      </c>
      <c r="F565" s="36" t="s">
        <v>2130</v>
      </c>
      <c r="G565" s="36" t="s">
        <v>67</v>
      </c>
      <c r="H565" s="41" t="s">
        <v>2131</v>
      </c>
      <c r="I565" s="18">
        <f t="shared" si="5"/>
        <v>45937</v>
      </c>
      <c r="J565" s="19" t="s">
        <v>28</v>
      </c>
      <c r="K565" s="19" t="s">
        <v>325</v>
      </c>
      <c r="L565" s="40"/>
    </row>
    <row r="566" ht="22.5" customHeight="1">
      <c r="C566" s="19" t="s">
        <v>2060</v>
      </c>
      <c r="D566" s="39" t="s">
        <v>2132</v>
      </c>
      <c r="E566" s="36" t="s">
        <v>2133</v>
      </c>
      <c r="F566" s="36" t="s">
        <v>2134</v>
      </c>
      <c r="G566" s="36" t="s">
        <v>360</v>
      </c>
      <c r="H566" s="35">
        <v>5.613409754E9</v>
      </c>
      <c r="I566" s="18">
        <f t="shared" si="5"/>
        <v>45937</v>
      </c>
      <c r="J566" s="19" t="s">
        <v>28</v>
      </c>
      <c r="K566" s="19" t="s">
        <v>325</v>
      </c>
      <c r="L566" s="40"/>
    </row>
    <row r="567" ht="22.5" customHeight="1">
      <c r="C567" s="19" t="s">
        <v>2060</v>
      </c>
      <c r="D567" s="39" t="s">
        <v>2135</v>
      </c>
      <c r="E567" s="36" t="s">
        <v>2136</v>
      </c>
      <c r="F567" s="36" t="s">
        <v>2137</v>
      </c>
      <c r="G567" s="36" t="s">
        <v>136</v>
      </c>
      <c r="H567" s="41" t="s">
        <v>2138</v>
      </c>
      <c r="I567" s="18">
        <f t="shared" si="5"/>
        <v>45937</v>
      </c>
      <c r="J567" s="19" t="s">
        <v>28</v>
      </c>
      <c r="K567" s="19" t="s">
        <v>325</v>
      </c>
      <c r="L567" s="40"/>
    </row>
    <row r="568" ht="22.5" customHeight="1">
      <c r="C568" s="19" t="s">
        <v>2060</v>
      </c>
      <c r="D568" s="39" t="s">
        <v>2139</v>
      </c>
      <c r="E568" s="36" t="s">
        <v>2140</v>
      </c>
      <c r="F568" s="36" t="s">
        <v>2141</v>
      </c>
      <c r="G568" s="36" t="s">
        <v>781</v>
      </c>
      <c r="H568" s="35">
        <v>7.576414343E9</v>
      </c>
      <c r="I568" s="18">
        <f t="shared" si="5"/>
        <v>45937</v>
      </c>
      <c r="J568" s="19" t="s">
        <v>28</v>
      </c>
      <c r="K568" s="19" t="s">
        <v>325</v>
      </c>
      <c r="L568" s="40"/>
    </row>
    <row r="569" ht="22.5" customHeight="1">
      <c r="C569" s="19" t="s">
        <v>2060</v>
      </c>
      <c r="D569" s="39" t="s">
        <v>2142</v>
      </c>
      <c r="E569" s="36" t="s">
        <v>2143</v>
      </c>
      <c r="F569" s="36" t="s">
        <v>2144</v>
      </c>
      <c r="G569" s="36" t="s">
        <v>142</v>
      </c>
      <c r="H569" s="35">
        <v>9.144197908E9</v>
      </c>
      <c r="I569" s="18">
        <f t="shared" si="5"/>
        <v>45937</v>
      </c>
      <c r="J569" s="19" t="s">
        <v>28</v>
      </c>
      <c r="K569" s="19" t="s">
        <v>325</v>
      </c>
      <c r="L569" s="40"/>
    </row>
    <row r="570" ht="22.5" customHeight="1">
      <c r="C570" s="19" t="s">
        <v>2060</v>
      </c>
      <c r="D570" s="39" t="s">
        <v>2145</v>
      </c>
      <c r="E570" s="36" t="s">
        <v>2146</v>
      </c>
      <c r="F570" s="36" t="s">
        <v>2147</v>
      </c>
      <c r="G570" s="36" t="s">
        <v>42</v>
      </c>
      <c r="H570" s="41" t="s">
        <v>2148</v>
      </c>
      <c r="I570" s="18">
        <f t="shared" si="5"/>
        <v>45937</v>
      </c>
      <c r="J570" s="19" t="s">
        <v>28</v>
      </c>
      <c r="K570" s="19" t="s">
        <v>325</v>
      </c>
      <c r="L570" s="40"/>
    </row>
    <row r="571" ht="22.5" customHeight="1">
      <c r="C571" s="19" t="s">
        <v>2060</v>
      </c>
      <c r="D571" s="39" t="s">
        <v>2149</v>
      </c>
      <c r="E571" s="36" t="s">
        <v>2150</v>
      </c>
      <c r="F571" s="28" t="s">
        <v>182</v>
      </c>
      <c r="G571" s="36" t="s">
        <v>868</v>
      </c>
      <c r="H571" s="41" t="s">
        <v>2151</v>
      </c>
      <c r="I571" s="18">
        <f t="shared" si="5"/>
        <v>45937</v>
      </c>
      <c r="J571" s="19" t="s">
        <v>28</v>
      </c>
      <c r="K571" s="19" t="s">
        <v>325</v>
      </c>
      <c r="L571" s="40"/>
    </row>
    <row r="572" ht="22.5" customHeight="1">
      <c r="C572" s="19" t="s">
        <v>2060</v>
      </c>
      <c r="D572" s="39" t="s">
        <v>2152</v>
      </c>
      <c r="E572" s="36" t="s">
        <v>2153</v>
      </c>
      <c r="F572" s="36" t="s">
        <v>2154</v>
      </c>
      <c r="G572" s="36" t="s">
        <v>1010</v>
      </c>
      <c r="H572" s="41" t="s">
        <v>2155</v>
      </c>
      <c r="I572" s="18">
        <f t="shared" si="5"/>
        <v>45937</v>
      </c>
      <c r="J572" s="19" t="s">
        <v>28</v>
      </c>
      <c r="K572" s="19" t="s">
        <v>325</v>
      </c>
      <c r="L572" s="40"/>
    </row>
    <row r="573" ht="22.5" customHeight="1">
      <c r="C573" s="19" t="s">
        <v>2060</v>
      </c>
      <c r="D573" s="39" t="s">
        <v>2156</v>
      </c>
      <c r="E573" s="36" t="s">
        <v>2157</v>
      </c>
      <c r="F573" s="36" t="s">
        <v>2158</v>
      </c>
      <c r="G573" s="36" t="s">
        <v>717</v>
      </c>
      <c r="H573" s="41" t="s">
        <v>2159</v>
      </c>
      <c r="I573" s="18">
        <f t="shared" si="5"/>
        <v>45937</v>
      </c>
      <c r="J573" s="19" t="s">
        <v>28</v>
      </c>
      <c r="K573" s="19" t="s">
        <v>325</v>
      </c>
      <c r="L573" s="40"/>
    </row>
    <row r="574" ht="22.5" customHeight="1">
      <c r="C574" s="19" t="s">
        <v>2060</v>
      </c>
      <c r="D574" s="39" t="s">
        <v>2160</v>
      </c>
      <c r="E574" s="36" t="s">
        <v>2161</v>
      </c>
      <c r="F574" s="36" t="s">
        <v>2162</v>
      </c>
      <c r="G574" s="36" t="s">
        <v>1199</v>
      </c>
      <c r="H574" s="41" t="s">
        <v>2163</v>
      </c>
      <c r="I574" s="18">
        <f t="shared" si="5"/>
        <v>45937</v>
      </c>
      <c r="J574" s="19" t="s">
        <v>28</v>
      </c>
      <c r="K574" s="19" t="s">
        <v>325</v>
      </c>
      <c r="L574" s="40"/>
    </row>
    <row r="575" ht="22.5" customHeight="1">
      <c r="C575" s="19" t="s">
        <v>2060</v>
      </c>
      <c r="D575" s="39" t="s">
        <v>2164</v>
      </c>
      <c r="E575" s="36" t="s">
        <v>2165</v>
      </c>
      <c r="F575" s="36" t="s">
        <v>2166</v>
      </c>
      <c r="G575" s="36" t="s">
        <v>727</v>
      </c>
      <c r="H575" s="35">
        <v>5.615439779E9</v>
      </c>
      <c r="I575" s="18">
        <f t="shared" si="5"/>
        <v>45937</v>
      </c>
      <c r="J575" s="19" t="s">
        <v>28</v>
      </c>
      <c r="K575" s="19" t="s">
        <v>325</v>
      </c>
      <c r="L575" s="40"/>
    </row>
    <row r="576" ht="22.5" customHeight="1">
      <c r="C576" s="19" t="s">
        <v>2060</v>
      </c>
      <c r="D576" s="39" t="s">
        <v>2167</v>
      </c>
      <c r="E576" s="36" t="s">
        <v>2168</v>
      </c>
      <c r="F576" s="36" t="s">
        <v>2169</v>
      </c>
      <c r="G576" s="36" t="s">
        <v>57</v>
      </c>
      <c r="H576" s="35">
        <v>5.615121166E9</v>
      </c>
      <c r="I576" s="18">
        <f t="shared" si="5"/>
        <v>45937</v>
      </c>
      <c r="J576" s="19" t="s">
        <v>28</v>
      </c>
      <c r="K576" s="19" t="s">
        <v>325</v>
      </c>
      <c r="L576" s="40"/>
    </row>
    <row r="577" ht="22.5" customHeight="1">
      <c r="C577" s="19" t="s">
        <v>2060</v>
      </c>
      <c r="D577" s="39" t="s">
        <v>2170</v>
      </c>
      <c r="E577" s="36" t="s">
        <v>2171</v>
      </c>
      <c r="F577" s="36" t="s">
        <v>2172</v>
      </c>
      <c r="G577" s="36" t="s">
        <v>152</v>
      </c>
      <c r="H577" s="41" t="s">
        <v>2173</v>
      </c>
      <c r="I577" s="18">
        <f t="shared" si="5"/>
        <v>45937</v>
      </c>
      <c r="J577" s="19" t="s">
        <v>28</v>
      </c>
      <c r="K577" s="19" t="s">
        <v>325</v>
      </c>
      <c r="L577" s="40"/>
    </row>
    <row r="578" ht="22.5" customHeight="1">
      <c r="C578" s="19" t="s">
        <v>2060</v>
      </c>
      <c r="D578" s="39" t="s">
        <v>2174</v>
      </c>
      <c r="E578" s="36" t="s">
        <v>2175</v>
      </c>
      <c r="F578" s="36" t="s">
        <v>1875</v>
      </c>
      <c r="G578" s="36" t="s">
        <v>247</v>
      </c>
      <c r="H578" s="35">
        <v>5.617137137E9</v>
      </c>
      <c r="I578" s="18">
        <f t="shared" si="5"/>
        <v>45937</v>
      </c>
      <c r="J578" s="19" t="s">
        <v>28</v>
      </c>
      <c r="K578" s="19" t="s">
        <v>325</v>
      </c>
      <c r="L578" s="40"/>
    </row>
    <row r="579" ht="22.5" customHeight="1">
      <c r="C579" s="19" t="s">
        <v>2060</v>
      </c>
      <c r="D579" s="39" t="s">
        <v>2176</v>
      </c>
      <c r="E579" s="36" t="s">
        <v>2177</v>
      </c>
      <c r="F579" s="36" t="s">
        <v>2178</v>
      </c>
      <c r="G579" s="36" t="s">
        <v>52</v>
      </c>
      <c r="H579" s="41" t="s">
        <v>2179</v>
      </c>
      <c r="I579" s="18">
        <f t="shared" si="5"/>
        <v>45937</v>
      </c>
      <c r="J579" s="19" t="s">
        <v>28</v>
      </c>
      <c r="K579" s="19" t="s">
        <v>325</v>
      </c>
      <c r="L579" s="40"/>
    </row>
    <row r="580" ht="22.5" customHeight="1">
      <c r="C580" s="19" t="s">
        <v>2180</v>
      </c>
      <c r="D580" s="39" t="s">
        <v>2061</v>
      </c>
      <c r="E580" s="36" t="s">
        <v>2181</v>
      </c>
      <c r="F580" s="36" t="s">
        <v>2182</v>
      </c>
      <c r="G580" s="36" t="s">
        <v>1043</v>
      </c>
      <c r="H580" s="35">
        <v>5.616760779E9</v>
      </c>
      <c r="I580" s="18">
        <f t="shared" si="5"/>
        <v>45937</v>
      </c>
      <c r="J580" s="19" t="s">
        <v>28</v>
      </c>
      <c r="K580" s="19" t="s">
        <v>325</v>
      </c>
      <c r="L580" s="40"/>
    </row>
    <row r="581" ht="22.5" customHeight="1">
      <c r="C581" s="19" t="s">
        <v>2180</v>
      </c>
      <c r="D581" s="39" t="s">
        <v>2065</v>
      </c>
      <c r="E581" s="36" t="s">
        <v>2183</v>
      </c>
      <c r="F581" s="36" t="s">
        <v>2184</v>
      </c>
      <c r="G581" s="36" t="s">
        <v>152</v>
      </c>
      <c r="H581" s="41" t="s">
        <v>2185</v>
      </c>
      <c r="I581" s="18">
        <f t="shared" si="5"/>
        <v>45937</v>
      </c>
      <c r="J581" s="19" t="s">
        <v>28</v>
      </c>
      <c r="K581" s="19" t="s">
        <v>325</v>
      </c>
      <c r="L581" s="40"/>
    </row>
    <row r="582" ht="22.5" customHeight="1">
      <c r="C582" s="19" t="s">
        <v>2180</v>
      </c>
      <c r="D582" s="39" t="s">
        <v>2068</v>
      </c>
      <c r="E582" s="36" t="s">
        <v>2186</v>
      </c>
      <c r="F582" s="36" t="s">
        <v>2187</v>
      </c>
      <c r="G582" s="36" t="s">
        <v>577</v>
      </c>
      <c r="H582" s="35">
        <v>5.613892996E9</v>
      </c>
      <c r="I582" s="18">
        <f t="shared" si="5"/>
        <v>45937</v>
      </c>
      <c r="J582" s="19" t="s">
        <v>28</v>
      </c>
      <c r="K582" s="19" t="s">
        <v>325</v>
      </c>
      <c r="L582" s="40"/>
    </row>
    <row r="583" ht="22.5" customHeight="1">
      <c r="C583" s="19" t="s">
        <v>2180</v>
      </c>
      <c r="D583" s="39" t="s">
        <v>2072</v>
      </c>
      <c r="E583" s="36" t="s">
        <v>2188</v>
      </c>
      <c r="F583" s="36" t="s">
        <v>2189</v>
      </c>
      <c r="G583" s="36" t="s">
        <v>247</v>
      </c>
      <c r="H583" s="41" t="s">
        <v>2190</v>
      </c>
      <c r="I583" s="18">
        <f t="shared" si="5"/>
        <v>45937</v>
      </c>
      <c r="J583" s="19" t="s">
        <v>28</v>
      </c>
      <c r="K583" s="19" t="s">
        <v>325</v>
      </c>
      <c r="L583" s="40"/>
    </row>
    <row r="584" ht="22.5" customHeight="1">
      <c r="C584" s="19" t="s">
        <v>2180</v>
      </c>
      <c r="D584" s="39" t="s">
        <v>2076</v>
      </c>
      <c r="E584" s="36" t="s">
        <v>1990</v>
      </c>
      <c r="F584" s="36" t="s">
        <v>2191</v>
      </c>
      <c r="G584" s="36" t="s">
        <v>126</v>
      </c>
      <c r="H584" s="35">
        <v>5.613740883E9</v>
      </c>
      <c r="I584" s="18">
        <f t="shared" si="5"/>
        <v>45937</v>
      </c>
      <c r="J584" s="19" t="s">
        <v>28</v>
      </c>
      <c r="K584" s="19" t="s">
        <v>325</v>
      </c>
      <c r="L584" s="40"/>
    </row>
    <row r="585" ht="22.5" customHeight="1">
      <c r="C585" s="19" t="s">
        <v>2180</v>
      </c>
      <c r="D585" s="39" t="s">
        <v>2080</v>
      </c>
      <c r="E585" s="36" t="s">
        <v>2192</v>
      </c>
      <c r="F585" s="36" t="s">
        <v>2193</v>
      </c>
      <c r="G585" s="36" t="s">
        <v>26</v>
      </c>
      <c r="H585" s="41" t="s">
        <v>2194</v>
      </c>
      <c r="I585" s="18">
        <f t="shared" si="5"/>
        <v>45937</v>
      </c>
      <c r="J585" s="19" t="s">
        <v>28</v>
      </c>
      <c r="K585" s="19" t="s">
        <v>325</v>
      </c>
      <c r="L585" s="40"/>
    </row>
    <row r="586" ht="22.5" customHeight="1">
      <c r="C586" s="19" t="s">
        <v>2180</v>
      </c>
      <c r="D586" s="39" t="s">
        <v>2083</v>
      </c>
      <c r="E586" s="36" t="s">
        <v>2195</v>
      </c>
      <c r="F586" s="36" t="s">
        <v>2196</v>
      </c>
      <c r="G586" s="36" t="s">
        <v>131</v>
      </c>
      <c r="H586" s="41" t="s">
        <v>2197</v>
      </c>
      <c r="I586" s="18">
        <f t="shared" si="5"/>
        <v>45937</v>
      </c>
      <c r="J586" s="19" t="s">
        <v>28</v>
      </c>
      <c r="K586" s="19" t="s">
        <v>325</v>
      </c>
      <c r="L586" s="40"/>
    </row>
    <row r="587" ht="22.5" customHeight="1">
      <c r="C587" s="19" t="s">
        <v>2180</v>
      </c>
      <c r="D587" s="39" t="s">
        <v>2087</v>
      </c>
      <c r="E587" s="36" t="s">
        <v>2198</v>
      </c>
      <c r="F587" s="36" t="s">
        <v>2199</v>
      </c>
      <c r="G587" s="36" t="s">
        <v>57</v>
      </c>
      <c r="H587" s="35">
        <v>5.618681298E9</v>
      </c>
      <c r="I587" s="18">
        <f t="shared" si="5"/>
        <v>45937</v>
      </c>
      <c r="J587" s="19" t="s">
        <v>28</v>
      </c>
      <c r="K587" s="19" t="s">
        <v>325</v>
      </c>
      <c r="L587" s="40"/>
    </row>
    <row r="588" ht="22.5" customHeight="1">
      <c r="C588" s="19" t="s">
        <v>2180</v>
      </c>
      <c r="D588" s="39" t="s">
        <v>2091</v>
      </c>
      <c r="E588" s="36" t="s">
        <v>2200</v>
      </c>
      <c r="F588" s="36" t="s">
        <v>2201</v>
      </c>
      <c r="G588" s="36" t="s">
        <v>113</v>
      </c>
      <c r="H588" s="41" t="s">
        <v>2202</v>
      </c>
      <c r="I588" s="18">
        <f t="shared" si="5"/>
        <v>45937</v>
      </c>
      <c r="J588" s="19" t="s">
        <v>28</v>
      </c>
      <c r="K588" s="19" t="s">
        <v>325</v>
      </c>
      <c r="L588" s="40"/>
    </row>
    <row r="589" ht="22.5" customHeight="1">
      <c r="C589" s="19" t="s">
        <v>2180</v>
      </c>
      <c r="D589" s="39" t="s">
        <v>2094</v>
      </c>
      <c r="E589" s="36" t="s">
        <v>2203</v>
      </c>
      <c r="F589" s="36" t="s">
        <v>1871</v>
      </c>
      <c r="G589" s="36" t="s">
        <v>346</v>
      </c>
      <c r="H589" s="41" t="s">
        <v>2204</v>
      </c>
      <c r="I589" s="18">
        <f t="shared" si="5"/>
        <v>45937</v>
      </c>
      <c r="J589" s="19" t="s">
        <v>28</v>
      </c>
      <c r="K589" s="19" t="s">
        <v>325</v>
      </c>
      <c r="L589" s="40"/>
    </row>
    <row r="590" ht="22.5" customHeight="1">
      <c r="C590" s="19" t="s">
        <v>2180</v>
      </c>
      <c r="D590" s="39" t="s">
        <v>2097</v>
      </c>
      <c r="E590" s="36" t="s">
        <v>2205</v>
      </c>
      <c r="F590" s="36" t="s">
        <v>2206</v>
      </c>
      <c r="G590" s="36" t="s">
        <v>72</v>
      </c>
      <c r="H590" s="41" t="s">
        <v>2207</v>
      </c>
      <c r="I590" s="18">
        <f t="shared" si="5"/>
        <v>45937</v>
      </c>
      <c r="J590" s="19" t="s">
        <v>28</v>
      </c>
      <c r="K590" s="19" t="s">
        <v>325</v>
      </c>
      <c r="L590" s="40"/>
    </row>
    <row r="591" ht="22.5" customHeight="1">
      <c r="C591" s="19" t="s">
        <v>2180</v>
      </c>
      <c r="D591" s="39" t="s">
        <v>2101</v>
      </c>
      <c r="E591" s="36" t="s">
        <v>2208</v>
      </c>
      <c r="F591" s="36" t="s">
        <v>2209</v>
      </c>
      <c r="G591" s="36" t="s">
        <v>2210</v>
      </c>
      <c r="H591" s="41" t="s">
        <v>2211</v>
      </c>
      <c r="I591" s="18">
        <f t="shared" si="5"/>
        <v>45937</v>
      </c>
      <c r="J591" s="19" t="s">
        <v>28</v>
      </c>
      <c r="K591" s="19" t="s">
        <v>325</v>
      </c>
      <c r="L591" s="40"/>
    </row>
    <row r="592" ht="22.5" customHeight="1">
      <c r="C592" s="19" t="s">
        <v>2180</v>
      </c>
      <c r="D592" s="39" t="s">
        <v>2104</v>
      </c>
      <c r="E592" s="36" t="s">
        <v>2212</v>
      </c>
      <c r="F592" s="36" t="s">
        <v>2213</v>
      </c>
      <c r="G592" s="36" t="s">
        <v>412</v>
      </c>
      <c r="H592" s="35">
        <v>7.723805963E9</v>
      </c>
      <c r="I592" s="18">
        <f t="shared" si="5"/>
        <v>45937</v>
      </c>
      <c r="J592" s="19" t="s">
        <v>28</v>
      </c>
      <c r="K592" s="19" t="s">
        <v>325</v>
      </c>
      <c r="L592" s="40"/>
    </row>
    <row r="593" ht="22.5" customHeight="1">
      <c r="C593" s="19" t="s">
        <v>2180</v>
      </c>
      <c r="D593" s="39" t="s">
        <v>2107</v>
      </c>
      <c r="E593" s="36" t="s">
        <v>2214</v>
      </c>
      <c r="F593" s="36" t="s">
        <v>2215</v>
      </c>
      <c r="G593" s="36" t="s">
        <v>627</v>
      </c>
      <c r="H593" s="35">
        <v>5.613896521E9</v>
      </c>
      <c r="I593" s="18">
        <f t="shared" si="5"/>
        <v>45937</v>
      </c>
      <c r="J593" s="19" t="s">
        <v>28</v>
      </c>
      <c r="K593" s="19" t="s">
        <v>325</v>
      </c>
      <c r="L593" s="40"/>
    </row>
    <row r="594" ht="22.5" customHeight="1">
      <c r="C594" s="19" t="s">
        <v>2180</v>
      </c>
      <c r="D594" s="39" t="s">
        <v>2110</v>
      </c>
      <c r="E594" s="36" t="s">
        <v>2216</v>
      </c>
      <c r="F594" s="36" t="s">
        <v>2217</v>
      </c>
      <c r="G594" s="36" t="s">
        <v>62</v>
      </c>
      <c r="H594" s="35">
        <v>5.618186775E9</v>
      </c>
      <c r="I594" s="18">
        <f t="shared" si="5"/>
        <v>45937</v>
      </c>
      <c r="J594" s="19" t="s">
        <v>28</v>
      </c>
      <c r="K594" s="19" t="s">
        <v>325</v>
      </c>
      <c r="L594" s="40"/>
    </row>
    <row r="595" ht="22.5" customHeight="1">
      <c r="C595" s="19" t="s">
        <v>2180</v>
      </c>
      <c r="D595" s="39" t="s">
        <v>2113</v>
      </c>
      <c r="E595" s="36" t="s">
        <v>2218</v>
      </c>
      <c r="F595" s="36" t="s">
        <v>2219</v>
      </c>
      <c r="G595" s="36" t="s">
        <v>97</v>
      </c>
      <c r="H595" s="41" t="s">
        <v>2220</v>
      </c>
      <c r="I595" s="18">
        <f t="shared" si="5"/>
        <v>45937</v>
      </c>
      <c r="J595" s="19" t="s">
        <v>28</v>
      </c>
      <c r="K595" s="19" t="s">
        <v>325</v>
      </c>
      <c r="L595" s="40"/>
    </row>
    <row r="596" ht="22.5" customHeight="1">
      <c r="C596" s="19" t="s">
        <v>2180</v>
      </c>
      <c r="D596" s="39" t="s">
        <v>2117</v>
      </c>
      <c r="E596" s="36" t="s">
        <v>2221</v>
      </c>
      <c r="F596" s="36" t="s">
        <v>2222</v>
      </c>
      <c r="G596" s="36" t="s">
        <v>301</v>
      </c>
      <c r="H596" s="41" t="s">
        <v>2223</v>
      </c>
      <c r="I596" s="18">
        <f t="shared" si="5"/>
        <v>45937</v>
      </c>
      <c r="J596" s="19" t="s">
        <v>28</v>
      </c>
      <c r="K596" s="19" t="s">
        <v>325</v>
      </c>
      <c r="L596" s="40"/>
    </row>
    <row r="597" ht="22.5" customHeight="1">
      <c r="C597" s="19" t="s">
        <v>2180</v>
      </c>
      <c r="D597" s="39" t="s">
        <v>2121</v>
      </c>
      <c r="E597" s="36" t="s">
        <v>2224</v>
      </c>
      <c r="F597" s="36" t="s">
        <v>2225</v>
      </c>
      <c r="G597" s="36" t="s">
        <v>82</v>
      </c>
      <c r="H597" s="35">
        <v>5.616856697E9</v>
      </c>
      <c r="I597" s="18">
        <f t="shared" si="5"/>
        <v>45937</v>
      </c>
      <c r="J597" s="19" t="s">
        <v>28</v>
      </c>
      <c r="K597" s="19" t="s">
        <v>325</v>
      </c>
      <c r="L597" s="40"/>
    </row>
    <row r="598" ht="22.5" customHeight="1">
      <c r="C598" s="19" t="s">
        <v>2180</v>
      </c>
      <c r="D598" s="39" t="s">
        <v>2124</v>
      </c>
      <c r="E598" s="36" t="s">
        <v>2226</v>
      </c>
      <c r="F598" s="36" t="s">
        <v>2227</v>
      </c>
      <c r="G598" s="36" t="s">
        <v>1010</v>
      </c>
      <c r="H598" s="35">
        <v>5.615314627E9</v>
      </c>
      <c r="I598" s="18">
        <f t="shared" si="5"/>
        <v>45937</v>
      </c>
      <c r="J598" s="19" t="s">
        <v>28</v>
      </c>
      <c r="K598" s="19" t="s">
        <v>325</v>
      </c>
      <c r="L598" s="40"/>
    </row>
    <row r="599" ht="22.5" customHeight="1">
      <c r="C599" s="19" t="s">
        <v>2180</v>
      </c>
      <c r="D599" s="39" t="s">
        <v>2128</v>
      </c>
      <c r="E599" s="36" t="s">
        <v>2228</v>
      </c>
      <c r="F599" s="36" t="s">
        <v>2229</v>
      </c>
      <c r="G599" s="36" t="s">
        <v>1050</v>
      </c>
      <c r="H599" s="35">
        <v>7.722147877E9</v>
      </c>
      <c r="I599" s="18">
        <f t="shared" si="5"/>
        <v>45937</v>
      </c>
      <c r="J599" s="19" t="s">
        <v>28</v>
      </c>
      <c r="K599" s="19" t="s">
        <v>325</v>
      </c>
      <c r="L599" s="40"/>
    </row>
    <row r="600" ht="22.5" customHeight="1">
      <c r="C600" s="19" t="s">
        <v>2180</v>
      </c>
      <c r="D600" s="39" t="s">
        <v>2132</v>
      </c>
      <c r="E600" s="36" t="s">
        <v>2230</v>
      </c>
      <c r="F600" s="36" t="s">
        <v>2231</v>
      </c>
      <c r="G600" s="36" t="s">
        <v>360</v>
      </c>
      <c r="H600" s="41" t="s">
        <v>2232</v>
      </c>
      <c r="I600" s="18">
        <f t="shared" si="5"/>
        <v>45937</v>
      </c>
      <c r="J600" s="19" t="s">
        <v>28</v>
      </c>
      <c r="K600" s="19" t="s">
        <v>325</v>
      </c>
      <c r="L600" s="40"/>
    </row>
    <row r="601" ht="22.5" customHeight="1">
      <c r="C601" s="19" t="s">
        <v>2180</v>
      </c>
      <c r="D601" s="39" t="s">
        <v>2135</v>
      </c>
      <c r="E601" s="36" t="s">
        <v>2233</v>
      </c>
      <c r="F601" s="36" t="s">
        <v>2234</v>
      </c>
      <c r="G601" s="36" t="s">
        <v>323</v>
      </c>
      <c r="H601" s="41" t="s">
        <v>2235</v>
      </c>
      <c r="I601" s="18">
        <f t="shared" si="5"/>
        <v>45937</v>
      </c>
      <c r="J601" s="19" t="s">
        <v>28</v>
      </c>
      <c r="K601" s="19" t="s">
        <v>325</v>
      </c>
      <c r="L601" s="40"/>
    </row>
    <row r="602" ht="22.5" customHeight="1">
      <c r="C602" s="19" t="s">
        <v>2180</v>
      </c>
      <c r="D602" s="39" t="s">
        <v>2139</v>
      </c>
      <c r="E602" s="36" t="s">
        <v>2236</v>
      </c>
      <c r="F602" s="36" t="s">
        <v>2237</v>
      </c>
      <c r="G602" s="36" t="s">
        <v>727</v>
      </c>
      <c r="H602" s="41" t="s">
        <v>2238</v>
      </c>
      <c r="I602" s="18">
        <f t="shared" si="5"/>
        <v>45937</v>
      </c>
      <c r="J602" s="19" t="s">
        <v>28</v>
      </c>
      <c r="K602" s="19" t="s">
        <v>325</v>
      </c>
      <c r="L602" s="40"/>
    </row>
    <row r="603" ht="22.5" customHeight="1">
      <c r="C603" s="19" t="s">
        <v>2180</v>
      </c>
      <c r="D603" s="39" t="s">
        <v>2142</v>
      </c>
      <c r="E603" s="36" t="s">
        <v>2239</v>
      </c>
      <c r="F603" s="36" t="s">
        <v>2240</v>
      </c>
      <c r="G603" s="36" t="s">
        <v>170</v>
      </c>
      <c r="H603" s="35">
        <v>5.618318202E9</v>
      </c>
      <c r="I603" s="18">
        <f t="shared" si="5"/>
        <v>45937</v>
      </c>
      <c r="J603" s="19" t="s">
        <v>28</v>
      </c>
      <c r="K603" s="19" t="s">
        <v>325</v>
      </c>
      <c r="L603" s="40"/>
    </row>
    <row r="604" ht="22.5" customHeight="1">
      <c r="C604" s="19" t="s">
        <v>2241</v>
      </c>
      <c r="D604" s="39" t="s">
        <v>2242</v>
      </c>
      <c r="E604" s="43" t="s">
        <v>2243</v>
      </c>
      <c r="F604" s="43" t="s">
        <v>2244</v>
      </c>
      <c r="G604" s="43" t="s">
        <v>377</v>
      </c>
      <c r="H604" s="44">
        <v>5.6166865E9</v>
      </c>
      <c r="I604" s="18">
        <f t="shared" si="5"/>
        <v>45937</v>
      </c>
      <c r="J604" s="19" t="s">
        <v>28</v>
      </c>
      <c r="K604" s="19" t="s">
        <v>325</v>
      </c>
      <c r="L604" s="40"/>
    </row>
    <row r="605" ht="22.5" customHeight="1">
      <c r="C605" s="19" t="s">
        <v>2241</v>
      </c>
      <c r="D605" s="39" t="s">
        <v>2245</v>
      </c>
      <c r="E605" s="43" t="s">
        <v>2246</v>
      </c>
      <c r="F605" s="43" t="s">
        <v>1644</v>
      </c>
      <c r="G605" s="43" t="s">
        <v>136</v>
      </c>
      <c r="H605" s="42" t="s">
        <v>2247</v>
      </c>
      <c r="I605" s="18">
        <f t="shared" si="5"/>
        <v>45937</v>
      </c>
      <c r="J605" s="19" t="s">
        <v>28</v>
      </c>
      <c r="K605" s="19" t="s">
        <v>325</v>
      </c>
      <c r="L605" s="40"/>
    </row>
    <row r="606" ht="22.5" customHeight="1">
      <c r="C606" s="19" t="s">
        <v>2241</v>
      </c>
      <c r="D606" s="39" t="s">
        <v>2248</v>
      </c>
      <c r="E606" s="43" t="s">
        <v>2249</v>
      </c>
      <c r="F606" s="43" t="s">
        <v>2250</v>
      </c>
      <c r="G606" s="43" t="s">
        <v>2000</v>
      </c>
      <c r="H606" s="42" t="s">
        <v>2251</v>
      </c>
      <c r="I606" s="18">
        <f t="shared" si="5"/>
        <v>45937</v>
      </c>
      <c r="J606" s="19" t="s">
        <v>28</v>
      </c>
      <c r="K606" s="19" t="s">
        <v>325</v>
      </c>
      <c r="L606" s="40"/>
    </row>
    <row r="607" ht="22.5" customHeight="1">
      <c r="C607" s="19" t="s">
        <v>2241</v>
      </c>
      <c r="D607" s="39" t="s">
        <v>2252</v>
      </c>
      <c r="E607" s="43" t="s">
        <v>2253</v>
      </c>
      <c r="F607" s="43" t="s">
        <v>2253</v>
      </c>
      <c r="G607" s="43" t="s">
        <v>582</v>
      </c>
      <c r="H607" s="44">
        <v>5.612345432E9</v>
      </c>
      <c r="I607" s="18">
        <f t="shared" si="5"/>
        <v>45937</v>
      </c>
      <c r="J607" s="19" t="s">
        <v>28</v>
      </c>
      <c r="K607" s="19" t="s">
        <v>325</v>
      </c>
      <c r="L607" s="40"/>
    </row>
    <row r="608" ht="22.5" customHeight="1">
      <c r="C608" s="19" t="s">
        <v>2241</v>
      </c>
      <c r="D608" s="39" t="s">
        <v>2254</v>
      </c>
      <c r="E608" s="43" t="s">
        <v>2255</v>
      </c>
      <c r="F608" s="43" t="s">
        <v>2256</v>
      </c>
      <c r="G608" s="43" t="s">
        <v>2257</v>
      </c>
      <c r="H608" s="44">
        <v>5.617822443E9</v>
      </c>
      <c r="I608" s="18">
        <f t="shared" si="5"/>
        <v>45937</v>
      </c>
      <c r="J608" s="19" t="s">
        <v>28</v>
      </c>
      <c r="K608" s="19" t="s">
        <v>325</v>
      </c>
      <c r="L608" s="40"/>
    </row>
    <row r="609" ht="22.5" customHeight="1">
      <c r="C609" s="19" t="s">
        <v>2241</v>
      </c>
      <c r="D609" s="39" t="s">
        <v>2258</v>
      </c>
      <c r="E609" s="43" t="s">
        <v>2259</v>
      </c>
      <c r="F609" s="43" t="s">
        <v>2260</v>
      </c>
      <c r="G609" s="43" t="s">
        <v>1230</v>
      </c>
      <c r="H609" s="44">
        <v>5.613529199E9</v>
      </c>
      <c r="I609" s="18">
        <f t="shared" si="5"/>
        <v>45937</v>
      </c>
      <c r="J609" s="19" t="s">
        <v>28</v>
      </c>
      <c r="K609" s="19" t="s">
        <v>325</v>
      </c>
      <c r="L609" s="40"/>
    </row>
    <row r="610" ht="22.5" customHeight="1">
      <c r="C610" s="19" t="s">
        <v>2241</v>
      </c>
      <c r="D610" s="39" t="s">
        <v>2261</v>
      </c>
      <c r="E610" s="43" t="s">
        <v>2262</v>
      </c>
      <c r="F610" s="43" t="s">
        <v>2263</v>
      </c>
      <c r="G610" s="43" t="s">
        <v>67</v>
      </c>
      <c r="H610" s="42" t="s">
        <v>2264</v>
      </c>
      <c r="I610" s="18">
        <f t="shared" si="5"/>
        <v>45937</v>
      </c>
      <c r="J610" s="19" t="s">
        <v>28</v>
      </c>
      <c r="K610" s="19" t="s">
        <v>325</v>
      </c>
      <c r="L610" s="40"/>
    </row>
    <row r="611" ht="22.5" customHeight="1">
      <c r="C611" s="19" t="s">
        <v>2241</v>
      </c>
      <c r="D611" s="39" t="s">
        <v>2265</v>
      </c>
      <c r="E611" s="43" t="s">
        <v>2266</v>
      </c>
      <c r="F611" s="43" t="s">
        <v>2267</v>
      </c>
      <c r="G611" s="43" t="s">
        <v>915</v>
      </c>
      <c r="H611" s="44">
        <v>5.617792713E9</v>
      </c>
      <c r="I611" s="18">
        <f t="shared" si="5"/>
        <v>45937</v>
      </c>
      <c r="J611" s="19" t="s">
        <v>28</v>
      </c>
      <c r="K611" s="19" t="s">
        <v>325</v>
      </c>
      <c r="L611" s="40"/>
    </row>
    <row r="612" ht="22.5" customHeight="1">
      <c r="C612" s="19" t="s">
        <v>2241</v>
      </c>
      <c r="D612" s="39" t="s">
        <v>2268</v>
      </c>
      <c r="E612" s="43" t="s">
        <v>2269</v>
      </c>
      <c r="F612" s="43" t="s">
        <v>2270</v>
      </c>
      <c r="G612" s="43" t="s">
        <v>599</v>
      </c>
      <c r="H612" s="44">
        <v>2.1223358E9</v>
      </c>
      <c r="I612" s="18">
        <f t="shared" si="5"/>
        <v>45937</v>
      </c>
      <c r="J612" s="19" t="s">
        <v>28</v>
      </c>
      <c r="K612" s="19" t="s">
        <v>325</v>
      </c>
      <c r="L612" s="40"/>
    </row>
    <row r="613" ht="22.5" customHeight="1">
      <c r="C613" s="19" t="s">
        <v>2241</v>
      </c>
      <c r="D613" s="39" t="s">
        <v>2271</v>
      </c>
      <c r="E613" s="43" t="s">
        <v>2272</v>
      </c>
      <c r="F613" s="43" t="s">
        <v>2273</v>
      </c>
      <c r="G613" s="43" t="s">
        <v>727</v>
      </c>
      <c r="H613" s="42" t="s">
        <v>2274</v>
      </c>
      <c r="I613" s="18">
        <f t="shared" si="5"/>
        <v>45937</v>
      </c>
      <c r="J613" s="19" t="s">
        <v>28</v>
      </c>
      <c r="K613" s="19" t="s">
        <v>325</v>
      </c>
      <c r="L613" s="40"/>
    </row>
    <row r="614" ht="22.5" customHeight="1">
      <c r="C614" s="19" t="s">
        <v>2241</v>
      </c>
      <c r="D614" s="39" t="s">
        <v>2275</v>
      </c>
      <c r="E614" s="43" t="s">
        <v>2276</v>
      </c>
      <c r="F614" s="43" t="s">
        <v>2277</v>
      </c>
      <c r="G614" s="43" t="s">
        <v>1781</v>
      </c>
      <c r="H614" s="44">
        <v>5.618594662E9</v>
      </c>
      <c r="I614" s="18">
        <f t="shared" si="5"/>
        <v>45937</v>
      </c>
      <c r="J614" s="19" t="s">
        <v>28</v>
      </c>
      <c r="K614" s="19" t="s">
        <v>325</v>
      </c>
      <c r="L614" s="40"/>
    </row>
    <row r="615" ht="22.5" customHeight="1">
      <c r="C615" s="19" t="s">
        <v>2241</v>
      </c>
      <c r="D615" s="39" t="s">
        <v>2278</v>
      </c>
      <c r="E615" s="43" t="s">
        <v>2279</v>
      </c>
      <c r="F615" s="43" t="s">
        <v>2280</v>
      </c>
      <c r="G615" s="43" t="s">
        <v>1504</v>
      </c>
      <c r="H615" s="44">
        <v>5.617068921E9</v>
      </c>
      <c r="I615" s="18">
        <f t="shared" si="5"/>
        <v>45937</v>
      </c>
      <c r="J615" s="19" t="s">
        <v>28</v>
      </c>
      <c r="K615" s="19" t="s">
        <v>325</v>
      </c>
      <c r="L615" s="40"/>
    </row>
    <row r="616" ht="22.5" customHeight="1">
      <c r="C616" s="19" t="s">
        <v>2241</v>
      </c>
      <c r="D616" s="39" t="s">
        <v>2281</v>
      </c>
      <c r="E616" s="43" t="s">
        <v>2282</v>
      </c>
      <c r="F616" s="43" t="s">
        <v>2283</v>
      </c>
      <c r="G616" s="43" t="s">
        <v>421</v>
      </c>
      <c r="H616" s="42" t="s">
        <v>2284</v>
      </c>
      <c r="I616" s="18">
        <f t="shared" si="5"/>
        <v>45937</v>
      </c>
      <c r="J616" s="19" t="s">
        <v>28</v>
      </c>
      <c r="K616" s="19" t="s">
        <v>325</v>
      </c>
      <c r="L616" s="40"/>
    </row>
    <row r="617" ht="22.5" customHeight="1">
      <c r="C617" s="19" t="s">
        <v>2241</v>
      </c>
      <c r="D617" s="39" t="s">
        <v>2285</v>
      </c>
      <c r="E617" s="43" t="s">
        <v>2286</v>
      </c>
      <c r="F617" s="43" t="s">
        <v>2287</v>
      </c>
      <c r="G617" s="43" t="s">
        <v>279</v>
      </c>
      <c r="H617" s="42" t="s">
        <v>2288</v>
      </c>
      <c r="I617" s="18">
        <f t="shared" si="5"/>
        <v>45937</v>
      </c>
      <c r="J617" s="19" t="s">
        <v>28</v>
      </c>
      <c r="K617" s="19" t="s">
        <v>325</v>
      </c>
      <c r="L617" s="40"/>
    </row>
    <row r="618" ht="22.5" customHeight="1">
      <c r="C618" s="19" t="s">
        <v>2241</v>
      </c>
      <c r="D618" s="39" t="s">
        <v>2289</v>
      </c>
      <c r="E618" s="43" t="s">
        <v>2290</v>
      </c>
      <c r="F618" s="43" t="s">
        <v>2291</v>
      </c>
      <c r="G618" s="43" t="s">
        <v>77</v>
      </c>
      <c r="H618" s="42" t="s">
        <v>2292</v>
      </c>
      <c r="I618" s="18">
        <f t="shared" si="5"/>
        <v>45937</v>
      </c>
      <c r="J618" s="19" t="s">
        <v>28</v>
      </c>
      <c r="K618" s="19" t="s">
        <v>325</v>
      </c>
      <c r="L618" s="40"/>
    </row>
    <row r="619" ht="22.5" customHeight="1">
      <c r="C619" s="19" t="s">
        <v>2241</v>
      </c>
      <c r="D619" s="39" t="s">
        <v>2293</v>
      </c>
      <c r="E619" s="43" t="s">
        <v>2294</v>
      </c>
      <c r="F619" s="43" t="s">
        <v>2295</v>
      </c>
      <c r="G619" s="43" t="s">
        <v>2296</v>
      </c>
      <c r="H619" s="44">
        <v>5.613861312E9</v>
      </c>
      <c r="I619" s="18">
        <f t="shared" si="5"/>
        <v>45937</v>
      </c>
      <c r="J619" s="19" t="s">
        <v>28</v>
      </c>
      <c r="K619" s="19" t="s">
        <v>325</v>
      </c>
      <c r="L619" s="40"/>
    </row>
    <row r="620" ht="22.5" customHeight="1">
      <c r="C620" s="19" t="s">
        <v>2241</v>
      </c>
      <c r="D620" s="39" t="s">
        <v>2297</v>
      </c>
      <c r="E620" s="43" t="s">
        <v>2298</v>
      </c>
      <c r="F620" s="43" t="s">
        <v>2299</v>
      </c>
      <c r="G620" s="43" t="s">
        <v>360</v>
      </c>
      <c r="H620" s="44">
        <v>7.72812975E9</v>
      </c>
      <c r="I620" s="18">
        <f t="shared" si="5"/>
        <v>45937</v>
      </c>
      <c r="J620" s="19" t="s">
        <v>28</v>
      </c>
      <c r="K620" s="19" t="s">
        <v>325</v>
      </c>
      <c r="L620" s="40"/>
    </row>
    <row r="621" ht="22.5" customHeight="1">
      <c r="C621" s="19" t="s">
        <v>2241</v>
      </c>
      <c r="D621" s="39" t="s">
        <v>2300</v>
      </c>
      <c r="E621" s="43" t="s">
        <v>2301</v>
      </c>
      <c r="F621" s="43" t="s">
        <v>2302</v>
      </c>
      <c r="G621" s="43" t="s">
        <v>113</v>
      </c>
      <c r="H621" s="44">
        <v>7.864868225E9</v>
      </c>
      <c r="I621" s="18">
        <f t="shared" si="5"/>
        <v>45937</v>
      </c>
      <c r="J621" s="19" t="s">
        <v>28</v>
      </c>
      <c r="K621" s="19" t="s">
        <v>325</v>
      </c>
      <c r="L621" s="40"/>
    </row>
    <row r="622" ht="22.5" customHeight="1">
      <c r="C622" s="19" t="s">
        <v>2241</v>
      </c>
      <c r="D622" s="39" t="s">
        <v>2303</v>
      </c>
      <c r="E622" s="43" t="s">
        <v>2304</v>
      </c>
      <c r="F622" s="43" t="s">
        <v>2305</v>
      </c>
      <c r="G622" s="43" t="s">
        <v>786</v>
      </c>
      <c r="H622" s="42" t="s">
        <v>2306</v>
      </c>
      <c r="I622" s="18">
        <f t="shared" si="5"/>
        <v>45937</v>
      </c>
      <c r="J622" s="19" t="s">
        <v>28</v>
      </c>
      <c r="K622" s="19" t="s">
        <v>325</v>
      </c>
      <c r="L622" s="40"/>
    </row>
    <row r="623" ht="22.5" customHeight="1">
      <c r="C623" s="19" t="s">
        <v>2241</v>
      </c>
      <c r="D623" s="39" t="s">
        <v>2307</v>
      </c>
      <c r="E623" s="43" t="s">
        <v>2308</v>
      </c>
      <c r="F623" s="43" t="s">
        <v>2032</v>
      </c>
      <c r="G623" s="43" t="s">
        <v>82</v>
      </c>
      <c r="H623" s="44">
        <v>5.613130687E9</v>
      </c>
      <c r="I623" s="18">
        <f t="shared" si="5"/>
        <v>45937</v>
      </c>
      <c r="J623" s="19" t="s">
        <v>28</v>
      </c>
      <c r="K623" s="19" t="s">
        <v>325</v>
      </c>
      <c r="L623" s="40"/>
    </row>
    <row r="624" ht="22.5" customHeight="1">
      <c r="C624" s="19" t="s">
        <v>2241</v>
      </c>
      <c r="D624" s="39" t="s">
        <v>2309</v>
      </c>
      <c r="E624" s="43" t="s">
        <v>2310</v>
      </c>
      <c r="F624" s="43" t="s">
        <v>2311</v>
      </c>
      <c r="G624" s="43" t="s">
        <v>72</v>
      </c>
      <c r="H624" s="42" t="s">
        <v>2312</v>
      </c>
      <c r="I624" s="18">
        <f t="shared" si="5"/>
        <v>45937</v>
      </c>
      <c r="J624" s="19" t="s">
        <v>28</v>
      </c>
      <c r="K624" s="19" t="s">
        <v>325</v>
      </c>
      <c r="L624" s="40"/>
    </row>
    <row r="625" ht="22.5" customHeight="1">
      <c r="C625" s="19" t="s">
        <v>2241</v>
      </c>
      <c r="D625" s="39" t="s">
        <v>2313</v>
      </c>
      <c r="E625" s="43" t="s">
        <v>2314</v>
      </c>
      <c r="F625" s="43" t="s">
        <v>2315</v>
      </c>
      <c r="G625" s="43" t="s">
        <v>346</v>
      </c>
      <c r="H625" s="44">
        <v>5.618593476E9</v>
      </c>
      <c r="I625" s="18">
        <f t="shared" si="5"/>
        <v>45937</v>
      </c>
      <c r="J625" s="19" t="s">
        <v>28</v>
      </c>
      <c r="K625" s="19" t="s">
        <v>325</v>
      </c>
      <c r="L625" s="4" t="s">
        <v>99</v>
      </c>
    </row>
    <row r="626" ht="22.5" customHeight="1">
      <c r="C626" s="19" t="s">
        <v>2241</v>
      </c>
      <c r="D626" s="39" t="s">
        <v>2316</v>
      </c>
      <c r="E626" s="43" t="s">
        <v>2317</v>
      </c>
      <c r="F626" s="43" t="s">
        <v>2318</v>
      </c>
      <c r="G626" s="43" t="s">
        <v>152</v>
      </c>
      <c r="H626" s="42" t="s">
        <v>2319</v>
      </c>
      <c r="I626" s="18">
        <f t="shared" si="5"/>
        <v>45937</v>
      </c>
      <c r="J626" s="19" t="s">
        <v>28</v>
      </c>
      <c r="K626" s="19" t="s">
        <v>325</v>
      </c>
      <c r="L626" s="40"/>
    </row>
    <row r="627" ht="22.5" customHeight="1">
      <c r="C627" s="19" t="s">
        <v>2241</v>
      </c>
      <c r="D627" s="39" t="s">
        <v>2320</v>
      </c>
      <c r="E627" s="43" t="s">
        <v>2321</v>
      </c>
      <c r="F627" s="43" t="s">
        <v>2322</v>
      </c>
      <c r="G627" s="43" t="s">
        <v>2323</v>
      </c>
      <c r="H627" s="42" t="s">
        <v>1096</v>
      </c>
      <c r="I627" s="18">
        <f t="shared" si="5"/>
        <v>45937</v>
      </c>
      <c r="J627" s="19" t="s">
        <v>28</v>
      </c>
      <c r="K627" s="19" t="s">
        <v>325</v>
      </c>
      <c r="L627" s="40"/>
    </row>
    <row r="628" ht="22.5" customHeight="1">
      <c r="C628" s="19" t="s">
        <v>2241</v>
      </c>
      <c r="D628" s="39" t="s">
        <v>2324</v>
      </c>
      <c r="E628" s="43" t="s">
        <v>2325</v>
      </c>
      <c r="F628" s="43" t="s">
        <v>2326</v>
      </c>
      <c r="G628" s="43" t="s">
        <v>126</v>
      </c>
      <c r="H628" s="42" t="s">
        <v>2327</v>
      </c>
      <c r="I628" s="18">
        <f t="shared" si="5"/>
        <v>45937</v>
      </c>
      <c r="J628" s="19" t="s">
        <v>28</v>
      </c>
      <c r="K628" s="19" t="s">
        <v>325</v>
      </c>
      <c r="L628" s="40"/>
    </row>
    <row r="629" ht="22.5" customHeight="1">
      <c r="C629" s="19" t="s">
        <v>2241</v>
      </c>
      <c r="D629" s="39" t="s">
        <v>2328</v>
      </c>
      <c r="E629" s="43" t="s">
        <v>2329</v>
      </c>
      <c r="F629" s="43" t="s">
        <v>2330</v>
      </c>
      <c r="G629" s="43" t="s">
        <v>2331</v>
      </c>
      <c r="H629" s="42" t="s">
        <v>2332</v>
      </c>
      <c r="I629" s="18">
        <f t="shared" si="5"/>
        <v>45937</v>
      </c>
      <c r="J629" s="19" t="s">
        <v>28</v>
      </c>
      <c r="K629" s="19" t="s">
        <v>325</v>
      </c>
      <c r="L629" s="40"/>
    </row>
    <row r="630" ht="22.5" customHeight="1">
      <c r="C630" s="19" t="s">
        <v>2241</v>
      </c>
      <c r="D630" s="39" t="s">
        <v>2333</v>
      </c>
      <c r="E630" s="43" t="s">
        <v>2334</v>
      </c>
      <c r="F630" s="43" t="s">
        <v>2335</v>
      </c>
      <c r="G630" s="43" t="s">
        <v>2336</v>
      </c>
      <c r="H630" s="42" t="s">
        <v>2337</v>
      </c>
      <c r="I630" s="18">
        <f t="shared" si="5"/>
        <v>45937</v>
      </c>
      <c r="J630" s="19" t="s">
        <v>28</v>
      </c>
      <c r="K630" s="19" t="s">
        <v>325</v>
      </c>
      <c r="L630" s="40"/>
    </row>
    <row r="631" ht="22.5" customHeight="1">
      <c r="C631" s="19" t="s">
        <v>2338</v>
      </c>
      <c r="D631" s="39" t="s">
        <v>2339</v>
      </c>
      <c r="E631" s="43" t="s">
        <v>2340</v>
      </c>
      <c r="F631" s="43" t="s">
        <v>2341</v>
      </c>
      <c r="G631" s="43" t="s">
        <v>170</v>
      </c>
      <c r="H631" s="44">
        <v>5.612144221E9</v>
      </c>
      <c r="I631" s="18">
        <f t="shared" si="5"/>
        <v>45937</v>
      </c>
      <c r="J631" s="19" t="s">
        <v>28</v>
      </c>
      <c r="K631" s="19" t="s">
        <v>325</v>
      </c>
      <c r="L631" s="40"/>
    </row>
    <row r="632" ht="22.5" customHeight="1">
      <c r="C632" s="19" t="s">
        <v>2338</v>
      </c>
      <c r="D632" s="39" t="s">
        <v>2339</v>
      </c>
      <c r="E632" s="43" t="s">
        <v>2342</v>
      </c>
      <c r="F632" s="43" t="s">
        <v>2343</v>
      </c>
      <c r="G632" s="43" t="s">
        <v>1199</v>
      </c>
      <c r="H632" s="42" t="s">
        <v>2344</v>
      </c>
      <c r="I632" s="18">
        <f t="shared" si="5"/>
        <v>45937</v>
      </c>
      <c r="J632" s="19" t="s">
        <v>28</v>
      </c>
      <c r="K632" s="19" t="s">
        <v>325</v>
      </c>
      <c r="L632" s="40"/>
    </row>
    <row r="633" ht="22.5" customHeight="1">
      <c r="C633" s="19" t="s">
        <v>2338</v>
      </c>
      <c r="D633" s="39" t="s">
        <v>2339</v>
      </c>
      <c r="E633" s="43" t="s">
        <v>2345</v>
      </c>
      <c r="F633" s="43" t="s">
        <v>2346</v>
      </c>
      <c r="G633" s="43" t="s">
        <v>136</v>
      </c>
      <c r="H633" s="44">
        <v>5.61735224E9</v>
      </c>
      <c r="I633" s="18">
        <f t="shared" si="5"/>
        <v>45937</v>
      </c>
      <c r="J633" s="19" t="s">
        <v>28</v>
      </c>
      <c r="K633" s="19" t="s">
        <v>325</v>
      </c>
      <c r="L633" s="40"/>
    </row>
    <row r="634" ht="22.5" customHeight="1">
      <c r="C634" s="19" t="s">
        <v>2338</v>
      </c>
      <c r="D634" s="39" t="s">
        <v>2339</v>
      </c>
      <c r="E634" s="43" t="s">
        <v>2347</v>
      </c>
      <c r="F634" s="43" t="s">
        <v>2348</v>
      </c>
      <c r="G634" s="43" t="s">
        <v>67</v>
      </c>
      <c r="H634" s="42" t="s">
        <v>2349</v>
      </c>
      <c r="I634" s="18">
        <f t="shared" si="5"/>
        <v>45937</v>
      </c>
      <c r="J634" s="19" t="s">
        <v>28</v>
      </c>
      <c r="K634" s="19" t="s">
        <v>325</v>
      </c>
      <c r="L634" s="40"/>
    </row>
    <row r="635" ht="22.5" customHeight="1">
      <c r="C635" s="19" t="s">
        <v>2338</v>
      </c>
      <c r="D635" s="39" t="s">
        <v>2339</v>
      </c>
      <c r="E635" s="43" t="s">
        <v>2350</v>
      </c>
      <c r="F635" s="43" t="s">
        <v>2351</v>
      </c>
      <c r="G635" s="43" t="s">
        <v>108</v>
      </c>
      <c r="H635" s="44">
        <v>5.613137412E9</v>
      </c>
      <c r="I635" s="18">
        <f t="shared" si="5"/>
        <v>45937</v>
      </c>
      <c r="J635" s="19" t="s">
        <v>28</v>
      </c>
      <c r="K635" s="19" t="s">
        <v>325</v>
      </c>
      <c r="L635" s="40"/>
    </row>
    <row r="636" ht="22.5" customHeight="1">
      <c r="C636" s="19" t="s">
        <v>2338</v>
      </c>
      <c r="D636" s="39" t="s">
        <v>2339</v>
      </c>
      <c r="E636" s="43" t="s">
        <v>2352</v>
      </c>
      <c r="F636" s="43" t="s">
        <v>2353</v>
      </c>
      <c r="G636" s="43" t="s">
        <v>421</v>
      </c>
      <c r="H636" s="44">
        <v>7.72276695E9</v>
      </c>
      <c r="I636" s="18">
        <f t="shared" si="5"/>
        <v>45937</v>
      </c>
      <c r="J636" s="19" t="s">
        <v>28</v>
      </c>
      <c r="K636" s="19" t="s">
        <v>325</v>
      </c>
      <c r="L636" s="4" t="s">
        <v>148</v>
      </c>
    </row>
    <row r="637" ht="22.5" customHeight="1">
      <c r="C637" s="19" t="s">
        <v>2338</v>
      </c>
      <c r="D637" s="39" t="s">
        <v>2339</v>
      </c>
      <c r="E637" s="43" t="s">
        <v>2354</v>
      </c>
      <c r="F637" s="43" t="s">
        <v>2355</v>
      </c>
      <c r="G637" s="43" t="s">
        <v>717</v>
      </c>
      <c r="H637" s="44">
        <v>3.526342337E9</v>
      </c>
      <c r="I637" s="18">
        <f t="shared" si="5"/>
        <v>45937</v>
      </c>
      <c r="J637" s="19" t="s">
        <v>28</v>
      </c>
      <c r="K637" s="19" t="s">
        <v>325</v>
      </c>
      <c r="L637" s="40"/>
    </row>
    <row r="638" ht="22.5" customHeight="1">
      <c r="C638" s="19" t="s">
        <v>2338</v>
      </c>
      <c r="D638" s="39" t="s">
        <v>2339</v>
      </c>
      <c r="E638" s="43" t="s">
        <v>2356</v>
      </c>
      <c r="F638" s="43" t="s">
        <v>2357</v>
      </c>
      <c r="G638" s="43" t="s">
        <v>2358</v>
      </c>
      <c r="H638" s="44">
        <v>7.86789359E9</v>
      </c>
      <c r="I638" s="18">
        <f t="shared" si="5"/>
        <v>45937</v>
      </c>
      <c r="J638" s="19" t="s">
        <v>28</v>
      </c>
      <c r="K638" s="19" t="s">
        <v>325</v>
      </c>
      <c r="L638" s="40"/>
    </row>
    <row r="639" ht="22.5" customHeight="1">
      <c r="C639" s="19" t="s">
        <v>2338</v>
      </c>
      <c r="D639" s="39" t="s">
        <v>2339</v>
      </c>
      <c r="E639" s="43" t="s">
        <v>2359</v>
      </c>
      <c r="F639" s="43" t="s">
        <v>2360</v>
      </c>
      <c r="G639" s="43" t="s">
        <v>1843</v>
      </c>
      <c r="H639" s="42" t="s">
        <v>2361</v>
      </c>
      <c r="I639" s="18">
        <f t="shared" si="5"/>
        <v>45937</v>
      </c>
      <c r="J639" s="19" t="s">
        <v>28</v>
      </c>
      <c r="K639" s="19" t="s">
        <v>325</v>
      </c>
      <c r="L639" s="40"/>
    </row>
    <row r="640" ht="22.5" customHeight="1">
      <c r="C640" s="19" t="s">
        <v>2338</v>
      </c>
      <c r="D640" s="39" t="s">
        <v>2339</v>
      </c>
      <c r="E640" s="43" t="s">
        <v>2362</v>
      </c>
      <c r="F640" s="43" t="s">
        <v>2363</v>
      </c>
      <c r="G640" s="43" t="s">
        <v>1307</v>
      </c>
      <c r="H640" s="42" t="s">
        <v>2364</v>
      </c>
      <c r="I640" s="18">
        <f t="shared" si="5"/>
        <v>45937</v>
      </c>
      <c r="J640" s="19" t="s">
        <v>28</v>
      </c>
      <c r="K640" s="19" t="s">
        <v>325</v>
      </c>
      <c r="L640" s="40"/>
    </row>
    <row r="641" ht="22.5" customHeight="1">
      <c r="C641" s="19" t="s">
        <v>2338</v>
      </c>
      <c r="D641" s="39" t="s">
        <v>2339</v>
      </c>
      <c r="E641" s="43" t="s">
        <v>2365</v>
      </c>
      <c r="F641" s="43" t="s">
        <v>2366</v>
      </c>
      <c r="G641" s="43" t="s">
        <v>2367</v>
      </c>
      <c r="H641" s="42" t="s">
        <v>2368</v>
      </c>
      <c r="I641" s="18">
        <f t="shared" si="5"/>
        <v>45937</v>
      </c>
      <c r="J641" s="19" t="s">
        <v>28</v>
      </c>
      <c r="K641" s="19" t="s">
        <v>325</v>
      </c>
      <c r="L641" s="40"/>
    </row>
    <row r="642" ht="22.5" customHeight="1">
      <c r="C642" s="19" t="s">
        <v>2338</v>
      </c>
      <c r="D642" s="39" t="s">
        <v>2339</v>
      </c>
      <c r="E642" s="43" t="s">
        <v>2369</v>
      </c>
      <c r="F642" s="43" t="s">
        <v>2370</v>
      </c>
      <c r="G642" s="43" t="s">
        <v>57</v>
      </c>
      <c r="H642" s="44">
        <v>5.61617418E9</v>
      </c>
      <c r="I642" s="18">
        <f t="shared" si="5"/>
        <v>45937</v>
      </c>
      <c r="J642" s="19" t="s">
        <v>28</v>
      </c>
      <c r="K642" s="19" t="s">
        <v>325</v>
      </c>
      <c r="L642" s="40"/>
    </row>
    <row r="643" ht="22.5" customHeight="1">
      <c r="C643" s="19" t="s">
        <v>2338</v>
      </c>
      <c r="D643" s="39" t="s">
        <v>2339</v>
      </c>
      <c r="E643" s="43" t="s">
        <v>2371</v>
      </c>
      <c r="F643" s="43" t="s">
        <v>2372</v>
      </c>
      <c r="G643" s="43" t="s">
        <v>1823</v>
      </c>
      <c r="H643" s="42" t="s">
        <v>2373</v>
      </c>
      <c r="I643" s="18">
        <f t="shared" si="5"/>
        <v>45937</v>
      </c>
      <c r="J643" s="19" t="s">
        <v>28</v>
      </c>
      <c r="K643" s="19" t="s">
        <v>325</v>
      </c>
      <c r="L643" s="4" t="s">
        <v>99</v>
      </c>
    </row>
    <row r="644" ht="22.5" customHeight="1">
      <c r="C644" s="19" t="s">
        <v>2338</v>
      </c>
      <c r="D644" s="39" t="s">
        <v>2339</v>
      </c>
      <c r="E644" s="43" t="s">
        <v>2374</v>
      </c>
      <c r="F644" s="43" t="s">
        <v>2375</v>
      </c>
      <c r="G644" s="43" t="s">
        <v>142</v>
      </c>
      <c r="H644" s="42" t="s">
        <v>2376</v>
      </c>
      <c r="I644" s="18">
        <f t="shared" si="5"/>
        <v>45937</v>
      </c>
      <c r="J644" s="19" t="s">
        <v>28</v>
      </c>
      <c r="K644" s="19" t="s">
        <v>325</v>
      </c>
      <c r="L644" s="40"/>
    </row>
    <row r="645" ht="22.5" customHeight="1">
      <c r="C645" s="19" t="s">
        <v>2338</v>
      </c>
      <c r="D645" s="39" t="s">
        <v>2339</v>
      </c>
      <c r="E645" s="43" t="s">
        <v>2377</v>
      </c>
      <c r="F645" s="43" t="s">
        <v>2378</v>
      </c>
      <c r="G645" s="43" t="s">
        <v>113</v>
      </c>
      <c r="H645" s="42" t="s">
        <v>2379</v>
      </c>
      <c r="I645" s="18">
        <f t="shared" si="5"/>
        <v>45937</v>
      </c>
      <c r="J645" s="19" t="s">
        <v>28</v>
      </c>
      <c r="K645" s="19" t="s">
        <v>325</v>
      </c>
      <c r="L645" s="40"/>
    </row>
    <row r="646" ht="22.5" customHeight="1">
      <c r="C646" s="19" t="s">
        <v>2338</v>
      </c>
      <c r="D646" s="39" t="s">
        <v>2339</v>
      </c>
      <c r="E646" s="43" t="s">
        <v>2380</v>
      </c>
      <c r="F646" s="43" t="s">
        <v>830</v>
      </c>
      <c r="G646" s="43" t="s">
        <v>82</v>
      </c>
      <c r="H646" s="44">
        <v>7.864690179E9</v>
      </c>
      <c r="I646" s="18">
        <f t="shared" si="5"/>
        <v>45937</v>
      </c>
      <c r="J646" s="19" t="s">
        <v>28</v>
      </c>
      <c r="K646" s="19" t="s">
        <v>325</v>
      </c>
      <c r="L646" s="40"/>
    </row>
    <row r="647" ht="22.5" customHeight="1">
      <c r="C647" s="19" t="s">
        <v>2338</v>
      </c>
      <c r="D647" s="39" t="s">
        <v>2339</v>
      </c>
      <c r="E647" s="43" t="s">
        <v>2381</v>
      </c>
      <c r="F647" s="43" t="s">
        <v>2382</v>
      </c>
      <c r="G647" s="43" t="s">
        <v>847</v>
      </c>
      <c r="H647" s="44">
        <v>5.618003675E9</v>
      </c>
      <c r="I647" s="18">
        <f t="shared" si="5"/>
        <v>45937</v>
      </c>
      <c r="J647" s="19" t="s">
        <v>28</v>
      </c>
      <c r="K647" s="19" t="s">
        <v>325</v>
      </c>
      <c r="L647" s="40"/>
    </row>
    <row r="648" ht="22.5" customHeight="1">
      <c r="C648" s="19" t="s">
        <v>2338</v>
      </c>
      <c r="D648" s="39" t="s">
        <v>2339</v>
      </c>
      <c r="E648" s="43" t="s">
        <v>2383</v>
      </c>
      <c r="F648" s="43" t="s">
        <v>2384</v>
      </c>
      <c r="G648" s="43" t="s">
        <v>269</v>
      </c>
      <c r="H648" s="44">
        <v>7.863016036E9</v>
      </c>
      <c r="I648" s="18">
        <f t="shared" si="5"/>
        <v>45937</v>
      </c>
      <c r="J648" s="19" t="s">
        <v>28</v>
      </c>
      <c r="K648" s="19" t="s">
        <v>325</v>
      </c>
      <c r="L648" s="4" t="s">
        <v>99</v>
      </c>
    </row>
    <row r="649" ht="22.5" customHeight="1">
      <c r="C649" s="19" t="s">
        <v>2338</v>
      </c>
      <c r="D649" s="39" t="s">
        <v>2339</v>
      </c>
      <c r="E649" s="43" t="s">
        <v>2385</v>
      </c>
      <c r="F649" s="43" t="s">
        <v>2386</v>
      </c>
      <c r="G649" s="43" t="s">
        <v>680</v>
      </c>
      <c r="H649" s="42" t="s">
        <v>2387</v>
      </c>
      <c r="I649" s="18">
        <f t="shared" si="5"/>
        <v>45937</v>
      </c>
      <c r="J649" s="19" t="s">
        <v>28</v>
      </c>
      <c r="K649" s="19" t="s">
        <v>325</v>
      </c>
      <c r="L649" s="4" t="s">
        <v>148</v>
      </c>
    </row>
    <row r="650" ht="22.5" customHeight="1">
      <c r="C650" s="19" t="s">
        <v>2338</v>
      </c>
      <c r="D650" s="39" t="s">
        <v>2339</v>
      </c>
      <c r="E650" s="43" t="s">
        <v>2388</v>
      </c>
      <c r="F650" s="43" t="s">
        <v>2389</v>
      </c>
      <c r="G650" s="43" t="s">
        <v>1588</v>
      </c>
      <c r="H650" s="42" t="s">
        <v>2390</v>
      </c>
      <c r="I650" s="18">
        <f t="shared" si="5"/>
        <v>45937</v>
      </c>
      <c r="J650" s="19" t="s">
        <v>28</v>
      </c>
      <c r="K650" s="19" t="s">
        <v>325</v>
      </c>
      <c r="L650" s="40"/>
    </row>
    <row r="651" ht="22.5" customHeight="1">
      <c r="C651" s="19" t="s">
        <v>2338</v>
      </c>
      <c r="D651" s="39" t="s">
        <v>2339</v>
      </c>
      <c r="E651" s="43" t="s">
        <v>2391</v>
      </c>
      <c r="F651" s="43" t="s">
        <v>2392</v>
      </c>
      <c r="G651" s="43" t="s">
        <v>72</v>
      </c>
      <c r="H651" s="42" t="s">
        <v>2393</v>
      </c>
      <c r="I651" s="18">
        <f t="shared" si="5"/>
        <v>45937</v>
      </c>
      <c r="J651" s="19" t="s">
        <v>28</v>
      </c>
      <c r="K651" s="19" t="s">
        <v>325</v>
      </c>
      <c r="L651" s="40"/>
    </row>
    <row r="652" ht="22.5" customHeight="1">
      <c r="C652" s="19" t="s">
        <v>2338</v>
      </c>
      <c r="D652" s="39" t="s">
        <v>2339</v>
      </c>
      <c r="E652" s="43" t="s">
        <v>2394</v>
      </c>
      <c r="F652" s="43" t="s">
        <v>2395</v>
      </c>
      <c r="G652" s="43" t="s">
        <v>118</v>
      </c>
      <c r="H652" s="44">
        <v>7.133963431E9</v>
      </c>
      <c r="I652" s="18">
        <f t="shared" si="5"/>
        <v>45937</v>
      </c>
      <c r="J652" s="19" t="s">
        <v>28</v>
      </c>
      <c r="K652" s="19" t="s">
        <v>325</v>
      </c>
      <c r="L652" s="40"/>
    </row>
    <row r="653" ht="22.5" customHeight="1">
      <c r="C653" s="19" t="s">
        <v>2338</v>
      </c>
      <c r="D653" s="39" t="s">
        <v>2339</v>
      </c>
      <c r="E653" s="43" t="s">
        <v>2396</v>
      </c>
      <c r="F653" s="43" t="s">
        <v>2397</v>
      </c>
      <c r="G653" s="43" t="s">
        <v>77</v>
      </c>
      <c r="H653" s="44">
        <v>3.475066061E9</v>
      </c>
      <c r="I653" s="18">
        <f t="shared" si="5"/>
        <v>45937</v>
      </c>
      <c r="J653" s="19" t="s">
        <v>28</v>
      </c>
      <c r="K653" s="19" t="s">
        <v>325</v>
      </c>
      <c r="L653" s="40"/>
    </row>
    <row r="654" ht="22.5" customHeight="1">
      <c r="C654" s="19" t="s">
        <v>2338</v>
      </c>
      <c r="D654" s="39" t="s">
        <v>2339</v>
      </c>
      <c r="E654" s="43" t="s">
        <v>2398</v>
      </c>
      <c r="F654" s="43" t="s">
        <v>2399</v>
      </c>
      <c r="G654" s="43" t="s">
        <v>126</v>
      </c>
      <c r="H654" s="42" t="s">
        <v>2400</v>
      </c>
      <c r="I654" s="18">
        <f t="shared" si="5"/>
        <v>45937</v>
      </c>
      <c r="J654" s="19" t="s">
        <v>28</v>
      </c>
      <c r="K654" s="19" t="s">
        <v>325</v>
      </c>
      <c r="L654" s="40"/>
    </row>
    <row r="655" ht="22.5" customHeight="1">
      <c r="C655" s="19" t="s">
        <v>2338</v>
      </c>
      <c r="D655" s="39" t="s">
        <v>2339</v>
      </c>
      <c r="E655" s="43" t="s">
        <v>2401</v>
      </c>
      <c r="F655" s="43" t="s">
        <v>1871</v>
      </c>
      <c r="G655" s="43" t="s">
        <v>77</v>
      </c>
      <c r="H655" s="44">
        <v>5.613547996E9</v>
      </c>
      <c r="I655" s="18">
        <f t="shared" si="5"/>
        <v>45937</v>
      </c>
      <c r="J655" s="19" t="s">
        <v>28</v>
      </c>
      <c r="K655" s="19" t="s">
        <v>325</v>
      </c>
      <c r="L655" s="40"/>
    </row>
    <row r="656" ht="22.5" customHeight="1">
      <c r="C656" s="19" t="s">
        <v>2338</v>
      </c>
      <c r="D656" s="39" t="s">
        <v>2339</v>
      </c>
      <c r="E656" s="43" t="s">
        <v>2402</v>
      </c>
      <c r="F656" s="43" t="s">
        <v>2403</v>
      </c>
      <c r="G656" s="43" t="s">
        <v>301</v>
      </c>
      <c r="H656" s="44">
        <v>5.616328469E9</v>
      </c>
      <c r="I656" s="18">
        <f t="shared" si="5"/>
        <v>45937</v>
      </c>
      <c r="J656" s="19" t="s">
        <v>28</v>
      </c>
      <c r="K656" s="19" t="s">
        <v>325</v>
      </c>
      <c r="L656" s="40"/>
    </row>
    <row r="657" ht="22.5" customHeight="1">
      <c r="C657" s="19" t="s">
        <v>2338</v>
      </c>
      <c r="D657" s="39" t="s">
        <v>2339</v>
      </c>
      <c r="E657" s="43" t="s">
        <v>2404</v>
      </c>
      <c r="F657" s="43" t="s">
        <v>2405</v>
      </c>
      <c r="G657" s="43" t="s">
        <v>1134</v>
      </c>
      <c r="H657" s="44">
        <v>5.615712849E9</v>
      </c>
      <c r="I657" s="18">
        <f t="shared" si="5"/>
        <v>45937</v>
      </c>
      <c r="J657" s="19" t="s">
        <v>28</v>
      </c>
      <c r="K657" s="19" t="s">
        <v>325</v>
      </c>
      <c r="L657" s="4" t="s">
        <v>99</v>
      </c>
    </row>
    <row r="658" ht="22.5" customHeight="1">
      <c r="C658" s="19" t="s">
        <v>2338</v>
      </c>
      <c r="D658" s="39" t="s">
        <v>2339</v>
      </c>
      <c r="E658" s="43" t="s">
        <v>2406</v>
      </c>
      <c r="F658" s="43" t="s">
        <v>2407</v>
      </c>
      <c r="G658" s="43" t="s">
        <v>636</v>
      </c>
      <c r="H658" s="42" t="s">
        <v>2408</v>
      </c>
      <c r="I658" s="18">
        <f t="shared" si="5"/>
        <v>45937</v>
      </c>
      <c r="J658" s="19" t="s">
        <v>28</v>
      </c>
      <c r="K658" s="19" t="s">
        <v>325</v>
      </c>
      <c r="L658" s="40"/>
    </row>
    <row r="659" ht="22.5" customHeight="1">
      <c r="C659" s="19" t="s">
        <v>2338</v>
      </c>
      <c r="D659" s="39" t="s">
        <v>2339</v>
      </c>
      <c r="E659" s="43" t="s">
        <v>2409</v>
      </c>
      <c r="F659" s="43" t="s">
        <v>2410</v>
      </c>
      <c r="G659" s="43" t="s">
        <v>26</v>
      </c>
      <c r="H659" s="44">
        <v>9.542280816E9</v>
      </c>
      <c r="I659" s="18">
        <f t="shared" si="5"/>
        <v>45937</v>
      </c>
      <c r="J659" s="19" t="s">
        <v>28</v>
      </c>
      <c r="K659" s="19" t="s">
        <v>325</v>
      </c>
      <c r="L659" s="40"/>
    </row>
    <row r="660" ht="22.5" customHeight="1">
      <c r="C660" s="19" t="s">
        <v>2411</v>
      </c>
      <c r="D660" s="39" t="s">
        <v>2339</v>
      </c>
      <c r="E660" s="39" t="s">
        <v>2412</v>
      </c>
      <c r="F660" s="45" t="s">
        <v>2413</v>
      </c>
      <c r="G660" s="45" t="s">
        <v>2414</v>
      </c>
      <c r="H660" s="46" t="s">
        <v>182</v>
      </c>
      <c r="I660" s="18">
        <f t="shared" si="5"/>
        <v>45937</v>
      </c>
      <c r="J660" s="19" t="s">
        <v>28</v>
      </c>
      <c r="K660" s="19" t="s">
        <v>28</v>
      </c>
      <c r="L660" s="4" t="s">
        <v>148</v>
      </c>
    </row>
    <row r="661" ht="22.5" customHeight="1">
      <c r="C661" s="19" t="s">
        <v>2415</v>
      </c>
      <c r="D661" s="39" t="s">
        <v>2416</v>
      </c>
      <c r="E661" s="43" t="s">
        <v>2417</v>
      </c>
      <c r="F661" s="43" t="s">
        <v>2418</v>
      </c>
      <c r="G661" s="43" t="s">
        <v>387</v>
      </c>
      <c r="H661" s="42" t="s">
        <v>2419</v>
      </c>
      <c r="I661" s="18">
        <f t="shared" ref="I661:I766" si="6">DATE(2025, 10, 8)</f>
        <v>45938</v>
      </c>
      <c r="J661" s="19" t="s">
        <v>28</v>
      </c>
      <c r="K661" s="19" t="s">
        <v>325</v>
      </c>
      <c r="L661" s="40"/>
    </row>
    <row r="662" ht="22.5" customHeight="1">
      <c r="C662" s="19" t="s">
        <v>2415</v>
      </c>
      <c r="D662" s="39" t="s">
        <v>2420</v>
      </c>
      <c r="E662" s="43" t="s">
        <v>2421</v>
      </c>
      <c r="F662" s="43" t="s">
        <v>2422</v>
      </c>
      <c r="G662" s="43" t="s">
        <v>97</v>
      </c>
      <c r="H662" s="42" t="s">
        <v>2423</v>
      </c>
      <c r="I662" s="18">
        <f t="shared" si="6"/>
        <v>45938</v>
      </c>
      <c r="J662" s="19" t="s">
        <v>28</v>
      </c>
      <c r="K662" s="19" t="s">
        <v>325</v>
      </c>
      <c r="L662" s="40"/>
    </row>
    <row r="663" ht="22.5" customHeight="1">
      <c r="C663" s="19" t="s">
        <v>2415</v>
      </c>
      <c r="D663" s="39" t="s">
        <v>2424</v>
      </c>
      <c r="E663" s="43" t="s">
        <v>2425</v>
      </c>
      <c r="F663" s="43" t="s">
        <v>2426</v>
      </c>
      <c r="G663" s="43" t="s">
        <v>377</v>
      </c>
      <c r="H663" s="42" t="s">
        <v>2427</v>
      </c>
      <c r="I663" s="18">
        <f t="shared" si="6"/>
        <v>45938</v>
      </c>
      <c r="J663" s="19" t="s">
        <v>28</v>
      </c>
      <c r="K663" s="19" t="s">
        <v>325</v>
      </c>
      <c r="L663" s="40"/>
    </row>
    <row r="664" ht="22.5" customHeight="1">
      <c r="C664" s="19" t="s">
        <v>2415</v>
      </c>
      <c r="D664" s="39" t="s">
        <v>2428</v>
      </c>
      <c r="E664" s="43" t="s">
        <v>2429</v>
      </c>
      <c r="F664" s="43" t="s">
        <v>2430</v>
      </c>
      <c r="G664" s="43" t="s">
        <v>421</v>
      </c>
      <c r="H664" s="42" t="s">
        <v>2431</v>
      </c>
      <c r="I664" s="18">
        <f t="shared" si="6"/>
        <v>45938</v>
      </c>
      <c r="J664" s="19" t="s">
        <v>28</v>
      </c>
      <c r="K664" s="19" t="s">
        <v>325</v>
      </c>
      <c r="L664" s="40"/>
    </row>
    <row r="665" ht="22.5" customHeight="1">
      <c r="C665" s="19" t="s">
        <v>2415</v>
      </c>
      <c r="D665" s="39" t="s">
        <v>2432</v>
      </c>
      <c r="E665" s="43" t="s">
        <v>2433</v>
      </c>
      <c r="F665" s="43" t="s">
        <v>2434</v>
      </c>
      <c r="G665" s="43" t="s">
        <v>113</v>
      </c>
      <c r="H665" s="42" t="s">
        <v>2435</v>
      </c>
      <c r="I665" s="18">
        <f t="shared" si="6"/>
        <v>45938</v>
      </c>
      <c r="J665" s="19" t="s">
        <v>28</v>
      </c>
      <c r="K665" s="19" t="s">
        <v>325</v>
      </c>
      <c r="L665" s="40"/>
    </row>
    <row r="666" ht="22.5" customHeight="1">
      <c r="C666" s="19" t="s">
        <v>2415</v>
      </c>
      <c r="D666" s="39" t="s">
        <v>2436</v>
      </c>
      <c r="E666" s="43" t="s">
        <v>2437</v>
      </c>
      <c r="F666" s="43" t="s">
        <v>2438</v>
      </c>
      <c r="G666" s="43" t="s">
        <v>717</v>
      </c>
      <c r="H666" s="42" t="s">
        <v>2439</v>
      </c>
      <c r="I666" s="18">
        <f t="shared" si="6"/>
        <v>45938</v>
      </c>
      <c r="J666" s="19" t="s">
        <v>28</v>
      </c>
      <c r="K666" s="19" t="s">
        <v>325</v>
      </c>
      <c r="L666" s="4" t="s">
        <v>148</v>
      </c>
    </row>
    <row r="667" ht="22.5" customHeight="1">
      <c r="C667" s="19" t="s">
        <v>2415</v>
      </c>
      <c r="D667" s="39" t="s">
        <v>2440</v>
      </c>
      <c r="E667" s="43" t="s">
        <v>2441</v>
      </c>
      <c r="F667" s="43" t="s">
        <v>2442</v>
      </c>
      <c r="G667" s="43" t="s">
        <v>269</v>
      </c>
      <c r="H667" s="42" t="s">
        <v>2443</v>
      </c>
      <c r="I667" s="18">
        <f t="shared" si="6"/>
        <v>45938</v>
      </c>
      <c r="J667" s="19" t="s">
        <v>28</v>
      </c>
      <c r="K667" s="19" t="s">
        <v>325</v>
      </c>
      <c r="L667" s="40"/>
    </row>
    <row r="668" ht="22.5" customHeight="1">
      <c r="C668" s="19" t="s">
        <v>2415</v>
      </c>
      <c r="D668" s="39" t="s">
        <v>2444</v>
      </c>
      <c r="E668" s="43" t="s">
        <v>2445</v>
      </c>
      <c r="F668" s="43" t="s">
        <v>2446</v>
      </c>
      <c r="G668" s="43" t="s">
        <v>52</v>
      </c>
      <c r="H668" s="44">
        <v>9.54642152E9</v>
      </c>
      <c r="I668" s="18">
        <f t="shared" si="6"/>
        <v>45938</v>
      </c>
      <c r="J668" s="19" t="s">
        <v>28</v>
      </c>
      <c r="K668" s="19" t="s">
        <v>325</v>
      </c>
      <c r="L668" s="40"/>
    </row>
    <row r="669" ht="22.5" customHeight="1">
      <c r="C669" s="19" t="s">
        <v>2415</v>
      </c>
      <c r="D669" s="39" t="s">
        <v>2447</v>
      </c>
      <c r="E669" s="43" t="s">
        <v>2448</v>
      </c>
      <c r="F669" s="43" t="s">
        <v>2449</v>
      </c>
      <c r="G669" s="43" t="s">
        <v>346</v>
      </c>
      <c r="H669" s="44">
        <v>7.862781843E9</v>
      </c>
      <c r="I669" s="18">
        <f t="shared" si="6"/>
        <v>45938</v>
      </c>
      <c r="J669" s="19" t="s">
        <v>28</v>
      </c>
      <c r="K669" s="19" t="s">
        <v>325</v>
      </c>
      <c r="L669" s="4" t="s">
        <v>148</v>
      </c>
    </row>
    <row r="670" ht="22.5" customHeight="1">
      <c r="C670" s="19" t="s">
        <v>2415</v>
      </c>
      <c r="D670" s="39" t="s">
        <v>2450</v>
      </c>
      <c r="E670" s="43" t="s">
        <v>2451</v>
      </c>
      <c r="F670" s="43" t="s">
        <v>2452</v>
      </c>
      <c r="G670" s="43" t="s">
        <v>346</v>
      </c>
      <c r="H670" s="42" t="s">
        <v>2453</v>
      </c>
      <c r="I670" s="18">
        <f t="shared" si="6"/>
        <v>45938</v>
      </c>
      <c r="J670" s="19" t="s">
        <v>28</v>
      </c>
      <c r="K670" s="19" t="s">
        <v>325</v>
      </c>
      <c r="L670" s="40"/>
    </row>
    <row r="671" ht="22.5" customHeight="1">
      <c r="C671" s="19" t="s">
        <v>2415</v>
      </c>
      <c r="D671" s="39" t="s">
        <v>2454</v>
      </c>
      <c r="E671" s="43" t="s">
        <v>2455</v>
      </c>
      <c r="F671" s="43" t="s">
        <v>607</v>
      </c>
      <c r="G671" s="43" t="s">
        <v>57</v>
      </c>
      <c r="H671" s="44">
        <v>5.613304609E9</v>
      </c>
      <c r="I671" s="18">
        <f t="shared" si="6"/>
        <v>45938</v>
      </c>
      <c r="J671" s="19" t="s">
        <v>28</v>
      </c>
      <c r="K671" s="19" t="s">
        <v>325</v>
      </c>
      <c r="L671" s="40"/>
    </row>
    <row r="672" ht="22.5" customHeight="1">
      <c r="C672" s="19" t="s">
        <v>2415</v>
      </c>
      <c r="D672" s="39" t="s">
        <v>2456</v>
      </c>
      <c r="E672" s="43" t="s">
        <v>2457</v>
      </c>
      <c r="F672" s="43" t="s">
        <v>2458</v>
      </c>
      <c r="G672" s="43" t="s">
        <v>622</v>
      </c>
      <c r="H672" s="44">
        <v>7.542696733E9</v>
      </c>
      <c r="I672" s="18">
        <f t="shared" si="6"/>
        <v>45938</v>
      </c>
      <c r="J672" s="19" t="s">
        <v>28</v>
      </c>
      <c r="K672" s="19" t="s">
        <v>325</v>
      </c>
      <c r="L672" s="40"/>
    </row>
    <row r="673" ht="22.5" customHeight="1">
      <c r="C673" s="19" t="s">
        <v>2415</v>
      </c>
      <c r="D673" s="39" t="s">
        <v>2459</v>
      </c>
      <c r="E673" s="43" t="s">
        <v>2460</v>
      </c>
      <c r="F673" s="43" t="s">
        <v>2461</v>
      </c>
      <c r="G673" s="43" t="s">
        <v>126</v>
      </c>
      <c r="H673" s="42" t="s">
        <v>2462</v>
      </c>
      <c r="I673" s="18">
        <f t="shared" si="6"/>
        <v>45938</v>
      </c>
      <c r="J673" s="19" t="s">
        <v>28</v>
      </c>
      <c r="K673" s="19" t="s">
        <v>325</v>
      </c>
      <c r="L673" s="40"/>
    </row>
    <row r="674" ht="22.5" customHeight="1">
      <c r="C674" s="19" t="s">
        <v>2415</v>
      </c>
      <c r="D674" s="39" t="s">
        <v>2463</v>
      </c>
      <c r="E674" s="43" t="s">
        <v>2464</v>
      </c>
      <c r="F674" s="43" t="s">
        <v>2465</v>
      </c>
      <c r="G674" s="43" t="s">
        <v>77</v>
      </c>
      <c r="H674" s="44">
        <v>9.5442912E9</v>
      </c>
      <c r="I674" s="18">
        <f t="shared" si="6"/>
        <v>45938</v>
      </c>
      <c r="J674" s="19" t="s">
        <v>28</v>
      </c>
      <c r="K674" s="19" t="s">
        <v>325</v>
      </c>
      <c r="L674" s="40"/>
    </row>
    <row r="675" ht="22.5" customHeight="1">
      <c r="C675" s="19" t="s">
        <v>2415</v>
      </c>
      <c r="D675" s="39" t="s">
        <v>2466</v>
      </c>
      <c r="E675" s="43" t="s">
        <v>2467</v>
      </c>
      <c r="F675" s="43" t="s">
        <v>2468</v>
      </c>
      <c r="G675" s="43" t="s">
        <v>142</v>
      </c>
      <c r="H675" s="42" t="s">
        <v>2469</v>
      </c>
      <c r="I675" s="18">
        <f t="shared" si="6"/>
        <v>45938</v>
      </c>
      <c r="J675" s="19" t="s">
        <v>28</v>
      </c>
      <c r="K675" s="19" t="s">
        <v>325</v>
      </c>
      <c r="L675" s="40"/>
    </row>
    <row r="676" ht="22.5" customHeight="1">
      <c r="C676" s="19" t="s">
        <v>2415</v>
      </c>
      <c r="D676" s="39" t="s">
        <v>2470</v>
      </c>
      <c r="E676" s="43" t="s">
        <v>2471</v>
      </c>
      <c r="F676" s="43" t="s">
        <v>2472</v>
      </c>
      <c r="G676" s="43" t="s">
        <v>617</v>
      </c>
      <c r="H676" s="44">
        <v>1.5613054468E10</v>
      </c>
      <c r="I676" s="18">
        <f t="shared" si="6"/>
        <v>45938</v>
      </c>
      <c r="J676" s="19" t="s">
        <v>28</v>
      </c>
      <c r="K676" s="19" t="s">
        <v>325</v>
      </c>
      <c r="L676" s="40"/>
    </row>
    <row r="677" ht="22.5" customHeight="1">
      <c r="C677" s="19" t="s">
        <v>2415</v>
      </c>
      <c r="D677" s="39" t="s">
        <v>2473</v>
      </c>
      <c r="E677" s="43" t="s">
        <v>2474</v>
      </c>
      <c r="F677" s="43" t="s">
        <v>2475</v>
      </c>
      <c r="G677" s="43" t="s">
        <v>72</v>
      </c>
      <c r="H677" s="42" t="s">
        <v>2476</v>
      </c>
      <c r="I677" s="18">
        <f t="shared" si="6"/>
        <v>45938</v>
      </c>
      <c r="J677" s="19" t="s">
        <v>28</v>
      </c>
      <c r="K677" s="19" t="s">
        <v>325</v>
      </c>
      <c r="L677" s="40"/>
    </row>
    <row r="678" ht="22.5" customHeight="1">
      <c r="C678" s="19" t="s">
        <v>2415</v>
      </c>
      <c r="D678" s="39" t="s">
        <v>2477</v>
      </c>
      <c r="E678" s="43" t="s">
        <v>2478</v>
      </c>
      <c r="F678" s="43" t="s">
        <v>2479</v>
      </c>
      <c r="G678" s="43" t="s">
        <v>67</v>
      </c>
      <c r="H678" s="42" t="s">
        <v>2480</v>
      </c>
      <c r="I678" s="18">
        <f t="shared" si="6"/>
        <v>45938</v>
      </c>
      <c r="J678" s="19" t="s">
        <v>28</v>
      </c>
      <c r="K678" s="19" t="s">
        <v>325</v>
      </c>
      <c r="L678" s="40"/>
    </row>
    <row r="679" ht="22.5" customHeight="1">
      <c r="C679" s="19" t="s">
        <v>2415</v>
      </c>
      <c r="D679" s="39" t="s">
        <v>2481</v>
      </c>
      <c r="E679" s="43" t="s">
        <v>2482</v>
      </c>
      <c r="F679" s="43" t="s">
        <v>2483</v>
      </c>
      <c r="G679" s="43" t="s">
        <v>152</v>
      </c>
      <c r="H679" s="42" t="s">
        <v>2484</v>
      </c>
      <c r="I679" s="18">
        <f t="shared" si="6"/>
        <v>45938</v>
      </c>
      <c r="J679" s="19" t="s">
        <v>28</v>
      </c>
      <c r="K679" s="19" t="s">
        <v>325</v>
      </c>
      <c r="L679" s="40"/>
    </row>
    <row r="680" ht="22.5" customHeight="1">
      <c r="C680" s="19" t="s">
        <v>2415</v>
      </c>
      <c r="D680" s="39" t="s">
        <v>2485</v>
      </c>
      <c r="E680" s="43" t="s">
        <v>2486</v>
      </c>
      <c r="F680" s="43" t="s">
        <v>2487</v>
      </c>
      <c r="G680" s="43" t="s">
        <v>62</v>
      </c>
      <c r="H680" s="47" t="s">
        <v>182</v>
      </c>
      <c r="I680" s="18">
        <f t="shared" si="6"/>
        <v>45938</v>
      </c>
      <c r="J680" s="19" t="s">
        <v>28</v>
      </c>
      <c r="K680" s="19" t="s">
        <v>325</v>
      </c>
      <c r="L680" s="40"/>
    </row>
    <row r="681" ht="22.5" customHeight="1">
      <c r="C681" s="19" t="s">
        <v>2488</v>
      </c>
      <c r="D681" s="39" t="s">
        <v>2339</v>
      </c>
      <c r="E681" s="43" t="s">
        <v>2489</v>
      </c>
      <c r="F681" s="43" t="s">
        <v>2199</v>
      </c>
      <c r="G681" s="43" t="s">
        <v>57</v>
      </c>
      <c r="H681" s="42" t="s">
        <v>2490</v>
      </c>
      <c r="I681" s="18">
        <f t="shared" si="6"/>
        <v>45938</v>
      </c>
      <c r="J681" s="19" t="s">
        <v>28</v>
      </c>
      <c r="K681" s="19" t="s">
        <v>325</v>
      </c>
      <c r="L681" s="40"/>
    </row>
    <row r="682" ht="22.5" customHeight="1">
      <c r="C682" s="19" t="s">
        <v>2488</v>
      </c>
      <c r="D682" s="39" t="s">
        <v>2339</v>
      </c>
      <c r="E682" s="43" t="s">
        <v>2491</v>
      </c>
      <c r="F682" s="43" t="s">
        <v>2492</v>
      </c>
      <c r="G682" s="43" t="s">
        <v>62</v>
      </c>
      <c r="H682" s="42" t="s">
        <v>2493</v>
      </c>
      <c r="I682" s="18">
        <f t="shared" si="6"/>
        <v>45938</v>
      </c>
      <c r="J682" s="19" t="s">
        <v>28</v>
      </c>
      <c r="K682" s="19" t="s">
        <v>325</v>
      </c>
      <c r="L682" s="4" t="s">
        <v>148</v>
      </c>
    </row>
    <row r="683" ht="22.5" customHeight="1">
      <c r="C683" s="19" t="s">
        <v>2488</v>
      </c>
      <c r="D683" s="39" t="s">
        <v>2339</v>
      </c>
      <c r="E683" s="43" t="s">
        <v>2494</v>
      </c>
      <c r="F683" s="43" t="s">
        <v>2495</v>
      </c>
      <c r="G683" s="43" t="s">
        <v>847</v>
      </c>
      <c r="H683" s="42" t="s">
        <v>2496</v>
      </c>
      <c r="I683" s="18">
        <f t="shared" si="6"/>
        <v>45938</v>
      </c>
      <c r="J683" s="19" t="s">
        <v>28</v>
      </c>
      <c r="K683" s="19" t="s">
        <v>325</v>
      </c>
      <c r="L683" s="40"/>
    </row>
    <row r="684" ht="22.5" customHeight="1">
      <c r="C684" s="19" t="s">
        <v>2488</v>
      </c>
      <c r="D684" s="39" t="s">
        <v>2339</v>
      </c>
      <c r="E684" s="43" t="s">
        <v>2497</v>
      </c>
      <c r="F684" s="43" t="s">
        <v>2498</v>
      </c>
      <c r="G684" s="43" t="s">
        <v>868</v>
      </c>
      <c r="H684" s="44">
        <v>5.612255434E9</v>
      </c>
      <c r="I684" s="18">
        <f t="shared" si="6"/>
        <v>45938</v>
      </c>
      <c r="J684" s="19" t="s">
        <v>28</v>
      </c>
      <c r="K684" s="19" t="s">
        <v>325</v>
      </c>
      <c r="L684" s="40"/>
    </row>
    <row r="685" ht="22.5" customHeight="1">
      <c r="C685" s="19" t="s">
        <v>2488</v>
      </c>
      <c r="D685" s="39" t="s">
        <v>2339</v>
      </c>
      <c r="E685" s="43" t="s">
        <v>2499</v>
      </c>
      <c r="F685" s="43" t="s">
        <v>2500</v>
      </c>
      <c r="G685" s="43" t="s">
        <v>152</v>
      </c>
      <c r="H685" s="44">
        <v>9.544481713E9</v>
      </c>
      <c r="I685" s="18">
        <f t="shared" si="6"/>
        <v>45938</v>
      </c>
      <c r="J685" s="19" t="s">
        <v>28</v>
      </c>
      <c r="K685" s="19" t="s">
        <v>325</v>
      </c>
      <c r="L685" s="40"/>
    </row>
    <row r="686" ht="22.5" customHeight="1">
      <c r="C686" s="19" t="s">
        <v>2488</v>
      </c>
      <c r="D686" s="39" t="s">
        <v>2339</v>
      </c>
      <c r="E686" s="43" t="s">
        <v>2501</v>
      </c>
      <c r="F686" s="43" t="s">
        <v>1211</v>
      </c>
      <c r="G686" s="43" t="s">
        <v>67</v>
      </c>
      <c r="H686" s="44">
        <v>5.618666036E9</v>
      </c>
      <c r="I686" s="18">
        <f t="shared" si="6"/>
        <v>45938</v>
      </c>
      <c r="J686" s="19" t="s">
        <v>28</v>
      </c>
      <c r="K686" s="19" t="s">
        <v>325</v>
      </c>
      <c r="L686" s="40"/>
    </row>
    <row r="687" ht="22.5" customHeight="1">
      <c r="C687" s="19" t="s">
        <v>2488</v>
      </c>
      <c r="D687" s="39" t="s">
        <v>2339</v>
      </c>
      <c r="E687" s="43" t="s">
        <v>2502</v>
      </c>
      <c r="F687" s="43" t="s">
        <v>2503</v>
      </c>
      <c r="G687" s="43" t="s">
        <v>2504</v>
      </c>
      <c r="H687" s="44">
        <v>5.612811359E9</v>
      </c>
      <c r="I687" s="18">
        <f t="shared" si="6"/>
        <v>45938</v>
      </c>
      <c r="J687" s="19" t="s">
        <v>28</v>
      </c>
      <c r="K687" s="19" t="s">
        <v>325</v>
      </c>
      <c r="L687" s="40"/>
    </row>
    <row r="688" ht="22.5" customHeight="1">
      <c r="C688" s="19" t="s">
        <v>2488</v>
      </c>
      <c r="D688" s="39" t="s">
        <v>2339</v>
      </c>
      <c r="E688" s="43" t="s">
        <v>2505</v>
      </c>
      <c r="F688" s="43" t="s">
        <v>2506</v>
      </c>
      <c r="G688" s="43" t="s">
        <v>717</v>
      </c>
      <c r="H688" s="44">
        <v>7.542290476E9</v>
      </c>
      <c r="I688" s="18">
        <f t="shared" si="6"/>
        <v>45938</v>
      </c>
      <c r="J688" s="19" t="s">
        <v>28</v>
      </c>
      <c r="K688" s="19" t="s">
        <v>325</v>
      </c>
      <c r="L688" s="40"/>
    </row>
    <row r="689" ht="22.5" customHeight="1">
      <c r="C689" s="19" t="s">
        <v>2488</v>
      </c>
      <c r="D689" s="39" t="s">
        <v>2339</v>
      </c>
      <c r="E689" s="43" t="s">
        <v>2507</v>
      </c>
      <c r="F689" s="43" t="s">
        <v>2508</v>
      </c>
      <c r="G689" s="43" t="s">
        <v>136</v>
      </c>
      <c r="H689" s="42" t="s">
        <v>2509</v>
      </c>
      <c r="I689" s="18">
        <f t="shared" si="6"/>
        <v>45938</v>
      </c>
      <c r="J689" s="19" t="s">
        <v>28</v>
      </c>
      <c r="K689" s="19" t="s">
        <v>325</v>
      </c>
      <c r="L689" s="40"/>
    </row>
    <row r="690" ht="22.5" customHeight="1">
      <c r="C690" s="19" t="s">
        <v>2488</v>
      </c>
      <c r="D690" s="39" t="s">
        <v>2339</v>
      </c>
      <c r="E690" s="43" t="s">
        <v>2510</v>
      </c>
      <c r="F690" s="43" t="s">
        <v>2511</v>
      </c>
      <c r="G690" s="43" t="s">
        <v>346</v>
      </c>
      <c r="H690" s="42" t="s">
        <v>2512</v>
      </c>
      <c r="I690" s="18">
        <f t="shared" si="6"/>
        <v>45938</v>
      </c>
      <c r="J690" s="19" t="s">
        <v>28</v>
      </c>
      <c r="K690" s="19" t="s">
        <v>325</v>
      </c>
      <c r="L690" s="40"/>
    </row>
    <row r="691" ht="22.5" customHeight="1">
      <c r="C691" s="19" t="s">
        <v>2488</v>
      </c>
      <c r="D691" s="39" t="s">
        <v>2339</v>
      </c>
      <c r="E691" s="43" t="s">
        <v>2513</v>
      </c>
      <c r="F691" s="43" t="s">
        <v>2514</v>
      </c>
      <c r="G691" s="43" t="s">
        <v>77</v>
      </c>
      <c r="H691" s="44">
        <v>7.542566186E9</v>
      </c>
      <c r="I691" s="18">
        <f t="shared" si="6"/>
        <v>45938</v>
      </c>
      <c r="J691" s="19" t="s">
        <v>28</v>
      </c>
      <c r="K691" s="19" t="s">
        <v>325</v>
      </c>
      <c r="L691" s="40"/>
    </row>
    <row r="692" ht="22.5" customHeight="1">
      <c r="C692" s="19" t="s">
        <v>2488</v>
      </c>
      <c r="D692" s="39" t="s">
        <v>2339</v>
      </c>
      <c r="E692" s="43" t="s">
        <v>2515</v>
      </c>
      <c r="F692" s="43" t="s">
        <v>2516</v>
      </c>
      <c r="G692" s="43" t="s">
        <v>108</v>
      </c>
      <c r="H692" s="42" t="s">
        <v>2517</v>
      </c>
      <c r="I692" s="18">
        <f t="shared" si="6"/>
        <v>45938</v>
      </c>
      <c r="J692" s="19" t="s">
        <v>28</v>
      </c>
      <c r="K692" s="19" t="s">
        <v>325</v>
      </c>
      <c r="L692" s="40"/>
    </row>
    <row r="693" ht="22.5" customHeight="1">
      <c r="C693" s="19" t="s">
        <v>2488</v>
      </c>
      <c r="D693" s="39" t="s">
        <v>2339</v>
      </c>
      <c r="E693" s="43" t="s">
        <v>2518</v>
      </c>
      <c r="F693" s="43" t="s">
        <v>2519</v>
      </c>
      <c r="G693" s="43" t="s">
        <v>408</v>
      </c>
      <c r="H693" s="42" t="s">
        <v>2520</v>
      </c>
      <c r="I693" s="18">
        <f t="shared" si="6"/>
        <v>45938</v>
      </c>
      <c r="J693" s="19" t="s">
        <v>28</v>
      </c>
      <c r="K693" s="19" t="s">
        <v>325</v>
      </c>
      <c r="L693" s="40"/>
    </row>
    <row r="694" ht="22.5" customHeight="1">
      <c r="C694" s="19" t="s">
        <v>2488</v>
      </c>
      <c r="D694" s="39" t="s">
        <v>2339</v>
      </c>
      <c r="E694" s="43" t="s">
        <v>2521</v>
      </c>
      <c r="F694" s="43" t="s">
        <v>2522</v>
      </c>
      <c r="G694" s="43" t="s">
        <v>577</v>
      </c>
      <c r="H694" s="44">
        <v>9.548736704E9</v>
      </c>
      <c r="I694" s="18">
        <f t="shared" si="6"/>
        <v>45938</v>
      </c>
      <c r="J694" s="19" t="s">
        <v>28</v>
      </c>
      <c r="K694" s="19" t="s">
        <v>325</v>
      </c>
      <c r="L694" s="40"/>
    </row>
    <row r="695" ht="22.5" customHeight="1">
      <c r="C695" s="19" t="s">
        <v>2488</v>
      </c>
      <c r="D695" s="39" t="s">
        <v>2339</v>
      </c>
      <c r="E695" s="43" t="s">
        <v>2523</v>
      </c>
      <c r="F695" s="43" t="s">
        <v>2524</v>
      </c>
      <c r="G695" s="43" t="s">
        <v>126</v>
      </c>
      <c r="H695" s="42" t="s">
        <v>2525</v>
      </c>
      <c r="I695" s="18">
        <f t="shared" si="6"/>
        <v>45938</v>
      </c>
      <c r="J695" s="19" t="s">
        <v>28</v>
      </c>
      <c r="K695" s="19" t="s">
        <v>325</v>
      </c>
      <c r="L695" s="40"/>
    </row>
    <row r="696" ht="22.5" customHeight="1">
      <c r="C696" s="19" t="s">
        <v>2488</v>
      </c>
      <c r="D696" s="39" t="s">
        <v>2339</v>
      </c>
      <c r="E696" s="43" t="s">
        <v>2526</v>
      </c>
      <c r="F696" s="43" t="s">
        <v>2527</v>
      </c>
      <c r="G696" s="43" t="s">
        <v>72</v>
      </c>
      <c r="H696" s="42" t="s">
        <v>2528</v>
      </c>
      <c r="I696" s="18">
        <f t="shared" si="6"/>
        <v>45938</v>
      </c>
      <c r="J696" s="19" t="s">
        <v>28</v>
      </c>
      <c r="K696" s="19" t="s">
        <v>325</v>
      </c>
      <c r="L696" s="40"/>
    </row>
    <row r="697" ht="22.5" customHeight="1">
      <c r="C697" s="19" t="s">
        <v>2488</v>
      </c>
      <c r="D697" s="39" t="s">
        <v>2339</v>
      </c>
      <c r="E697" s="43" t="s">
        <v>2529</v>
      </c>
      <c r="F697" s="43" t="s">
        <v>2530</v>
      </c>
      <c r="G697" s="43" t="s">
        <v>131</v>
      </c>
      <c r="H697" s="44">
        <v>9.548182531E9</v>
      </c>
      <c r="I697" s="18">
        <f t="shared" si="6"/>
        <v>45938</v>
      </c>
      <c r="J697" s="19" t="s">
        <v>28</v>
      </c>
      <c r="K697" s="19" t="s">
        <v>325</v>
      </c>
      <c r="L697" s="40"/>
    </row>
    <row r="698" ht="22.5" customHeight="1">
      <c r="C698" s="19" t="s">
        <v>2488</v>
      </c>
      <c r="D698" s="39" t="s">
        <v>2339</v>
      </c>
      <c r="E698" s="43" t="s">
        <v>2531</v>
      </c>
      <c r="F698" s="43" t="s">
        <v>2532</v>
      </c>
      <c r="G698" s="43" t="s">
        <v>97</v>
      </c>
      <c r="H698" s="42" t="s">
        <v>2533</v>
      </c>
      <c r="I698" s="18">
        <f t="shared" si="6"/>
        <v>45938</v>
      </c>
      <c r="J698" s="19" t="s">
        <v>28</v>
      </c>
      <c r="K698" s="19" t="s">
        <v>325</v>
      </c>
      <c r="L698" s="40"/>
    </row>
    <row r="699" ht="22.5" customHeight="1">
      <c r="C699" s="19" t="s">
        <v>2488</v>
      </c>
      <c r="D699" s="39" t="s">
        <v>2339</v>
      </c>
      <c r="E699" s="43" t="s">
        <v>2534</v>
      </c>
      <c r="F699" s="43" t="s">
        <v>2535</v>
      </c>
      <c r="G699" s="43" t="s">
        <v>915</v>
      </c>
      <c r="H699" s="44">
        <v>5.613131482E9</v>
      </c>
      <c r="I699" s="18">
        <f t="shared" si="6"/>
        <v>45938</v>
      </c>
      <c r="J699" s="19" t="s">
        <v>28</v>
      </c>
      <c r="K699" s="19" t="s">
        <v>325</v>
      </c>
      <c r="L699" s="4" t="s">
        <v>99</v>
      </c>
    </row>
    <row r="700" ht="22.5" customHeight="1">
      <c r="C700" s="19" t="s">
        <v>2488</v>
      </c>
      <c r="D700" s="39" t="s">
        <v>2339</v>
      </c>
      <c r="E700" s="43" t="s">
        <v>2536</v>
      </c>
      <c r="F700" s="43" t="s">
        <v>2537</v>
      </c>
      <c r="G700" s="43" t="s">
        <v>617</v>
      </c>
      <c r="H700" s="42" t="s">
        <v>2538</v>
      </c>
      <c r="I700" s="18">
        <f t="shared" si="6"/>
        <v>45938</v>
      </c>
      <c r="J700" s="19" t="s">
        <v>28</v>
      </c>
      <c r="K700" s="19" t="s">
        <v>325</v>
      </c>
      <c r="L700" s="40"/>
    </row>
    <row r="701" ht="22.5" customHeight="1">
      <c r="C701" s="19" t="s">
        <v>2539</v>
      </c>
      <c r="D701" s="39" t="s">
        <v>2540</v>
      </c>
      <c r="E701" s="43" t="s">
        <v>2541</v>
      </c>
      <c r="F701" s="43" t="s">
        <v>2542</v>
      </c>
      <c r="G701" s="43" t="s">
        <v>136</v>
      </c>
      <c r="H701" s="42" t="s">
        <v>2543</v>
      </c>
      <c r="I701" s="18">
        <f t="shared" si="6"/>
        <v>45938</v>
      </c>
      <c r="J701" s="19" t="s">
        <v>28</v>
      </c>
      <c r="K701" s="19" t="s">
        <v>325</v>
      </c>
      <c r="L701" s="40"/>
    </row>
    <row r="702" ht="22.5" customHeight="1">
      <c r="C702" s="19" t="s">
        <v>2539</v>
      </c>
      <c r="D702" s="39" t="s">
        <v>2544</v>
      </c>
      <c r="E702" s="43" t="s">
        <v>2545</v>
      </c>
      <c r="F702" s="43" t="s">
        <v>2546</v>
      </c>
      <c r="G702" s="43" t="s">
        <v>577</v>
      </c>
      <c r="H702" s="42" t="s">
        <v>2547</v>
      </c>
      <c r="I702" s="18">
        <f t="shared" si="6"/>
        <v>45938</v>
      </c>
      <c r="J702" s="19" t="s">
        <v>28</v>
      </c>
      <c r="K702" s="19" t="s">
        <v>325</v>
      </c>
      <c r="L702" s="40"/>
    </row>
    <row r="703" ht="22.5" customHeight="1">
      <c r="C703" s="19" t="s">
        <v>2539</v>
      </c>
      <c r="D703" s="39" t="s">
        <v>2548</v>
      </c>
      <c r="E703" s="43" t="s">
        <v>2549</v>
      </c>
      <c r="F703" s="43" t="s">
        <v>2550</v>
      </c>
      <c r="G703" s="43" t="s">
        <v>915</v>
      </c>
      <c r="H703" s="44">
        <v>5.614125566E9</v>
      </c>
      <c r="I703" s="18">
        <f t="shared" si="6"/>
        <v>45938</v>
      </c>
      <c r="J703" s="19" t="s">
        <v>28</v>
      </c>
      <c r="K703" s="19" t="s">
        <v>325</v>
      </c>
      <c r="L703" s="40"/>
    </row>
    <row r="704" ht="22.5" customHeight="1">
      <c r="C704" s="19" t="s">
        <v>2539</v>
      </c>
      <c r="D704" s="39" t="s">
        <v>2551</v>
      </c>
      <c r="E704" s="43" t="s">
        <v>2552</v>
      </c>
      <c r="F704" s="43" t="s">
        <v>2553</v>
      </c>
      <c r="G704" s="43" t="s">
        <v>142</v>
      </c>
      <c r="H704" s="42" t="s">
        <v>2554</v>
      </c>
      <c r="I704" s="18">
        <f t="shared" si="6"/>
        <v>45938</v>
      </c>
      <c r="J704" s="19" t="s">
        <v>28</v>
      </c>
      <c r="K704" s="19" t="s">
        <v>325</v>
      </c>
      <c r="L704" s="40"/>
    </row>
    <row r="705" ht="22.5" customHeight="1">
      <c r="C705" s="19" t="s">
        <v>2539</v>
      </c>
      <c r="D705" s="39" t="s">
        <v>2555</v>
      </c>
      <c r="E705" s="43" t="s">
        <v>2556</v>
      </c>
      <c r="F705" s="43" t="s">
        <v>2557</v>
      </c>
      <c r="G705" s="43" t="s">
        <v>2558</v>
      </c>
      <c r="H705" s="42" t="s">
        <v>2559</v>
      </c>
      <c r="I705" s="18">
        <f t="shared" si="6"/>
        <v>45938</v>
      </c>
      <c r="J705" s="19" t="s">
        <v>28</v>
      </c>
      <c r="K705" s="19" t="s">
        <v>325</v>
      </c>
      <c r="L705" s="40"/>
    </row>
    <row r="706" ht="22.5" customHeight="1">
      <c r="C706" s="19" t="s">
        <v>2539</v>
      </c>
      <c r="D706" s="39" t="s">
        <v>2560</v>
      </c>
      <c r="E706" s="43" t="s">
        <v>2561</v>
      </c>
      <c r="F706" s="43" t="s">
        <v>2562</v>
      </c>
      <c r="G706" s="43" t="s">
        <v>1199</v>
      </c>
      <c r="H706" s="42" t="s">
        <v>2563</v>
      </c>
      <c r="I706" s="18">
        <f t="shared" si="6"/>
        <v>45938</v>
      </c>
      <c r="J706" s="19" t="s">
        <v>28</v>
      </c>
      <c r="K706" s="19" t="s">
        <v>325</v>
      </c>
      <c r="L706" s="40"/>
    </row>
    <row r="707" ht="22.5" customHeight="1">
      <c r="C707" s="19" t="s">
        <v>2539</v>
      </c>
      <c r="D707" s="39" t="s">
        <v>2564</v>
      </c>
      <c r="E707" s="43" t="s">
        <v>2565</v>
      </c>
      <c r="F707" s="43" t="s">
        <v>2566</v>
      </c>
      <c r="G707" s="43" t="s">
        <v>72</v>
      </c>
      <c r="H707" s="44">
        <v>5.617906788E9</v>
      </c>
      <c r="I707" s="18">
        <f t="shared" si="6"/>
        <v>45938</v>
      </c>
      <c r="J707" s="19" t="s">
        <v>28</v>
      </c>
      <c r="K707" s="19" t="s">
        <v>325</v>
      </c>
      <c r="L707" s="40"/>
    </row>
    <row r="708" ht="22.5" customHeight="1">
      <c r="C708" s="19" t="s">
        <v>2539</v>
      </c>
      <c r="D708" s="39" t="s">
        <v>2567</v>
      </c>
      <c r="E708" s="43" t="s">
        <v>2568</v>
      </c>
      <c r="F708" s="43" t="s">
        <v>2569</v>
      </c>
      <c r="G708" s="43" t="s">
        <v>126</v>
      </c>
      <c r="H708" s="44">
        <v>5.619513311E9</v>
      </c>
      <c r="I708" s="18">
        <f t="shared" si="6"/>
        <v>45938</v>
      </c>
      <c r="J708" s="19" t="s">
        <v>28</v>
      </c>
      <c r="K708" s="19" t="s">
        <v>325</v>
      </c>
      <c r="L708" s="40"/>
    </row>
    <row r="709" ht="22.5" customHeight="1">
      <c r="C709" s="19" t="s">
        <v>2539</v>
      </c>
      <c r="D709" s="39" t="s">
        <v>2570</v>
      </c>
      <c r="E709" s="43" t="s">
        <v>2571</v>
      </c>
      <c r="F709" s="43" t="s">
        <v>2572</v>
      </c>
      <c r="G709" s="43" t="s">
        <v>77</v>
      </c>
      <c r="H709" s="42" t="s">
        <v>2573</v>
      </c>
      <c r="I709" s="18">
        <f t="shared" si="6"/>
        <v>45938</v>
      </c>
      <c r="J709" s="19" t="s">
        <v>28</v>
      </c>
      <c r="K709" s="19" t="s">
        <v>325</v>
      </c>
      <c r="L709" s="40"/>
    </row>
    <row r="710" ht="22.5" customHeight="1">
      <c r="C710" s="19" t="s">
        <v>2539</v>
      </c>
      <c r="D710" s="39" t="s">
        <v>2574</v>
      </c>
      <c r="E710" s="43" t="s">
        <v>2575</v>
      </c>
      <c r="F710" s="43" t="s">
        <v>2576</v>
      </c>
      <c r="G710" s="43" t="s">
        <v>641</v>
      </c>
      <c r="H710" s="42" t="s">
        <v>2577</v>
      </c>
      <c r="I710" s="18">
        <f t="shared" si="6"/>
        <v>45938</v>
      </c>
      <c r="J710" s="19" t="s">
        <v>28</v>
      </c>
      <c r="K710" s="19" t="s">
        <v>325</v>
      </c>
      <c r="L710" s="40"/>
    </row>
    <row r="711" ht="22.5" customHeight="1">
      <c r="C711" s="19" t="s">
        <v>2539</v>
      </c>
      <c r="D711" s="39" t="s">
        <v>2578</v>
      </c>
      <c r="E711" s="43" t="s">
        <v>2579</v>
      </c>
      <c r="F711" s="43" t="s">
        <v>2580</v>
      </c>
      <c r="G711" s="43" t="s">
        <v>346</v>
      </c>
      <c r="H711" s="42" t="s">
        <v>2581</v>
      </c>
      <c r="I711" s="18">
        <f t="shared" si="6"/>
        <v>45938</v>
      </c>
      <c r="J711" s="19" t="s">
        <v>28</v>
      </c>
      <c r="K711" s="19" t="s">
        <v>325</v>
      </c>
      <c r="L711" s="4" t="s">
        <v>148</v>
      </c>
    </row>
    <row r="712" ht="22.5" customHeight="1">
      <c r="C712" s="19" t="s">
        <v>2539</v>
      </c>
      <c r="D712" s="39" t="s">
        <v>2582</v>
      </c>
      <c r="E712" s="43" t="s">
        <v>2583</v>
      </c>
      <c r="F712" s="43" t="s">
        <v>2584</v>
      </c>
      <c r="G712" s="43" t="s">
        <v>57</v>
      </c>
      <c r="H712" s="42" t="s">
        <v>2585</v>
      </c>
      <c r="I712" s="18">
        <f t="shared" si="6"/>
        <v>45938</v>
      </c>
      <c r="J712" s="19" t="s">
        <v>28</v>
      </c>
      <c r="K712" s="19" t="s">
        <v>325</v>
      </c>
      <c r="L712" s="40"/>
    </row>
    <row r="713" ht="22.5" customHeight="1">
      <c r="C713" s="19" t="s">
        <v>2539</v>
      </c>
      <c r="D713" s="39" t="s">
        <v>2586</v>
      </c>
      <c r="E713" s="43" t="s">
        <v>2587</v>
      </c>
      <c r="F713" s="43" t="s">
        <v>2588</v>
      </c>
      <c r="G713" s="43" t="s">
        <v>118</v>
      </c>
      <c r="H713" s="44">
        <v>5.613103795E9</v>
      </c>
      <c r="I713" s="18">
        <f t="shared" si="6"/>
        <v>45938</v>
      </c>
      <c r="J713" s="19" t="s">
        <v>28</v>
      </c>
      <c r="K713" s="19" t="s">
        <v>325</v>
      </c>
      <c r="L713" s="40"/>
    </row>
    <row r="714" ht="22.5" customHeight="1">
      <c r="C714" s="19" t="s">
        <v>2539</v>
      </c>
      <c r="D714" s="39" t="s">
        <v>2589</v>
      </c>
      <c r="E714" s="43" t="s">
        <v>2590</v>
      </c>
      <c r="F714" s="43" t="s">
        <v>2591</v>
      </c>
      <c r="G714" s="43" t="s">
        <v>108</v>
      </c>
      <c r="H714" s="42" t="s">
        <v>2592</v>
      </c>
      <c r="I714" s="18">
        <f t="shared" si="6"/>
        <v>45938</v>
      </c>
      <c r="J714" s="19" t="s">
        <v>28</v>
      </c>
      <c r="K714" s="19" t="s">
        <v>325</v>
      </c>
      <c r="L714" s="40"/>
    </row>
    <row r="715" ht="22.5" customHeight="1">
      <c r="C715" s="19" t="s">
        <v>2539</v>
      </c>
      <c r="D715" s="39" t="s">
        <v>2593</v>
      </c>
      <c r="E715" s="43" t="s">
        <v>2594</v>
      </c>
      <c r="F715" s="43" t="s">
        <v>2595</v>
      </c>
      <c r="G715" s="43" t="s">
        <v>2596</v>
      </c>
      <c r="H715" s="44">
        <v>5.618272373E9</v>
      </c>
      <c r="I715" s="18">
        <f t="shared" si="6"/>
        <v>45938</v>
      </c>
      <c r="J715" s="19" t="s">
        <v>28</v>
      </c>
      <c r="K715" s="19" t="s">
        <v>325</v>
      </c>
      <c r="L715" s="40"/>
    </row>
    <row r="716" ht="22.5" customHeight="1">
      <c r="C716" s="19" t="s">
        <v>2539</v>
      </c>
      <c r="D716" s="39" t="s">
        <v>2597</v>
      </c>
      <c r="E716" s="43" t="s">
        <v>2598</v>
      </c>
      <c r="F716" s="43" t="s">
        <v>2599</v>
      </c>
      <c r="G716" s="43" t="s">
        <v>97</v>
      </c>
      <c r="H716" s="44">
        <v>5.61633541E9</v>
      </c>
      <c r="I716" s="18">
        <f t="shared" si="6"/>
        <v>45938</v>
      </c>
      <c r="J716" s="19" t="s">
        <v>28</v>
      </c>
      <c r="K716" s="19" t="s">
        <v>325</v>
      </c>
      <c r="L716" s="40"/>
    </row>
    <row r="717" ht="22.5" customHeight="1">
      <c r="C717" s="19" t="s">
        <v>2539</v>
      </c>
      <c r="D717" s="39" t="s">
        <v>2600</v>
      </c>
      <c r="E717" s="43" t="s">
        <v>2601</v>
      </c>
      <c r="F717" s="43" t="s">
        <v>2602</v>
      </c>
      <c r="G717" s="43" t="s">
        <v>717</v>
      </c>
      <c r="H717" s="44">
        <v>5.612490373E9</v>
      </c>
      <c r="I717" s="18">
        <f t="shared" si="6"/>
        <v>45938</v>
      </c>
      <c r="J717" s="19" t="s">
        <v>28</v>
      </c>
      <c r="K717" s="19" t="s">
        <v>325</v>
      </c>
      <c r="L717" s="40"/>
    </row>
    <row r="718" ht="22.5" customHeight="1">
      <c r="C718" s="19" t="s">
        <v>2539</v>
      </c>
      <c r="D718" s="39" t="s">
        <v>2603</v>
      </c>
      <c r="E718" s="43" t="s">
        <v>2604</v>
      </c>
      <c r="F718" s="43" t="s">
        <v>2605</v>
      </c>
      <c r="G718" s="43" t="s">
        <v>67</v>
      </c>
      <c r="H718" s="42" t="s">
        <v>2606</v>
      </c>
      <c r="I718" s="18">
        <f t="shared" si="6"/>
        <v>45938</v>
      </c>
      <c r="J718" s="19" t="s">
        <v>28</v>
      </c>
      <c r="K718" s="19" t="s">
        <v>325</v>
      </c>
      <c r="L718" s="40"/>
    </row>
    <row r="719" ht="22.5" customHeight="1">
      <c r="C719" s="19" t="s">
        <v>2539</v>
      </c>
      <c r="D719" s="39" t="s">
        <v>2607</v>
      </c>
      <c r="E719" s="43" t="s">
        <v>2608</v>
      </c>
      <c r="F719" s="43" t="s">
        <v>2609</v>
      </c>
      <c r="G719" s="43" t="s">
        <v>113</v>
      </c>
      <c r="H719" s="44">
        <v>5.619855919E9</v>
      </c>
      <c r="I719" s="18">
        <f t="shared" si="6"/>
        <v>45938</v>
      </c>
      <c r="J719" s="19" t="s">
        <v>28</v>
      </c>
      <c r="K719" s="19" t="s">
        <v>325</v>
      </c>
      <c r="L719" s="40"/>
    </row>
    <row r="720" ht="22.5" customHeight="1">
      <c r="C720" s="19" t="s">
        <v>2539</v>
      </c>
      <c r="D720" s="39" t="s">
        <v>2610</v>
      </c>
      <c r="E720" s="43" t="s">
        <v>2611</v>
      </c>
      <c r="F720" s="43" t="s">
        <v>2612</v>
      </c>
      <c r="G720" s="43" t="s">
        <v>360</v>
      </c>
      <c r="H720" s="44">
        <v>9.549550265E9</v>
      </c>
      <c r="I720" s="18">
        <f t="shared" si="6"/>
        <v>45938</v>
      </c>
      <c r="J720" s="19" t="s">
        <v>28</v>
      </c>
      <c r="K720" s="19" t="s">
        <v>325</v>
      </c>
      <c r="L720" s="4" t="s">
        <v>99</v>
      </c>
    </row>
    <row r="721" ht="22.5" customHeight="1">
      <c r="C721" s="19" t="s">
        <v>2539</v>
      </c>
      <c r="D721" s="39" t="s">
        <v>2613</v>
      </c>
      <c r="E721" s="43" t="s">
        <v>2614</v>
      </c>
      <c r="F721" s="43" t="s">
        <v>2615</v>
      </c>
      <c r="G721" s="43" t="s">
        <v>2616</v>
      </c>
      <c r="H721" s="42" t="s">
        <v>2617</v>
      </c>
      <c r="I721" s="18">
        <f t="shared" si="6"/>
        <v>45938</v>
      </c>
      <c r="J721" s="19" t="s">
        <v>28</v>
      </c>
      <c r="K721" s="19" t="s">
        <v>325</v>
      </c>
      <c r="L721" s="40"/>
    </row>
    <row r="722" ht="22.5" customHeight="1">
      <c r="C722" s="19" t="s">
        <v>2539</v>
      </c>
      <c r="D722" s="39" t="s">
        <v>2618</v>
      </c>
      <c r="E722" s="43" t="s">
        <v>2619</v>
      </c>
      <c r="F722" s="43" t="s">
        <v>2620</v>
      </c>
      <c r="G722" s="43" t="s">
        <v>131</v>
      </c>
      <c r="H722" s="44">
        <v>1.5618462018E10</v>
      </c>
      <c r="I722" s="18">
        <f t="shared" si="6"/>
        <v>45938</v>
      </c>
      <c r="J722" s="19" t="s">
        <v>28</v>
      </c>
      <c r="K722" s="19" t="s">
        <v>325</v>
      </c>
      <c r="L722" s="40"/>
    </row>
    <row r="723" ht="22.5" customHeight="1">
      <c r="C723" s="19" t="s">
        <v>2621</v>
      </c>
      <c r="D723" s="39" t="s">
        <v>2540</v>
      </c>
      <c r="E723" s="43" t="s">
        <v>2622</v>
      </c>
      <c r="F723" s="43" t="s">
        <v>2623</v>
      </c>
      <c r="G723" s="43" t="s">
        <v>540</v>
      </c>
      <c r="H723" s="42" t="s">
        <v>2624</v>
      </c>
      <c r="I723" s="18">
        <f t="shared" si="6"/>
        <v>45938</v>
      </c>
      <c r="J723" s="19" t="s">
        <v>28</v>
      </c>
      <c r="K723" s="19" t="s">
        <v>325</v>
      </c>
      <c r="L723" s="40"/>
    </row>
    <row r="724" ht="22.5" customHeight="1">
      <c r="C724" s="19" t="s">
        <v>2621</v>
      </c>
      <c r="D724" s="39" t="s">
        <v>2544</v>
      </c>
      <c r="E724" s="43" t="s">
        <v>2625</v>
      </c>
      <c r="F724" s="43" t="s">
        <v>2626</v>
      </c>
      <c r="G724" s="43" t="s">
        <v>57</v>
      </c>
      <c r="H724" s="44">
        <v>7.729005842E9</v>
      </c>
      <c r="I724" s="18">
        <f t="shared" si="6"/>
        <v>45938</v>
      </c>
      <c r="J724" s="19" t="s">
        <v>28</v>
      </c>
      <c r="K724" s="19" t="s">
        <v>325</v>
      </c>
      <c r="L724" s="40"/>
    </row>
    <row r="725" ht="22.5" customHeight="1">
      <c r="C725" s="19" t="s">
        <v>2621</v>
      </c>
      <c r="D725" s="39" t="s">
        <v>2548</v>
      </c>
      <c r="E725" s="43" t="s">
        <v>2627</v>
      </c>
      <c r="F725" s="43" t="s">
        <v>2628</v>
      </c>
      <c r="G725" s="43" t="s">
        <v>301</v>
      </c>
      <c r="H725" s="44">
        <v>5.614335557E9</v>
      </c>
      <c r="I725" s="18">
        <f t="shared" si="6"/>
        <v>45938</v>
      </c>
      <c r="J725" s="19" t="s">
        <v>28</v>
      </c>
      <c r="K725" s="19" t="s">
        <v>325</v>
      </c>
      <c r="L725" s="40"/>
    </row>
    <row r="726" ht="22.5" customHeight="1">
      <c r="C726" s="19" t="s">
        <v>2621</v>
      </c>
      <c r="D726" s="39" t="s">
        <v>2551</v>
      </c>
      <c r="E726" s="43" t="s">
        <v>2629</v>
      </c>
      <c r="F726" s="43" t="s">
        <v>1887</v>
      </c>
      <c r="G726" s="43" t="s">
        <v>136</v>
      </c>
      <c r="H726" s="44">
        <v>5.6138504E9</v>
      </c>
      <c r="I726" s="18">
        <f t="shared" si="6"/>
        <v>45938</v>
      </c>
      <c r="J726" s="19" t="s">
        <v>28</v>
      </c>
      <c r="K726" s="19" t="s">
        <v>325</v>
      </c>
      <c r="L726" s="40"/>
    </row>
    <row r="727" ht="22.5" customHeight="1">
      <c r="C727" s="19" t="s">
        <v>2621</v>
      </c>
      <c r="D727" s="39" t="s">
        <v>2555</v>
      </c>
      <c r="E727" s="43" t="s">
        <v>2630</v>
      </c>
      <c r="F727" s="43" t="s">
        <v>2631</v>
      </c>
      <c r="G727" s="43" t="s">
        <v>915</v>
      </c>
      <c r="H727" s="44">
        <v>5.614787272E9</v>
      </c>
      <c r="I727" s="18">
        <f t="shared" si="6"/>
        <v>45938</v>
      </c>
      <c r="J727" s="19" t="s">
        <v>28</v>
      </c>
      <c r="K727" s="19" t="s">
        <v>325</v>
      </c>
      <c r="L727" s="40"/>
    </row>
    <row r="728" ht="22.5" customHeight="1">
      <c r="C728" s="19" t="s">
        <v>2621</v>
      </c>
      <c r="D728" s="39" t="s">
        <v>2560</v>
      </c>
      <c r="E728" s="43" t="s">
        <v>2632</v>
      </c>
      <c r="F728" s="43" t="s">
        <v>2633</v>
      </c>
      <c r="G728" s="43" t="s">
        <v>108</v>
      </c>
      <c r="H728" s="42" t="s">
        <v>2634</v>
      </c>
      <c r="I728" s="18">
        <f t="shared" si="6"/>
        <v>45938</v>
      </c>
      <c r="J728" s="19" t="s">
        <v>28</v>
      </c>
      <c r="K728" s="19" t="s">
        <v>325</v>
      </c>
      <c r="L728" s="4" t="s">
        <v>99</v>
      </c>
    </row>
    <row r="729" ht="22.5" customHeight="1">
      <c r="C729" s="19" t="s">
        <v>2621</v>
      </c>
      <c r="D729" s="39" t="s">
        <v>2564</v>
      </c>
      <c r="E729" s="43" t="s">
        <v>2635</v>
      </c>
      <c r="F729" s="43" t="s">
        <v>2636</v>
      </c>
      <c r="G729" s="43" t="s">
        <v>786</v>
      </c>
      <c r="H729" s="44">
        <v>5.61284345E9</v>
      </c>
      <c r="I729" s="18">
        <f t="shared" si="6"/>
        <v>45938</v>
      </c>
      <c r="J729" s="19" t="s">
        <v>28</v>
      </c>
      <c r="K729" s="19" t="s">
        <v>325</v>
      </c>
      <c r="L729" s="40"/>
    </row>
    <row r="730" ht="22.5" customHeight="1">
      <c r="C730" s="19" t="s">
        <v>2621</v>
      </c>
      <c r="D730" s="39" t="s">
        <v>2567</v>
      </c>
      <c r="E730" s="43" t="s">
        <v>2637</v>
      </c>
      <c r="F730" s="43" t="s">
        <v>1839</v>
      </c>
      <c r="G730" s="43" t="s">
        <v>360</v>
      </c>
      <c r="H730" s="42" t="s">
        <v>2638</v>
      </c>
      <c r="I730" s="18">
        <f t="shared" si="6"/>
        <v>45938</v>
      </c>
      <c r="J730" s="19" t="s">
        <v>28</v>
      </c>
      <c r="K730" s="19" t="s">
        <v>325</v>
      </c>
      <c r="L730" s="40"/>
    </row>
    <row r="731" ht="22.5" customHeight="1">
      <c r="C731" s="19" t="s">
        <v>2621</v>
      </c>
      <c r="D731" s="39" t="s">
        <v>2570</v>
      </c>
      <c r="E731" s="43" t="s">
        <v>2639</v>
      </c>
      <c r="F731" s="43" t="s">
        <v>2640</v>
      </c>
      <c r="G731" s="43" t="s">
        <v>77</v>
      </c>
      <c r="H731" s="44">
        <v>8.562960529E9</v>
      </c>
      <c r="I731" s="18">
        <f t="shared" si="6"/>
        <v>45938</v>
      </c>
      <c r="J731" s="19" t="s">
        <v>28</v>
      </c>
      <c r="K731" s="19" t="s">
        <v>325</v>
      </c>
      <c r="L731" s="40"/>
    </row>
    <row r="732" ht="22.5" customHeight="1">
      <c r="C732" s="19" t="s">
        <v>2621</v>
      </c>
      <c r="D732" s="39" t="s">
        <v>2574</v>
      </c>
      <c r="E732" s="43" t="s">
        <v>2641</v>
      </c>
      <c r="F732" s="43" t="s">
        <v>2449</v>
      </c>
      <c r="G732" s="43" t="s">
        <v>346</v>
      </c>
      <c r="H732" s="44">
        <v>5.616744154E9</v>
      </c>
      <c r="I732" s="18">
        <f t="shared" si="6"/>
        <v>45938</v>
      </c>
      <c r="J732" s="19" t="s">
        <v>28</v>
      </c>
      <c r="K732" s="19" t="s">
        <v>325</v>
      </c>
      <c r="L732" s="40"/>
    </row>
    <row r="733" ht="22.5" customHeight="1">
      <c r="C733" s="19" t="s">
        <v>2621</v>
      </c>
      <c r="D733" s="39" t="s">
        <v>2578</v>
      </c>
      <c r="E733" s="43" t="s">
        <v>2642</v>
      </c>
      <c r="F733" s="43" t="s">
        <v>2643</v>
      </c>
      <c r="G733" s="43" t="s">
        <v>67</v>
      </c>
      <c r="H733" s="42" t="s">
        <v>2644</v>
      </c>
      <c r="I733" s="18">
        <f t="shared" si="6"/>
        <v>45938</v>
      </c>
      <c r="J733" s="19" t="s">
        <v>28</v>
      </c>
      <c r="K733" s="19" t="s">
        <v>325</v>
      </c>
      <c r="L733" s="40"/>
    </row>
    <row r="734" ht="22.5" customHeight="1">
      <c r="C734" s="19" t="s">
        <v>2621</v>
      </c>
      <c r="D734" s="39" t="s">
        <v>2582</v>
      </c>
      <c r="E734" s="43" t="s">
        <v>2645</v>
      </c>
      <c r="F734" s="43" t="s">
        <v>2646</v>
      </c>
      <c r="G734" s="43" t="s">
        <v>2596</v>
      </c>
      <c r="H734" s="42" t="s">
        <v>2647</v>
      </c>
      <c r="I734" s="18">
        <f t="shared" si="6"/>
        <v>45938</v>
      </c>
      <c r="J734" s="19" t="s">
        <v>28</v>
      </c>
      <c r="K734" s="19" t="s">
        <v>325</v>
      </c>
      <c r="L734" s="40"/>
    </row>
    <row r="735" ht="22.5" customHeight="1">
      <c r="C735" s="19" t="s">
        <v>2621</v>
      </c>
      <c r="D735" s="39" t="s">
        <v>2586</v>
      </c>
      <c r="E735" s="43" t="s">
        <v>2648</v>
      </c>
      <c r="F735" s="43" t="s">
        <v>2649</v>
      </c>
      <c r="G735" s="43" t="s">
        <v>118</v>
      </c>
      <c r="H735" s="44">
        <v>5.616351881E9</v>
      </c>
      <c r="I735" s="18">
        <f t="shared" si="6"/>
        <v>45938</v>
      </c>
      <c r="J735" s="19" t="s">
        <v>28</v>
      </c>
      <c r="K735" s="19" t="s">
        <v>325</v>
      </c>
      <c r="L735" s="40"/>
    </row>
    <row r="736" ht="22.5" customHeight="1">
      <c r="C736" s="19" t="s">
        <v>2621</v>
      </c>
      <c r="D736" s="39" t="s">
        <v>2589</v>
      </c>
      <c r="E736" s="43" t="s">
        <v>2650</v>
      </c>
      <c r="F736" s="43" t="s">
        <v>2651</v>
      </c>
      <c r="G736" s="43" t="s">
        <v>224</v>
      </c>
      <c r="H736" s="42" t="s">
        <v>2652</v>
      </c>
      <c r="I736" s="18">
        <f t="shared" si="6"/>
        <v>45938</v>
      </c>
      <c r="J736" s="19" t="s">
        <v>28</v>
      </c>
      <c r="K736" s="19" t="s">
        <v>325</v>
      </c>
      <c r="L736" s="40"/>
    </row>
    <row r="737" ht="22.5" customHeight="1">
      <c r="C737" s="19" t="s">
        <v>2621</v>
      </c>
      <c r="D737" s="39" t="s">
        <v>2593</v>
      </c>
      <c r="E737" s="43" t="s">
        <v>2653</v>
      </c>
      <c r="F737" s="43" t="s">
        <v>2654</v>
      </c>
      <c r="G737" s="43" t="s">
        <v>2655</v>
      </c>
      <c r="H737" s="42" t="s">
        <v>2656</v>
      </c>
      <c r="I737" s="18">
        <f t="shared" si="6"/>
        <v>45938</v>
      </c>
      <c r="J737" s="19" t="s">
        <v>28</v>
      </c>
      <c r="K737" s="19" t="s">
        <v>325</v>
      </c>
      <c r="L737" s="40"/>
    </row>
    <row r="738" ht="22.5" customHeight="1">
      <c r="C738" s="19" t="s">
        <v>2621</v>
      </c>
      <c r="D738" s="39" t="s">
        <v>2597</v>
      </c>
      <c r="E738" s="43" t="s">
        <v>2657</v>
      </c>
      <c r="F738" s="43" t="s">
        <v>2658</v>
      </c>
      <c r="G738" s="43" t="s">
        <v>717</v>
      </c>
      <c r="H738" s="44">
        <v>5.617988899E9</v>
      </c>
      <c r="I738" s="18">
        <f t="shared" si="6"/>
        <v>45938</v>
      </c>
      <c r="J738" s="19" t="s">
        <v>28</v>
      </c>
      <c r="K738" s="19" t="s">
        <v>325</v>
      </c>
      <c r="L738" s="40"/>
    </row>
    <row r="739" ht="22.5" customHeight="1">
      <c r="C739" s="19" t="s">
        <v>2621</v>
      </c>
      <c r="D739" s="39" t="s">
        <v>2600</v>
      </c>
      <c r="E739" s="43" t="s">
        <v>2659</v>
      </c>
      <c r="F739" s="43" t="s">
        <v>2660</v>
      </c>
      <c r="G739" s="43" t="s">
        <v>72</v>
      </c>
      <c r="H739" s="42" t="s">
        <v>2661</v>
      </c>
      <c r="I739" s="18">
        <f t="shared" si="6"/>
        <v>45938</v>
      </c>
      <c r="J739" s="19" t="s">
        <v>28</v>
      </c>
      <c r="K739" s="19" t="s">
        <v>325</v>
      </c>
      <c r="L739" s="40"/>
    </row>
    <row r="740" ht="22.5" customHeight="1">
      <c r="C740" s="19" t="s">
        <v>2621</v>
      </c>
      <c r="D740" s="39" t="s">
        <v>2603</v>
      </c>
      <c r="E740" s="43" t="s">
        <v>2662</v>
      </c>
      <c r="F740" s="43" t="s">
        <v>2663</v>
      </c>
      <c r="G740" s="43" t="s">
        <v>2664</v>
      </c>
      <c r="H740" s="44">
        <v>5.612932313E9</v>
      </c>
      <c r="I740" s="18">
        <f t="shared" si="6"/>
        <v>45938</v>
      </c>
      <c r="J740" s="19" t="s">
        <v>28</v>
      </c>
      <c r="K740" s="19" t="s">
        <v>325</v>
      </c>
      <c r="L740" s="40"/>
    </row>
    <row r="741" ht="22.5" customHeight="1">
      <c r="C741" s="19" t="s">
        <v>2621</v>
      </c>
      <c r="D741" s="39" t="s">
        <v>2607</v>
      </c>
      <c r="E741" s="43" t="s">
        <v>2665</v>
      </c>
      <c r="F741" s="43" t="s">
        <v>2666</v>
      </c>
      <c r="G741" s="43" t="s">
        <v>126</v>
      </c>
      <c r="H741" s="44">
        <v>5.614364848E9</v>
      </c>
      <c r="I741" s="18">
        <f t="shared" si="6"/>
        <v>45938</v>
      </c>
      <c r="J741" s="19" t="s">
        <v>28</v>
      </c>
      <c r="K741" s="19" t="s">
        <v>325</v>
      </c>
      <c r="L741" s="40"/>
    </row>
    <row r="742" ht="22.5" customHeight="1">
      <c r="C742" s="19" t="s">
        <v>2667</v>
      </c>
      <c r="D742" s="39" t="s">
        <v>2668</v>
      </c>
      <c r="E742" s="43" t="s">
        <v>2669</v>
      </c>
      <c r="F742" s="43" t="s">
        <v>2670</v>
      </c>
      <c r="G742" s="43" t="s">
        <v>2664</v>
      </c>
      <c r="H742" s="42" t="s">
        <v>2671</v>
      </c>
      <c r="I742" s="18">
        <f t="shared" si="6"/>
        <v>45938</v>
      </c>
      <c r="J742" s="19" t="s">
        <v>28</v>
      </c>
      <c r="K742" s="19" t="s">
        <v>325</v>
      </c>
      <c r="L742" s="18"/>
    </row>
    <row r="743" ht="22.5" customHeight="1">
      <c r="C743" s="19" t="s">
        <v>2667</v>
      </c>
      <c r="D743" s="39" t="s">
        <v>2672</v>
      </c>
      <c r="E743" s="43" t="s">
        <v>2673</v>
      </c>
      <c r="F743" s="43" t="s">
        <v>2674</v>
      </c>
      <c r="G743" s="43" t="s">
        <v>152</v>
      </c>
      <c r="H743" s="42" t="s">
        <v>2675</v>
      </c>
      <c r="I743" s="18">
        <f t="shared" si="6"/>
        <v>45938</v>
      </c>
      <c r="J743" s="19" t="s">
        <v>28</v>
      </c>
      <c r="K743" s="19" t="s">
        <v>325</v>
      </c>
      <c r="L743" s="40"/>
    </row>
    <row r="744" ht="22.5" customHeight="1">
      <c r="C744" s="19" t="s">
        <v>2667</v>
      </c>
      <c r="D744" s="39" t="s">
        <v>2676</v>
      </c>
      <c r="E744" s="43" t="s">
        <v>2677</v>
      </c>
      <c r="F744" s="43" t="s">
        <v>2678</v>
      </c>
      <c r="G744" s="43" t="s">
        <v>26</v>
      </c>
      <c r="H744" s="44">
        <v>9.543282772E9</v>
      </c>
      <c r="I744" s="18">
        <f t="shared" si="6"/>
        <v>45938</v>
      </c>
      <c r="J744" s="19" t="s">
        <v>28</v>
      </c>
      <c r="K744" s="19" t="s">
        <v>325</v>
      </c>
      <c r="L744" s="40"/>
    </row>
    <row r="745" ht="22.5" customHeight="1">
      <c r="C745" s="19" t="s">
        <v>2667</v>
      </c>
      <c r="D745" s="39" t="s">
        <v>2679</v>
      </c>
      <c r="E745" s="43" t="s">
        <v>2680</v>
      </c>
      <c r="F745" s="43" t="s">
        <v>2681</v>
      </c>
      <c r="G745" s="43" t="s">
        <v>622</v>
      </c>
      <c r="H745" s="44">
        <v>5.615169551E9</v>
      </c>
      <c r="I745" s="18">
        <f t="shared" si="6"/>
        <v>45938</v>
      </c>
      <c r="J745" s="19" t="s">
        <v>28</v>
      </c>
      <c r="K745" s="19" t="s">
        <v>325</v>
      </c>
      <c r="L745" s="40"/>
    </row>
    <row r="746" ht="22.5" customHeight="1">
      <c r="C746" s="19" t="s">
        <v>2667</v>
      </c>
      <c r="D746" s="39" t="s">
        <v>2682</v>
      </c>
      <c r="E746" s="43" t="s">
        <v>2683</v>
      </c>
      <c r="F746" s="43" t="s">
        <v>2684</v>
      </c>
      <c r="G746" s="43" t="s">
        <v>72</v>
      </c>
      <c r="H746" s="44">
        <v>5.616300053E9</v>
      </c>
      <c r="I746" s="18">
        <f t="shared" si="6"/>
        <v>45938</v>
      </c>
      <c r="J746" s="19" t="s">
        <v>28</v>
      </c>
      <c r="K746" s="19" t="s">
        <v>325</v>
      </c>
      <c r="L746" s="40"/>
    </row>
    <row r="747" ht="22.5" customHeight="1">
      <c r="C747" s="19" t="s">
        <v>2667</v>
      </c>
      <c r="D747" s="39" t="s">
        <v>2685</v>
      </c>
      <c r="E747" s="43" t="s">
        <v>2686</v>
      </c>
      <c r="F747" s="43" t="s">
        <v>2687</v>
      </c>
      <c r="G747" s="43" t="s">
        <v>387</v>
      </c>
      <c r="H747" s="44">
        <v>5.614148016E9</v>
      </c>
      <c r="I747" s="18">
        <f t="shared" si="6"/>
        <v>45938</v>
      </c>
      <c r="J747" s="19" t="s">
        <v>28</v>
      </c>
      <c r="K747" s="19" t="s">
        <v>325</v>
      </c>
      <c r="L747" s="40"/>
    </row>
    <row r="748" ht="22.5" customHeight="1">
      <c r="C748" s="19" t="s">
        <v>2667</v>
      </c>
      <c r="D748" s="39" t="s">
        <v>2688</v>
      </c>
      <c r="E748" s="43" t="s">
        <v>2689</v>
      </c>
      <c r="F748" s="43" t="s">
        <v>2690</v>
      </c>
      <c r="G748" s="43" t="s">
        <v>142</v>
      </c>
      <c r="H748" s="42" t="s">
        <v>2691</v>
      </c>
      <c r="I748" s="18">
        <f t="shared" si="6"/>
        <v>45938</v>
      </c>
      <c r="J748" s="19" t="s">
        <v>28</v>
      </c>
      <c r="K748" s="19" t="s">
        <v>325</v>
      </c>
      <c r="L748" s="40"/>
    </row>
    <row r="749" ht="22.5" customHeight="1">
      <c r="C749" s="19" t="s">
        <v>2667</v>
      </c>
      <c r="D749" s="39" t="s">
        <v>2692</v>
      </c>
      <c r="E749" s="43" t="s">
        <v>2693</v>
      </c>
      <c r="F749" s="43" t="s">
        <v>2694</v>
      </c>
      <c r="G749" s="43" t="s">
        <v>126</v>
      </c>
      <c r="H749" s="44">
        <v>5.612136852E9</v>
      </c>
      <c r="I749" s="18">
        <f t="shared" si="6"/>
        <v>45938</v>
      </c>
      <c r="J749" s="19" t="s">
        <v>28</v>
      </c>
      <c r="K749" s="19" t="s">
        <v>325</v>
      </c>
      <c r="L749" s="40"/>
    </row>
    <row r="750" ht="22.5" customHeight="1">
      <c r="C750" s="19" t="s">
        <v>2667</v>
      </c>
      <c r="D750" s="39" t="s">
        <v>2695</v>
      </c>
      <c r="E750" s="43" t="s">
        <v>2696</v>
      </c>
      <c r="F750" s="43" t="s">
        <v>2697</v>
      </c>
      <c r="G750" s="43" t="s">
        <v>2698</v>
      </c>
      <c r="H750" s="47" t="s">
        <v>182</v>
      </c>
      <c r="I750" s="18">
        <f t="shared" si="6"/>
        <v>45938</v>
      </c>
      <c r="J750" s="19" t="s">
        <v>28</v>
      </c>
      <c r="K750" s="19" t="s">
        <v>325</v>
      </c>
      <c r="L750" s="40"/>
    </row>
    <row r="751" ht="22.5" customHeight="1">
      <c r="C751" s="19" t="s">
        <v>2667</v>
      </c>
      <c r="D751" s="39" t="s">
        <v>2699</v>
      </c>
      <c r="E751" s="43" t="s">
        <v>2700</v>
      </c>
      <c r="F751" s="43" t="s">
        <v>2701</v>
      </c>
      <c r="G751" s="43" t="s">
        <v>636</v>
      </c>
      <c r="H751" s="44">
        <v>5.617975998E9</v>
      </c>
      <c r="I751" s="18">
        <f t="shared" si="6"/>
        <v>45938</v>
      </c>
      <c r="J751" s="19" t="s">
        <v>28</v>
      </c>
      <c r="K751" s="19" t="s">
        <v>325</v>
      </c>
      <c r="L751" s="4" t="s">
        <v>148</v>
      </c>
    </row>
    <row r="752" ht="22.5" customHeight="1">
      <c r="C752" s="19" t="s">
        <v>2667</v>
      </c>
      <c r="D752" s="39" t="s">
        <v>2702</v>
      </c>
      <c r="E752" s="43" t="s">
        <v>2703</v>
      </c>
      <c r="F752" s="43" t="s">
        <v>2704</v>
      </c>
      <c r="G752" s="43" t="s">
        <v>915</v>
      </c>
      <c r="H752" s="44">
        <v>7.543640859E9</v>
      </c>
      <c r="I752" s="18">
        <f t="shared" si="6"/>
        <v>45938</v>
      </c>
      <c r="J752" s="19" t="s">
        <v>28</v>
      </c>
      <c r="K752" s="19" t="s">
        <v>325</v>
      </c>
      <c r="L752" s="40"/>
    </row>
    <row r="753" ht="22.5" customHeight="1">
      <c r="C753" s="19" t="s">
        <v>2667</v>
      </c>
      <c r="D753" s="39" t="s">
        <v>2705</v>
      </c>
      <c r="E753" s="43" t="s">
        <v>2706</v>
      </c>
      <c r="F753" s="43" t="s">
        <v>2707</v>
      </c>
      <c r="G753" s="43" t="s">
        <v>82</v>
      </c>
      <c r="H753" s="44">
        <v>9.545204847E9</v>
      </c>
      <c r="I753" s="18">
        <f t="shared" si="6"/>
        <v>45938</v>
      </c>
      <c r="J753" s="19" t="s">
        <v>28</v>
      </c>
      <c r="K753" s="19" t="s">
        <v>325</v>
      </c>
      <c r="L753" s="40"/>
    </row>
    <row r="754" ht="22.5" customHeight="1">
      <c r="C754" s="19" t="s">
        <v>2667</v>
      </c>
      <c r="D754" s="39" t="s">
        <v>2708</v>
      </c>
      <c r="E754" s="43" t="s">
        <v>2709</v>
      </c>
      <c r="F754" s="43" t="s">
        <v>2710</v>
      </c>
      <c r="G754" s="43" t="s">
        <v>67</v>
      </c>
      <c r="H754" s="44">
        <v>9.548301237E9</v>
      </c>
      <c r="I754" s="18">
        <f t="shared" si="6"/>
        <v>45938</v>
      </c>
      <c r="J754" s="19" t="s">
        <v>28</v>
      </c>
      <c r="K754" s="19" t="s">
        <v>325</v>
      </c>
      <c r="L754" s="40"/>
    </row>
    <row r="755" ht="22.5" customHeight="1">
      <c r="C755" s="19" t="s">
        <v>2667</v>
      </c>
      <c r="D755" s="39" t="s">
        <v>2711</v>
      </c>
      <c r="E755" s="43" t="s">
        <v>2712</v>
      </c>
      <c r="F755" s="43" t="s">
        <v>2713</v>
      </c>
      <c r="G755" s="43" t="s">
        <v>113</v>
      </c>
      <c r="H755" s="44">
        <v>9.546140605E9</v>
      </c>
      <c r="I755" s="18">
        <f t="shared" si="6"/>
        <v>45938</v>
      </c>
      <c r="J755" s="19" t="s">
        <v>28</v>
      </c>
      <c r="K755" s="19" t="s">
        <v>325</v>
      </c>
      <c r="L755" s="40"/>
    </row>
    <row r="756" ht="22.5" customHeight="1">
      <c r="C756" s="19" t="s">
        <v>2667</v>
      </c>
      <c r="D756" s="39" t="s">
        <v>2714</v>
      </c>
      <c r="E756" s="43" t="s">
        <v>2715</v>
      </c>
      <c r="F756" s="43" t="s">
        <v>2716</v>
      </c>
      <c r="G756" s="43" t="s">
        <v>781</v>
      </c>
      <c r="H756" s="44">
        <v>9.545733977E9</v>
      </c>
      <c r="I756" s="18">
        <f t="shared" si="6"/>
        <v>45938</v>
      </c>
      <c r="J756" s="19" t="s">
        <v>28</v>
      </c>
      <c r="K756" s="19" t="s">
        <v>325</v>
      </c>
      <c r="L756" s="40"/>
    </row>
    <row r="757" ht="22.5" customHeight="1">
      <c r="C757" s="19" t="s">
        <v>2667</v>
      </c>
      <c r="D757" s="39" t="s">
        <v>2717</v>
      </c>
      <c r="E757" s="43" t="s">
        <v>2718</v>
      </c>
      <c r="F757" s="43" t="s">
        <v>2719</v>
      </c>
      <c r="G757" s="43" t="s">
        <v>377</v>
      </c>
      <c r="H757" s="44">
        <v>5.612891519E9</v>
      </c>
      <c r="I757" s="18">
        <f t="shared" si="6"/>
        <v>45938</v>
      </c>
      <c r="J757" s="19" t="s">
        <v>28</v>
      </c>
      <c r="K757" s="19" t="s">
        <v>325</v>
      </c>
      <c r="L757" s="40"/>
    </row>
    <row r="758" ht="22.5" customHeight="1">
      <c r="C758" s="19" t="s">
        <v>2667</v>
      </c>
      <c r="D758" s="39" t="s">
        <v>2720</v>
      </c>
      <c r="E758" s="43" t="s">
        <v>2721</v>
      </c>
      <c r="F758" s="43" t="s">
        <v>2722</v>
      </c>
      <c r="G758" s="43" t="s">
        <v>62</v>
      </c>
      <c r="H758" s="42" t="s">
        <v>2723</v>
      </c>
      <c r="I758" s="18">
        <f t="shared" si="6"/>
        <v>45938</v>
      </c>
      <c r="J758" s="19" t="s">
        <v>28</v>
      </c>
      <c r="K758" s="19" t="s">
        <v>325</v>
      </c>
      <c r="L758" s="40"/>
    </row>
    <row r="759" ht="22.5" customHeight="1">
      <c r="C759" s="19" t="s">
        <v>2667</v>
      </c>
      <c r="D759" s="39" t="s">
        <v>2724</v>
      </c>
      <c r="E759" s="43" t="s">
        <v>2725</v>
      </c>
      <c r="F759" s="43" t="s">
        <v>2726</v>
      </c>
      <c r="G759" s="43" t="s">
        <v>360</v>
      </c>
      <c r="H759" s="44">
        <v>2.394513202E9</v>
      </c>
      <c r="I759" s="18">
        <f t="shared" si="6"/>
        <v>45938</v>
      </c>
      <c r="J759" s="19" t="s">
        <v>28</v>
      </c>
      <c r="K759" s="19" t="s">
        <v>325</v>
      </c>
      <c r="L759" s="40"/>
    </row>
    <row r="760" ht="22.5" customHeight="1">
      <c r="C760" s="19" t="s">
        <v>2667</v>
      </c>
      <c r="D760" s="39" t="s">
        <v>2727</v>
      </c>
      <c r="E760" s="43" t="s">
        <v>2728</v>
      </c>
      <c r="F760" s="43" t="s">
        <v>2729</v>
      </c>
      <c r="G760" s="43" t="s">
        <v>118</v>
      </c>
      <c r="H760" s="44">
        <v>5.617893688E9</v>
      </c>
      <c r="I760" s="18">
        <f t="shared" si="6"/>
        <v>45938</v>
      </c>
      <c r="J760" s="19" t="s">
        <v>28</v>
      </c>
      <c r="K760" s="19" t="s">
        <v>325</v>
      </c>
      <c r="L760" s="40"/>
    </row>
    <row r="761" ht="22.5" customHeight="1">
      <c r="C761" s="19" t="s">
        <v>2667</v>
      </c>
      <c r="D761" s="39" t="s">
        <v>2730</v>
      </c>
      <c r="E761" s="43" t="s">
        <v>2731</v>
      </c>
      <c r="F761" s="43" t="s">
        <v>2732</v>
      </c>
      <c r="G761" s="43" t="s">
        <v>77</v>
      </c>
      <c r="H761" s="42" t="s">
        <v>2733</v>
      </c>
      <c r="I761" s="18">
        <f t="shared" si="6"/>
        <v>45938</v>
      </c>
      <c r="J761" s="19" t="s">
        <v>28</v>
      </c>
      <c r="K761" s="19" t="s">
        <v>325</v>
      </c>
      <c r="L761" s="40"/>
    </row>
    <row r="762" ht="22.5" customHeight="1">
      <c r="C762" s="19" t="s">
        <v>2667</v>
      </c>
      <c r="D762" s="39" t="s">
        <v>2734</v>
      </c>
      <c r="E762" s="43" t="s">
        <v>2735</v>
      </c>
      <c r="F762" s="43" t="s">
        <v>2736</v>
      </c>
      <c r="G762" s="43" t="s">
        <v>136</v>
      </c>
      <c r="H762" s="42" t="s">
        <v>2737</v>
      </c>
      <c r="I762" s="18">
        <f t="shared" si="6"/>
        <v>45938</v>
      </c>
      <c r="J762" s="19" t="s">
        <v>28</v>
      </c>
      <c r="K762" s="19" t="s">
        <v>325</v>
      </c>
      <c r="L762" s="40"/>
    </row>
    <row r="763" ht="22.5" customHeight="1">
      <c r="C763" s="19" t="s">
        <v>2667</v>
      </c>
      <c r="D763" s="39" t="s">
        <v>2738</v>
      </c>
      <c r="E763" s="43" t="s">
        <v>2739</v>
      </c>
      <c r="F763" s="43" t="s">
        <v>2740</v>
      </c>
      <c r="G763" s="43" t="s">
        <v>57</v>
      </c>
      <c r="H763" s="42" t="s">
        <v>2741</v>
      </c>
      <c r="I763" s="18">
        <f t="shared" si="6"/>
        <v>45938</v>
      </c>
      <c r="J763" s="19" t="s">
        <v>28</v>
      </c>
      <c r="K763" s="19" t="s">
        <v>325</v>
      </c>
      <c r="L763" s="40"/>
    </row>
    <row r="764" ht="22.5" customHeight="1">
      <c r="C764" s="19" t="s">
        <v>2667</v>
      </c>
      <c r="D764" s="39" t="s">
        <v>2742</v>
      </c>
      <c r="E764" s="43" t="s">
        <v>2743</v>
      </c>
      <c r="F764" s="43" t="s">
        <v>2744</v>
      </c>
      <c r="G764" s="43" t="s">
        <v>279</v>
      </c>
      <c r="H764" s="44">
        <v>3.475379414E9</v>
      </c>
      <c r="I764" s="18">
        <f t="shared" si="6"/>
        <v>45938</v>
      </c>
      <c r="J764" s="19" t="s">
        <v>28</v>
      </c>
      <c r="K764" s="19" t="s">
        <v>325</v>
      </c>
      <c r="L764" s="40"/>
    </row>
    <row r="765" ht="22.5" customHeight="1">
      <c r="C765" s="19" t="s">
        <v>2667</v>
      </c>
      <c r="D765" s="39" t="s">
        <v>2745</v>
      </c>
      <c r="E765" s="43" t="s">
        <v>2746</v>
      </c>
      <c r="F765" s="43" t="s">
        <v>2747</v>
      </c>
      <c r="G765" s="43" t="s">
        <v>408</v>
      </c>
      <c r="H765" s="42" t="s">
        <v>2748</v>
      </c>
      <c r="I765" s="18">
        <f t="shared" si="6"/>
        <v>45938</v>
      </c>
      <c r="J765" s="19" t="s">
        <v>28</v>
      </c>
      <c r="K765" s="19" t="s">
        <v>325</v>
      </c>
      <c r="L765" s="40"/>
    </row>
    <row r="766" ht="22.5" customHeight="1">
      <c r="C766" s="19" t="s">
        <v>2667</v>
      </c>
      <c r="D766" s="39" t="s">
        <v>2749</v>
      </c>
      <c r="E766" s="43" t="s">
        <v>2750</v>
      </c>
      <c r="F766" s="43" t="s">
        <v>2751</v>
      </c>
      <c r="G766" s="43" t="s">
        <v>553</v>
      </c>
      <c r="H766" s="44">
        <v>9.544484134E9</v>
      </c>
      <c r="I766" s="18">
        <f t="shared" si="6"/>
        <v>45938</v>
      </c>
      <c r="J766" s="19" t="s">
        <v>28</v>
      </c>
      <c r="K766" s="19" t="s">
        <v>325</v>
      </c>
      <c r="L766" s="40"/>
    </row>
    <row r="767" ht="22.5" customHeight="1">
      <c r="C767" s="19" t="s">
        <v>2752</v>
      </c>
      <c r="D767" s="39" t="s">
        <v>2753</v>
      </c>
      <c r="E767" s="43" t="s">
        <v>2754</v>
      </c>
      <c r="F767" s="43" t="s">
        <v>2755</v>
      </c>
      <c r="G767" s="43" t="s">
        <v>915</v>
      </c>
      <c r="H767" s="42" t="s">
        <v>2756</v>
      </c>
      <c r="I767" s="18">
        <f t="shared" ref="I767:I839" si="7">DATE(2025, 10, 9)</f>
        <v>45939</v>
      </c>
      <c r="J767" s="19" t="s">
        <v>28</v>
      </c>
      <c r="K767" s="19" t="s">
        <v>325</v>
      </c>
      <c r="L767" s="40"/>
    </row>
    <row r="768" ht="22.5" customHeight="1">
      <c r="C768" s="19" t="s">
        <v>2752</v>
      </c>
      <c r="D768" s="39" t="s">
        <v>2757</v>
      </c>
      <c r="E768" s="43" t="s">
        <v>2758</v>
      </c>
      <c r="F768" s="43" t="s">
        <v>2759</v>
      </c>
      <c r="G768" s="43" t="s">
        <v>26</v>
      </c>
      <c r="H768" s="42" t="s">
        <v>2760</v>
      </c>
      <c r="I768" s="18">
        <f t="shared" si="7"/>
        <v>45939</v>
      </c>
      <c r="J768" s="19" t="s">
        <v>28</v>
      </c>
      <c r="K768" s="19" t="s">
        <v>325</v>
      </c>
      <c r="L768" s="40"/>
    </row>
    <row r="769" ht="22.5" customHeight="1">
      <c r="C769" s="19" t="s">
        <v>2752</v>
      </c>
      <c r="D769" s="39" t="s">
        <v>2761</v>
      </c>
      <c r="E769" s="43" t="s">
        <v>2491</v>
      </c>
      <c r="F769" s="43" t="s">
        <v>2762</v>
      </c>
      <c r="G769" s="43" t="s">
        <v>142</v>
      </c>
      <c r="H769" s="42" t="s">
        <v>2763</v>
      </c>
      <c r="I769" s="18">
        <f t="shared" si="7"/>
        <v>45939</v>
      </c>
      <c r="J769" s="19" t="s">
        <v>28</v>
      </c>
      <c r="K769" s="19" t="s">
        <v>325</v>
      </c>
      <c r="L769" s="40"/>
    </row>
    <row r="770" ht="22.5" customHeight="1">
      <c r="C770" s="19" t="s">
        <v>2752</v>
      </c>
      <c r="D770" s="39" t="s">
        <v>2764</v>
      </c>
      <c r="E770" s="43" t="s">
        <v>2765</v>
      </c>
      <c r="F770" s="43" t="s">
        <v>2766</v>
      </c>
      <c r="G770" s="43" t="s">
        <v>170</v>
      </c>
      <c r="H770" s="44">
        <v>5.619335746E9</v>
      </c>
      <c r="I770" s="18">
        <f t="shared" si="7"/>
        <v>45939</v>
      </c>
      <c r="J770" s="19" t="s">
        <v>28</v>
      </c>
      <c r="K770" s="19" t="s">
        <v>325</v>
      </c>
      <c r="L770" s="40"/>
    </row>
    <row r="771" ht="22.5" customHeight="1">
      <c r="C771" s="19" t="s">
        <v>2752</v>
      </c>
      <c r="D771" s="39" t="s">
        <v>2767</v>
      </c>
      <c r="E771" s="43" t="s">
        <v>2768</v>
      </c>
      <c r="F771" s="43" t="s">
        <v>2769</v>
      </c>
      <c r="G771" s="43" t="s">
        <v>67</v>
      </c>
      <c r="H771" s="44">
        <v>9.517752207E9</v>
      </c>
      <c r="I771" s="18">
        <f t="shared" si="7"/>
        <v>45939</v>
      </c>
      <c r="J771" s="19" t="s">
        <v>28</v>
      </c>
      <c r="K771" s="19" t="s">
        <v>325</v>
      </c>
      <c r="L771" s="40"/>
    </row>
    <row r="772" ht="22.5" customHeight="1">
      <c r="C772" s="19" t="s">
        <v>2752</v>
      </c>
      <c r="D772" s="39" t="s">
        <v>2770</v>
      </c>
      <c r="E772" s="43" t="s">
        <v>2771</v>
      </c>
      <c r="F772" s="43" t="s">
        <v>2772</v>
      </c>
      <c r="G772" s="43" t="s">
        <v>42</v>
      </c>
      <c r="H772" s="44">
        <v>5.61927E9</v>
      </c>
      <c r="I772" s="18">
        <f t="shared" si="7"/>
        <v>45939</v>
      </c>
      <c r="J772" s="19" t="s">
        <v>28</v>
      </c>
      <c r="K772" s="19" t="s">
        <v>325</v>
      </c>
      <c r="L772" s="40"/>
    </row>
    <row r="773" ht="22.5" customHeight="1">
      <c r="C773" s="19" t="s">
        <v>2752</v>
      </c>
      <c r="D773" s="39" t="s">
        <v>2773</v>
      </c>
      <c r="E773" s="43" t="s">
        <v>2774</v>
      </c>
      <c r="F773" s="43" t="s">
        <v>2775</v>
      </c>
      <c r="G773" s="43" t="s">
        <v>52</v>
      </c>
      <c r="H773" s="42" t="s">
        <v>2776</v>
      </c>
      <c r="I773" s="18">
        <f t="shared" si="7"/>
        <v>45939</v>
      </c>
      <c r="J773" s="19" t="s">
        <v>28</v>
      </c>
      <c r="K773" s="19" t="s">
        <v>325</v>
      </c>
      <c r="L773" s="40"/>
    </row>
    <row r="774" ht="22.5" customHeight="1">
      <c r="C774" s="19" t="s">
        <v>2752</v>
      </c>
      <c r="D774" s="39" t="s">
        <v>2777</v>
      </c>
      <c r="E774" s="43" t="s">
        <v>2778</v>
      </c>
      <c r="F774" s="43" t="s">
        <v>2779</v>
      </c>
      <c r="G774" s="43" t="s">
        <v>82</v>
      </c>
      <c r="H774" s="42" t="s">
        <v>2780</v>
      </c>
      <c r="I774" s="18">
        <f t="shared" si="7"/>
        <v>45939</v>
      </c>
      <c r="J774" s="19" t="s">
        <v>28</v>
      </c>
      <c r="K774" s="19" t="s">
        <v>325</v>
      </c>
      <c r="L774" s="40"/>
    </row>
    <row r="775" ht="22.5" customHeight="1">
      <c r="C775" s="19" t="s">
        <v>2752</v>
      </c>
      <c r="D775" s="39" t="s">
        <v>2781</v>
      </c>
      <c r="E775" s="43" t="s">
        <v>2782</v>
      </c>
      <c r="F775" s="43" t="s">
        <v>2783</v>
      </c>
      <c r="G775" s="43" t="s">
        <v>540</v>
      </c>
      <c r="H775" s="44">
        <v>5.614799822E9</v>
      </c>
      <c r="I775" s="18">
        <f t="shared" si="7"/>
        <v>45939</v>
      </c>
      <c r="J775" s="19" t="s">
        <v>28</v>
      </c>
      <c r="K775" s="19" t="s">
        <v>325</v>
      </c>
      <c r="L775" s="40"/>
    </row>
    <row r="776" ht="22.5" customHeight="1">
      <c r="C776" s="19" t="s">
        <v>2752</v>
      </c>
      <c r="D776" s="39" t="s">
        <v>2784</v>
      </c>
      <c r="E776" s="43" t="s">
        <v>2785</v>
      </c>
      <c r="F776" s="43" t="s">
        <v>2786</v>
      </c>
      <c r="G776" s="43" t="s">
        <v>377</v>
      </c>
      <c r="H776" s="42" t="s">
        <v>2787</v>
      </c>
      <c r="I776" s="18">
        <f t="shared" si="7"/>
        <v>45939</v>
      </c>
      <c r="J776" s="19" t="s">
        <v>28</v>
      </c>
      <c r="K776" s="19" t="s">
        <v>325</v>
      </c>
      <c r="L776" s="40"/>
    </row>
    <row r="777" ht="22.5" customHeight="1">
      <c r="C777" s="19" t="s">
        <v>2752</v>
      </c>
      <c r="D777" s="39" t="s">
        <v>2788</v>
      </c>
      <c r="E777" s="43" t="s">
        <v>2789</v>
      </c>
      <c r="F777" s="43" t="s">
        <v>2790</v>
      </c>
      <c r="G777" s="43" t="s">
        <v>360</v>
      </c>
      <c r="H777" s="44">
        <v>5.618469218E9</v>
      </c>
      <c r="I777" s="18">
        <f t="shared" si="7"/>
        <v>45939</v>
      </c>
      <c r="J777" s="19" t="s">
        <v>28</v>
      </c>
      <c r="K777" s="19" t="s">
        <v>325</v>
      </c>
      <c r="L777" s="40"/>
    </row>
    <row r="778" ht="22.5" customHeight="1">
      <c r="C778" s="19" t="s">
        <v>2752</v>
      </c>
      <c r="D778" s="39" t="s">
        <v>2791</v>
      </c>
      <c r="E778" s="43" t="s">
        <v>2792</v>
      </c>
      <c r="F778" s="43" t="s">
        <v>2793</v>
      </c>
      <c r="G778" s="43" t="s">
        <v>126</v>
      </c>
      <c r="H778" s="44">
        <v>3.104692021E9</v>
      </c>
      <c r="I778" s="18">
        <f t="shared" si="7"/>
        <v>45939</v>
      </c>
      <c r="J778" s="19" t="s">
        <v>28</v>
      </c>
      <c r="K778" s="19" t="s">
        <v>325</v>
      </c>
      <c r="L778" s="40"/>
    </row>
    <row r="779" ht="22.5" customHeight="1">
      <c r="C779" s="19" t="s">
        <v>2752</v>
      </c>
      <c r="D779" s="39" t="s">
        <v>2794</v>
      </c>
      <c r="E779" s="43" t="s">
        <v>2795</v>
      </c>
      <c r="F779" s="43" t="s">
        <v>2796</v>
      </c>
      <c r="G779" s="43" t="s">
        <v>136</v>
      </c>
      <c r="H779" s="42" t="s">
        <v>2797</v>
      </c>
      <c r="I779" s="18">
        <f t="shared" si="7"/>
        <v>45939</v>
      </c>
      <c r="J779" s="19" t="s">
        <v>28</v>
      </c>
      <c r="K779" s="19" t="s">
        <v>325</v>
      </c>
      <c r="L779" s="40"/>
    </row>
    <row r="780" ht="22.5" customHeight="1">
      <c r="C780" s="19" t="s">
        <v>2752</v>
      </c>
      <c r="D780" s="39" t="s">
        <v>2798</v>
      </c>
      <c r="E780" s="43" t="s">
        <v>2799</v>
      </c>
      <c r="F780" s="43" t="s">
        <v>2800</v>
      </c>
      <c r="G780" s="43" t="s">
        <v>2801</v>
      </c>
      <c r="H780" s="44">
        <v>3.233090568E9</v>
      </c>
      <c r="I780" s="18">
        <f t="shared" si="7"/>
        <v>45939</v>
      </c>
      <c r="J780" s="19" t="s">
        <v>28</v>
      </c>
      <c r="K780" s="19" t="s">
        <v>325</v>
      </c>
      <c r="L780" s="40"/>
    </row>
    <row r="781" ht="22.5" customHeight="1">
      <c r="C781" s="19" t="s">
        <v>2752</v>
      </c>
      <c r="D781" s="39" t="s">
        <v>2802</v>
      </c>
      <c r="E781" s="43" t="s">
        <v>2803</v>
      </c>
      <c r="F781" s="43" t="s">
        <v>2804</v>
      </c>
      <c r="G781" s="43" t="s">
        <v>57</v>
      </c>
      <c r="H781" s="42" t="s">
        <v>2805</v>
      </c>
      <c r="I781" s="18">
        <f t="shared" si="7"/>
        <v>45939</v>
      </c>
      <c r="J781" s="19" t="s">
        <v>28</v>
      </c>
      <c r="K781" s="19" t="s">
        <v>325</v>
      </c>
      <c r="L781" s="40"/>
    </row>
    <row r="782" ht="22.5" customHeight="1">
      <c r="C782" s="19" t="s">
        <v>2752</v>
      </c>
      <c r="D782" s="39" t="s">
        <v>2806</v>
      </c>
      <c r="E782" s="43" t="s">
        <v>2807</v>
      </c>
      <c r="F782" s="43" t="s">
        <v>2808</v>
      </c>
      <c r="G782" s="43" t="s">
        <v>72</v>
      </c>
      <c r="H782" s="42" t="s">
        <v>2809</v>
      </c>
      <c r="I782" s="18">
        <f t="shared" si="7"/>
        <v>45939</v>
      </c>
      <c r="J782" s="19" t="s">
        <v>28</v>
      </c>
      <c r="K782" s="19" t="s">
        <v>325</v>
      </c>
      <c r="L782" s="40"/>
    </row>
    <row r="783" ht="22.5" customHeight="1">
      <c r="C783" s="19" t="s">
        <v>2752</v>
      </c>
      <c r="D783" s="39" t="s">
        <v>2810</v>
      </c>
      <c r="E783" s="43" t="s">
        <v>2811</v>
      </c>
      <c r="F783" s="43" t="s">
        <v>2812</v>
      </c>
      <c r="G783" s="43" t="s">
        <v>230</v>
      </c>
      <c r="H783" s="42" t="s">
        <v>2813</v>
      </c>
      <c r="I783" s="18">
        <f t="shared" si="7"/>
        <v>45939</v>
      </c>
      <c r="J783" s="19" t="s">
        <v>28</v>
      </c>
      <c r="K783" s="19" t="s">
        <v>325</v>
      </c>
      <c r="L783" s="40"/>
    </row>
    <row r="784" ht="22.5" customHeight="1">
      <c r="C784" s="19" t="s">
        <v>2752</v>
      </c>
      <c r="D784" s="39" t="s">
        <v>2814</v>
      </c>
      <c r="E784" s="43" t="s">
        <v>2815</v>
      </c>
      <c r="F784" s="43" t="s">
        <v>2816</v>
      </c>
      <c r="G784" s="43" t="s">
        <v>717</v>
      </c>
      <c r="H784" s="42" t="s">
        <v>2817</v>
      </c>
      <c r="I784" s="18">
        <f t="shared" si="7"/>
        <v>45939</v>
      </c>
      <c r="J784" s="19" t="s">
        <v>28</v>
      </c>
      <c r="K784" s="19" t="s">
        <v>325</v>
      </c>
      <c r="L784" s="40"/>
    </row>
    <row r="785" ht="22.5" customHeight="1">
      <c r="C785" s="19" t="s">
        <v>2752</v>
      </c>
      <c r="D785" s="39" t="s">
        <v>2818</v>
      </c>
      <c r="E785" s="43" t="s">
        <v>2819</v>
      </c>
      <c r="F785" s="43" t="s">
        <v>2820</v>
      </c>
      <c r="G785" s="43" t="s">
        <v>113</v>
      </c>
      <c r="H785" s="44">
        <v>3.059988438E9</v>
      </c>
      <c r="I785" s="18">
        <f t="shared" si="7"/>
        <v>45939</v>
      </c>
      <c r="J785" s="19" t="s">
        <v>28</v>
      </c>
      <c r="K785" s="19" t="s">
        <v>325</v>
      </c>
      <c r="L785" s="40"/>
    </row>
    <row r="786" ht="22.5" customHeight="1">
      <c r="C786" s="19" t="s">
        <v>2752</v>
      </c>
      <c r="D786" s="39" t="s">
        <v>2821</v>
      </c>
      <c r="E786" s="43" t="s">
        <v>2822</v>
      </c>
      <c r="F786" s="43" t="s">
        <v>2823</v>
      </c>
      <c r="G786" s="43" t="s">
        <v>224</v>
      </c>
      <c r="H786" s="44">
        <v>9.542492709E9</v>
      </c>
      <c r="I786" s="18">
        <f t="shared" si="7"/>
        <v>45939</v>
      </c>
      <c r="J786" s="19" t="s">
        <v>28</v>
      </c>
      <c r="K786" s="19" t="s">
        <v>325</v>
      </c>
      <c r="L786" s="40"/>
    </row>
    <row r="787" ht="22.5" customHeight="1">
      <c r="C787" s="19" t="s">
        <v>2752</v>
      </c>
      <c r="D787" s="39" t="s">
        <v>2824</v>
      </c>
      <c r="E787" s="43" t="s">
        <v>2825</v>
      </c>
      <c r="F787" s="43" t="s">
        <v>2826</v>
      </c>
      <c r="G787" s="43" t="s">
        <v>82</v>
      </c>
      <c r="H787" s="42" t="s">
        <v>2827</v>
      </c>
      <c r="I787" s="18">
        <f t="shared" si="7"/>
        <v>45939</v>
      </c>
      <c r="J787" s="19" t="s">
        <v>28</v>
      </c>
      <c r="K787" s="19" t="s">
        <v>325</v>
      </c>
      <c r="L787" s="40"/>
    </row>
    <row r="788" ht="22.5" customHeight="1">
      <c r="C788" s="19" t="s">
        <v>2752</v>
      </c>
      <c r="D788" s="39" t="s">
        <v>2828</v>
      </c>
      <c r="E788" s="43" t="s">
        <v>2829</v>
      </c>
      <c r="F788" s="43" t="s">
        <v>2830</v>
      </c>
      <c r="G788" s="43" t="s">
        <v>2831</v>
      </c>
      <c r="H788" s="44">
        <v>3.057333616E9</v>
      </c>
      <c r="I788" s="18">
        <f t="shared" si="7"/>
        <v>45939</v>
      </c>
      <c r="J788" s="19" t="s">
        <v>28</v>
      </c>
      <c r="K788" s="19" t="s">
        <v>325</v>
      </c>
      <c r="L788" s="40"/>
    </row>
    <row r="789" ht="22.5" customHeight="1">
      <c r="C789" s="19" t="s">
        <v>2752</v>
      </c>
      <c r="D789" s="39" t="s">
        <v>2832</v>
      </c>
      <c r="E789" s="43" t="s">
        <v>2833</v>
      </c>
      <c r="F789" s="43" t="s">
        <v>2834</v>
      </c>
      <c r="G789" s="43" t="s">
        <v>2331</v>
      </c>
      <c r="H789" s="42" t="s">
        <v>2835</v>
      </c>
      <c r="I789" s="18">
        <f t="shared" si="7"/>
        <v>45939</v>
      </c>
      <c r="J789" s="19" t="s">
        <v>28</v>
      </c>
      <c r="K789" s="19" t="s">
        <v>325</v>
      </c>
      <c r="L789" s="40"/>
    </row>
    <row r="790" ht="22.5" customHeight="1">
      <c r="C790" s="19" t="s">
        <v>2752</v>
      </c>
      <c r="D790" s="39" t="s">
        <v>2836</v>
      </c>
      <c r="E790" s="43" t="s">
        <v>2837</v>
      </c>
      <c r="F790" s="43" t="s">
        <v>2838</v>
      </c>
      <c r="G790" s="43" t="s">
        <v>152</v>
      </c>
      <c r="H790" s="44">
        <v>9.549412312E9</v>
      </c>
      <c r="I790" s="18">
        <f t="shared" si="7"/>
        <v>45939</v>
      </c>
      <c r="J790" s="19" t="s">
        <v>28</v>
      </c>
      <c r="K790" s="19" t="s">
        <v>325</v>
      </c>
      <c r="L790" s="40"/>
    </row>
    <row r="791" ht="22.5" customHeight="1">
      <c r="C791" s="19" t="s">
        <v>2752</v>
      </c>
      <c r="D791" s="39" t="s">
        <v>2839</v>
      </c>
      <c r="E791" s="43" t="s">
        <v>2840</v>
      </c>
      <c r="F791" s="43" t="s">
        <v>2841</v>
      </c>
      <c r="G791" s="43" t="s">
        <v>77</v>
      </c>
      <c r="H791" s="44">
        <v>6.316816909E9</v>
      </c>
      <c r="I791" s="18">
        <f t="shared" si="7"/>
        <v>45939</v>
      </c>
      <c r="J791" s="19" t="s">
        <v>28</v>
      </c>
      <c r="K791" s="19" t="s">
        <v>325</v>
      </c>
      <c r="L791" s="40"/>
    </row>
    <row r="792" ht="22.5" customHeight="1">
      <c r="C792" s="19" t="s">
        <v>2752</v>
      </c>
      <c r="D792" s="39" t="s">
        <v>2842</v>
      </c>
      <c r="E792" s="43" t="s">
        <v>2843</v>
      </c>
      <c r="F792" s="43" t="s">
        <v>2844</v>
      </c>
      <c r="G792" s="43" t="s">
        <v>2845</v>
      </c>
      <c r="H792" s="44">
        <v>5.617568719E9</v>
      </c>
      <c r="I792" s="18">
        <f t="shared" si="7"/>
        <v>45939</v>
      </c>
      <c r="J792" s="19" t="s">
        <v>28</v>
      </c>
      <c r="K792" s="19" t="s">
        <v>325</v>
      </c>
      <c r="L792" s="40"/>
    </row>
    <row r="793" ht="22.5" customHeight="1">
      <c r="C793" s="19" t="s">
        <v>2752</v>
      </c>
      <c r="D793" s="39" t="s">
        <v>2846</v>
      </c>
      <c r="E793" s="43" t="s">
        <v>2847</v>
      </c>
      <c r="F793" s="43" t="s">
        <v>2848</v>
      </c>
      <c r="G793" s="43" t="s">
        <v>346</v>
      </c>
      <c r="H793" s="44">
        <v>5.617094584E9</v>
      </c>
      <c r="I793" s="18">
        <f t="shared" si="7"/>
        <v>45939</v>
      </c>
      <c r="J793" s="19" t="s">
        <v>28</v>
      </c>
      <c r="K793" s="19" t="s">
        <v>325</v>
      </c>
      <c r="L793" s="40"/>
    </row>
    <row r="794" ht="22.5" customHeight="1">
      <c r="C794" s="19" t="s">
        <v>2752</v>
      </c>
      <c r="D794" s="39" t="s">
        <v>2849</v>
      </c>
      <c r="E794" s="43" t="s">
        <v>2850</v>
      </c>
      <c r="F794" s="43" t="s">
        <v>2851</v>
      </c>
      <c r="G794" s="43" t="s">
        <v>2655</v>
      </c>
      <c r="H794" s="44">
        <v>9.54347112E9</v>
      </c>
      <c r="I794" s="18">
        <f t="shared" si="7"/>
        <v>45939</v>
      </c>
      <c r="J794" s="19" t="s">
        <v>28</v>
      </c>
      <c r="K794" s="19" t="s">
        <v>325</v>
      </c>
      <c r="L794" s="4" t="s">
        <v>99</v>
      </c>
    </row>
    <row r="795" ht="22.5" customHeight="1">
      <c r="C795" s="19" t="s">
        <v>2752</v>
      </c>
      <c r="D795" s="39" t="s">
        <v>2852</v>
      </c>
      <c r="E795" s="43" t="s">
        <v>2853</v>
      </c>
      <c r="F795" s="43" t="s">
        <v>658</v>
      </c>
      <c r="G795" s="43" t="s">
        <v>2854</v>
      </c>
      <c r="H795" s="44">
        <v>7.032686593E9</v>
      </c>
      <c r="I795" s="18">
        <f t="shared" si="7"/>
        <v>45939</v>
      </c>
      <c r="J795" s="19" t="s">
        <v>28</v>
      </c>
      <c r="K795" s="19" t="s">
        <v>325</v>
      </c>
      <c r="L795" s="40"/>
    </row>
    <row r="796" ht="22.5" customHeight="1">
      <c r="C796" s="19" t="s">
        <v>2752</v>
      </c>
      <c r="D796" s="39" t="s">
        <v>2855</v>
      </c>
      <c r="E796" s="43" t="s">
        <v>2856</v>
      </c>
      <c r="F796" s="28" t="s">
        <v>182</v>
      </c>
      <c r="G796" s="43" t="s">
        <v>582</v>
      </c>
      <c r="H796" s="44">
        <v>7.864054505E9</v>
      </c>
      <c r="I796" s="18">
        <f t="shared" si="7"/>
        <v>45939</v>
      </c>
      <c r="J796" s="19" t="s">
        <v>28</v>
      </c>
      <c r="K796" s="19" t="s">
        <v>325</v>
      </c>
      <c r="L796" s="40"/>
    </row>
    <row r="797" ht="22.5" customHeight="1">
      <c r="C797" s="19" t="s">
        <v>2752</v>
      </c>
      <c r="D797" s="39" t="s">
        <v>2857</v>
      </c>
      <c r="E797" s="43" t="s">
        <v>2858</v>
      </c>
      <c r="F797" s="43" t="s">
        <v>2859</v>
      </c>
      <c r="G797" s="43" t="s">
        <v>2596</v>
      </c>
      <c r="H797" s="42" t="s">
        <v>2860</v>
      </c>
      <c r="I797" s="18">
        <f t="shared" si="7"/>
        <v>45939</v>
      </c>
      <c r="J797" s="19" t="s">
        <v>28</v>
      </c>
      <c r="K797" s="19" t="s">
        <v>325</v>
      </c>
      <c r="L797" s="40"/>
    </row>
    <row r="798" ht="22.5" customHeight="1">
      <c r="C798" s="19" t="s">
        <v>2861</v>
      </c>
      <c r="D798" s="39" t="s">
        <v>2862</v>
      </c>
      <c r="E798" s="43" t="s">
        <v>2863</v>
      </c>
      <c r="F798" s="43" t="s">
        <v>2864</v>
      </c>
      <c r="G798" s="43" t="s">
        <v>126</v>
      </c>
      <c r="H798" s="44">
        <v>9.547084739E9</v>
      </c>
      <c r="I798" s="18">
        <f t="shared" si="7"/>
        <v>45939</v>
      </c>
      <c r="J798" s="19" t="s">
        <v>28</v>
      </c>
      <c r="K798" s="19" t="s">
        <v>325</v>
      </c>
      <c r="L798" s="40"/>
    </row>
    <row r="799" ht="22.5" customHeight="1">
      <c r="C799" s="19" t="s">
        <v>2861</v>
      </c>
      <c r="D799" s="39" t="s">
        <v>2865</v>
      </c>
      <c r="E799" s="43" t="s">
        <v>2866</v>
      </c>
      <c r="F799" s="43" t="s">
        <v>2867</v>
      </c>
      <c r="G799" s="43" t="s">
        <v>108</v>
      </c>
      <c r="H799" s="44">
        <v>9.548169642E9</v>
      </c>
      <c r="I799" s="18">
        <f t="shared" si="7"/>
        <v>45939</v>
      </c>
      <c r="J799" s="19" t="s">
        <v>28</v>
      </c>
      <c r="K799" s="19" t="s">
        <v>325</v>
      </c>
      <c r="L799" s="40"/>
    </row>
    <row r="800" ht="22.5" customHeight="1">
      <c r="C800" s="19" t="s">
        <v>2861</v>
      </c>
      <c r="D800" s="39" t="s">
        <v>2868</v>
      </c>
      <c r="E800" s="43" t="s">
        <v>2869</v>
      </c>
      <c r="F800" s="43" t="s">
        <v>2870</v>
      </c>
      <c r="G800" s="43" t="s">
        <v>1658</v>
      </c>
      <c r="H800" s="44">
        <v>1.9548512057E10</v>
      </c>
      <c r="I800" s="18">
        <f t="shared" si="7"/>
        <v>45939</v>
      </c>
      <c r="J800" s="19" t="s">
        <v>28</v>
      </c>
      <c r="K800" s="19" t="s">
        <v>325</v>
      </c>
      <c r="L800" s="40"/>
    </row>
    <row r="801" ht="22.5" customHeight="1">
      <c r="C801" s="19" t="s">
        <v>2861</v>
      </c>
      <c r="D801" s="39" t="s">
        <v>2871</v>
      </c>
      <c r="E801" s="43" t="s">
        <v>2872</v>
      </c>
      <c r="F801" s="43" t="s">
        <v>2873</v>
      </c>
      <c r="G801" s="43" t="s">
        <v>360</v>
      </c>
      <c r="H801" s="42" t="s">
        <v>2874</v>
      </c>
      <c r="I801" s="18">
        <f t="shared" si="7"/>
        <v>45939</v>
      </c>
      <c r="J801" s="19" t="s">
        <v>28</v>
      </c>
      <c r="K801" s="19" t="s">
        <v>325</v>
      </c>
      <c r="L801" s="40"/>
    </row>
    <row r="802" ht="22.5" customHeight="1">
      <c r="C802" s="19" t="s">
        <v>2861</v>
      </c>
      <c r="D802" s="39" t="s">
        <v>2875</v>
      </c>
      <c r="E802" s="43" t="s">
        <v>2876</v>
      </c>
      <c r="F802" s="43" t="s">
        <v>2877</v>
      </c>
      <c r="G802" s="43" t="s">
        <v>2878</v>
      </c>
      <c r="H802" s="44">
        <v>9.542812231E9</v>
      </c>
      <c r="I802" s="18">
        <f t="shared" si="7"/>
        <v>45939</v>
      </c>
      <c r="J802" s="19" t="s">
        <v>28</v>
      </c>
      <c r="K802" s="19" t="s">
        <v>325</v>
      </c>
      <c r="L802" s="40"/>
    </row>
    <row r="803" ht="22.5" customHeight="1">
      <c r="C803" s="19" t="s">
        <v>2861</v>
      </c>
      <c r="D803" s="39" t="s">
        <v>2879</v>
      </c>
      <c r="E803" s="43" t="s">
        <v>2880</v>
      </c>
      <c r="F803" s="43" t="s">
        <v>2881</v>
      </c>
      <c r="G803" s="43" t="s">
        <v>915</v>
      </c>
      <c r="H803" s="44">
        <v>7.542066436E9</v>
      </c>
      <c r="I803" s="18">
        <f t="shared" si="7"/>
        <v>45939</v>
      </c>
      <c r="J803" s="19" t="s">
        <v>28</v>
      </c>
      <c r="K803" s="19" t="s">
        <v>325</v>
      </c>
      <c r="L803" s="4" t="s">
        <v>99</v>
      </c>
    </row>
    <row r="804" ht="22.5" customHeight="1">
      <c r="C804" s="19" t="s">
        <v>2861</v>
      </c>
      <c r="D804" s="39" t="s">
        <v>2882</v>
      </c>
      <c r="E804" s="43" t="s">
        <v>2883</v>
      </c>
      <c r="F804" s="43" t="s">
        <v>2884</v>
      </c>
      <c r="G804" s="43" t="s">
        <v>622</v>
      </c>
      <c r="H804" s="44">
        <v>5.615772236E9</v>
      </c>
      <c r="I804" s="18">
        <f t="shared" si="7"/>
        <v>45939</v>
      </c>
      <c r="J804" s="19" t="s">
        <v>28</v>
      </c>
      <c r="K804" s="19" t="s">
        <v>325</v>
      </c>
      <c r="L804" s="40"/>
    </row>
    <row r="805" ht="22.5" customHeight="1">
      <c r="C805" s="19" t="s">
        <v>2861</v>
      </c>
      <c r="D805" s="39" t="s">
        <v>2885</v>
      </c>
      <c r="E805" s="43" t="s">
        <v>2886</v>
      </c>
      <c r="F805" s="43" t="s">
        <v>2508</v>
      </c>
      <c r="G805" s="43" t="s">
        <v>136</v>
      </c>
      <c r="H805" s="44">
        <v>9.542968877E9</v>
      </c>
      <c r="I805" s="18">
        <f t="shared" si="7"/>
        <v>45939</v>
      </c>
      <c r="J805" s="19" t="s">
        <v>28</v>
      </c>
      <c r="K805" s="19" t="s">
        <v>325</v>
      </c>
      <c r="L805" s="40"/>
    </row>
    <row r="806" ht="22.5" customHeight="1">
      <c r="C806" s="19" t="s">
        <v>2861</v>
      </c>
      <c r="D806" s="39" t="s">
        <v>2887</v>
      </c>
      <c r="E806" s="43" t="s">
        <v>2888</v>
      </c>
      <c r="F806" s="43" t="s">
        <v>2889</v>
      </c>
      <c r="G806" s="43" t="s">
        <v>1199</v>
      </c>
      <c r="H806" s="44">
        <v>9.542283042E9</v>
      </c>
      <c r="I806" s="18">
        <f t="shared" si="7"/>
        <v>45939</v>
      </c>
      <c r="J806" s="19" t="s">
        <v>28</v>
      </c>
      <c r="K806" s="19" t="s">
        <v>325</v>
      </c>
      <c r="L806" s="40"/>
    </row>
    <row r="807" ht="22.5" customHeight="1">
      <c r="C807" s="19" t="s">
        <v>2861</v>
      </c>
      <c r="D807" s="39" t="s">
        <v>2890</v>
      </c>
      <c r="E807" s="43" t="s">
        <v>2891</v>
      </c>
      <c r="F807" s="43" t="s">
        <v>2892</v>
      </c>
      <c r="G807" s="43" t="s">
        <v>67</v>
      </c>
      <c r="H807" s="42" t="s">
        <v>2893</v>
      </c>
      <c r="I807" s="18">
        <f t="shared" si="7"/>
        <v>45939</v>
      </c>
      <c r="J807" s="19" t="s">
        <v>28</v>
      </c>
      <c r="K807" s="19" t="s">
        <v>325</v>
      </c>
      <c r="L807" s="40"/>
    </row>
    <row r="808" ht="22.5" customHeight="1">
      <c r="C808" s="19" t="s">
        <v>2861</v>
      </c>
      <c r="D808" s="39" t="s">
        <v>2894</v>
      </c>
      <c r="E808" s="43" t="s">
        <v>2895</v>
      </c>
      <c r="F808" s="43" t="s">
        <v>2896</v>
      </c>
      <c r="G808" s="43" t="s">
        <v>727</v>
      </c>
      <c r="H808" s="44">
        <v>9.54632305E9</v>
      </c>
      <c r="I808" s="18">
        <f t="shared" si="7"/>
        <v>45939</v>
      </c>
      <c r="J808" s="19" t="s">
        <v>28</v>
      </c>
      <c r="K808" s="19" t="s">
        <v>325</v>
      </c>
      <c r="L808" s="40"/>
    </row>
    <row r="809" ht="22.5" customHeight="1">
      <c r="C809" s="19" t="s">
        <v>2861</v>
      </c>
      <c r="D809" s="39" t="s">
        <v>2897</v>
      </c>
      <c r="E809" s="43" t="s">
        <v>2898</v>
      </c>
      <c r="F809" s="43" t="s">
        <v>2899</v>
      </c>
      <c r="G809" s="43" t="s">
        <v>72</v>
      </c>
      <c r="H809" s="44">
        <v>9.545306206E9</v>
      </c>
      <c r="I809" s="18">
        <f t="shared" si="7"/>
        <v>45939</v>
      </c>
      <c r="J809" s="19" t="s">
        <v>28</v>
      </c>
      <c r="K809" s="19" t="s">
        <v>325</v>
      </c>
      <c r="L809" s="40"/>
    </row>
    <row r="810" ht="22.5" customHeight="1">
      <c r="C810" s="19" t="s">
        <v>2861</v>
      </c>
      <c r="D810" s="39" t="s">
        <v>2900</v>
      </c>
      <c r="E810" s="43" t="s">
        <v>2901</v>
      </c>
      <c r="F810" s="43" t="s">
        <v>2902</v>
      </c>
      <c r="G810" s="43" t="s">
        <v>781</v>
      </c>
      <c r="H810" s="44">
        <v>9.543718801E9</v>
      </c>
      <c r="I810" s="18">
        <f t="shared" si="7"/>
        <v>45939</v>
      </c>
      <c r="J810" s="19" t="s">
        <v>28</v>
      </c>
      <c r="K810" s="19" t="s">
        <v>325</v>
      </c>
      <c r="L810" s="40"/>
    </row>
    <row r="811" ht="22.5" customHeight="1">
      <c r="C811" s="19" t="s">
        <v>2861</v>
      </c>
      <c r="D811" s="39" t="s">
        <v>2903</v>
      </c>
      <c r="E811" s="43" t="s">
        <v>2904</v>
      </c>
      <c r="F811" s="43" t="s">
        <v>2905</v>
      </c>
      <c r="G811" s="43" t="s">
        <v>346</v>
      </c>
      <c r="H811" s="44">
        <v>7.277449803E9</v>
      </c>
      <c r="I811" s="18">
        <f t="shared" si="7"/>
        <v>45939</v>
      </c>
      <c r="J811" s="19" t="s">
        <v>28</v>
      </c>
      <c r="K811" s="19" t="s">
        <v>325</v>
      </c>
      <c r="L811" s="40"/>
    </row>
    <row r="812" ht="22.5" customHeight="1">
      <c r="C812" s="19" t="s">
        <v>2861</v>
      </c>
      <c r="D812" s="39" t="s">
        <v>2906</v>
      </c>
      <c r="E812" s="43" t="s">
        <v>2907</v>
      </c>
      <c r="F812" s="43" t="s">
        <v>2908</v>
      </c>
      <c r="G812" s="43" t="s">
        <v>2909</v>
      </c>
      <c r="H812" s="42" t="s">
        <v>2910</v>
      </c>
      <c r="I812" s="18">
        <f t="shared" si="7"/>
        <v>45939</v>
      </c>
      <c r="J812" s="19" t="s">
        <v>28</v>
      </c>
      <c r="K812" s="19" t="s">
        <v>325</v>
      </c>
      <c r="L812" s="40"/>
    </row>
    <row r="813" ht="22.5" customHeight="1">
      <c r="C813" s="19" t="s">
        <v>2861</v>
      </c>
      <c r="D813" s="39" t="s">
        <v>2911</v>
      </c>
      <c r="E813" s="43" t="s">
        <v>2912</v>
      </c>
      <c r="F813" s="43" t="s">
        <v>2913</v>
      </c>
      <c r="G813" s="43" t="s">
        <v>2914</v>
      </c>
      <c r="H813" s="42" t="s">
        <v>2915</v>
      </c>
      <c r="I813" s="18">
        <f t="shared" si="7"/>
        <v>45939</v>
      </c>
      <c r="J813" s="19" t="s">
        <v>28</v>
      </c>
      <c r="K813" s="19" t="s">
        <v>325</v>
      </c>
      <c r="L813" s="40"/>
    </row>
    <row r="814" ht="22.5" customHeight="1">
      <c r="C814" s="19" t="s">
        <v>2861</v>
      </c>
      <c r="D814" s="39" t="s">
        <v>2916</v>
      </c>
      <c r="E814" s="43" t="s">
        <v>2917</v>
      </c>
      <c r="F814" s="43" t="s">
        <v>2918</v>
      </c>
      <c r="G814" s="43" t="s">
        <v>886</v>
      </c>
      <c r="H814" s="42" t="s">
        <v>2919</v>
      </c>
      <c r="I814" s="18">
        <f t="shared" si="7"/>
        <v>45939</v>
      </c>
      <c r="J814" s="19" t="s">
        <v>28</v>
      </c>
      <c r="K814" s="19" t="s">
        <v>325</v>
      </c>
      <c r="L814" s="40"/>
    </row>
    <row r="815" ht="22.5" customHeight="1">
      <c r="C815" s="19" t="s">
        <v>2861</v>
      </c>
      <c r="D815" s="39" t="s">
        <v>2920</v>
      </c>
      <c r="E815" s="43" t="s">
        <v>2921</v>
      </c>
      <c r="F815" s="43" t="s">
        <v>2922</v>
      </c>
      <c r="G815" s="43" t="s">
        <v>346</v>
      </c>
      <c r="H815" s="42" t="s">
        <v>2923</v>
      </c>
      <c r="I815" s="18">
        <f t="shared" si="7"/>
        <v>45939</v>
      </c>
      <c r="J815" s="19" t="s">
        <v>28</v>
      </c>
      <c r="K815" s="19" t="s">
        <v>325</v>
      </c>
      <c r="L815" s="40"/>
    </row>
    <row r="816" ht="22.5" customHeight="1">
      <c r="C816" s="19" t="s">
        <v>2861</v>
      </c>
      <c r="D816" s="39" t="s">
        <v>2924</v>
      </c>
      <c r="E816" s="43" t="s">
        <v>2925</v>
      </c>
      <c r="F816" s="43" t="s">
        <v>2926</v>
      </c>
      <c r="G816" s="43" t="s">
        <v>97</v>
      </c>
      <c r="H816" s="42" t="s">
        <v>2927</v>
      </c>
      <c r="I816" s="18">
        <f t="shared" si="7"/>
        <v>45939</v>
      </c>
      <c r="J816" s="19" t="s">
        <v>28</v>
      </c>
      <c r="K816" s="19" t="s">
        <v>325</v>
      </c>
      <c r="L816" s="40"/>
    </row>
    <row r="817" ht="22.5" customHeight="1">
      <c r="C817" s="19" t="s">
        <v>2861</v>
      </c>
      <c r="D817" s="39" t="s">
        <v>2928</v>
      </c>
      <c r="E817" s="43" t="s">
        <v>2929</v>
      </c>
      <c r="F817" s="43" t="s">
        <v>2930</v>
      </c>
      <c r="G817" s="43" t="s">
        <v>82</v>
      </c>
      <c r="H817" s="44">
        <v>9.546639687E9</v>
      </c>
      <c r="I817" s="18">
        <f t="shared" si="7"/>
        <v>45939</v>
      </c>
      <c r="J817" s="19" t="s">
        <v>28</v>
      </c>
      <c r="K817" s="19" t="s">
        <v>325</v>
      </c>
      <c r="L817" s="40"/>
    </row>
    <row r="818" ht="22.5" customHeight="1">
      <c r="C818" s="19" t="s">
        <v>2931</v>
      </c>
      <c r="D818" s="39" t="s">
        <v>2932</v>
      </c>
      <c r="E818" s="43" t="s">
        <v>2933</v>
      </c>
      <c r="F818" s="43" t="s">
        <v>2934</v>
      </c>
      <c r="G818" s="43" t="s">
        <v>1658</v>
      </c>
      <c r="H818" s="42" t="s">
        <v>2935</v>
      </c>
      <c r="I818" s="18">
        <f t="shared" si="7"/>
        <v>45939</v>
      </c>
      <c r="J818" s="19" t="s">
        <v>28</v>
      </c>
      <c r="K818" s="19" t="s">
        <v>325</v>
      </c>
      <c r="L818" s="18"/>
    </row>
    <row r="819" ht="22.5" customHeight="1">
      <c r="C819" s="19" t="s">
        <v>2931</v>
      </c>
      <c r="D819" s="39" t="s">
        <v>2936</v>
      </c>
      <c r="E819" s="43" t="s">
        <v>2937</v>
      </c>
      <c r="F819" s="43" t="s">
        <v>2508</v>
      </c>
      <c r="G819" s="43" t="s">
        <v>136</v>
      </c>
      <c r="H819" s="44">
        <v>9.548599539E9</v>
      </c>
      <c r="I819" s="18">
        <f t="shared" si="7"/>
        <v>45939</v>
      </c>
      <c r="J819" s="19" t="s">
        <v>28</v>
      </c>
      <c r="K819" s="19" t="s">
        <v>325</v>
      </c>
      <c r="L819" s="40"/>
    </row>
    <row r="820" ht="22.5" customHeight="1">
      <c r="C820" s="19" t="s">
        <v>2931</v>
      </c>
      <c r="D820" s="39" t="s">
        <v>2938</v>
      </c>
      <c r="E820" s="43" t="s">
        <v>2939</v>
      </c>
      <c r="F820" s="43" t="s">
        <v>2940</v>
      </c>
      <c r="G820" s="43" t="s">
        <v>57</v>
      </c>
      <c r="H820" s="42" t="s">
        <v>2941</v>
      </c>
      <c r="I820" s="18">
        <f t="shared" si="7"/>
        <v>45939</v>
      </c>
      <c r="J820" s="19" t="s">
        <v>28</v>
      </c>
      <c r="K820" s="19" t="s">
        <v>325</v>
      </c>
      <c r="L820" s="40"/>
    </row>
    <row r="821" ht="22.5" customHeight="1">
      <c r="C821" s="19" t="s">
        <v>2931</v>
      </c>
      <c r="D821" s="39" t="s">
        <v>2942</v>
      </c>
      <c r="E821" s="43" t="s">
        <v>2943</v>
      </c>
      <c r="F821" s="43" t="s">
        <v>2944</v>
      </c>
      <c r="G821" s="43" t="s">
        <v>224</v>
      </c>
      <c r="H821" s="42" t="s">
        <v>2945</v>
      </c>
      <c r="I821" s="18">
        <f t="shared" si="7"/>
        <v>45939</v>
      </c>
      <c r="J821" s="19" t="s">
        <v>28</v>
      </c>
      <c r="K821" s="19" t="s">
        <v>325</v>
      </c>
      <c r="L821" s="40"/>
    </row>
    <row r="822" ht="22.5" customHeight="1">
      <c r="C822" s="19" t="s">
        <v>2931</v>
      </c>
      <c r="D822" s="39" t="s">
        <v>2946</v>
      </c>
      <c r="E822" s="43" t="s">
        <v>2947</v>
      </c>
      <c r="F822" s="43" t="s">
        <v>2948</v>
      </c>
      <c r="G822" s="43" t="s">
        <v>2331</v>
      </c>
      <c r="H822" s="44">
        <v>3.059266215E9</v>
      </c>
      <c r="I822" s="18">
        <f t="shared" si="7"/>
        <v>45939</v>
      </c>
      <c r="J822" s="19" t="s">
        <v>28</v>
      </c>
      <c r="K822" s="19" t="s">
        <v>325</v>
      </c>
      <c r="L822" s="40"/>
    </row>
    <row r="823" ht="22.5" customHeight="1">
      <c r="C823" s="19" t="s">
        <v>2931</v>
      </c>
      <c r="D823" s="39" t="s">
        <v>2949</v>
      </c>
      <c r="E823" s="43" t="s">
        <v>2950</v>
      </c>
      <c r="F823" s="43" t="s">
        <v>2951</v>
      </c>
      <c r="G823" s="43" t="s">
        <v>77</v>
      </c>
      <c r="H823" s="44">
        <v>9.543496214E9</v>
      </c>
      <c r="I823" s="18">
        <f t="shared" si="7"/>
        <v>45939</v>
      </c>
      <c r="J823" s="19" t="s">
        <v>28</v>
      </c>
      <c r="K823" s="19" t="s">
        <v>325</v>
      </c>
      <c r="L823" s="40"/>
    </row>
    <row r="824" ht="22.5" customHeight="1">
      <c r="C824" s="19" t="s">
        <v>2931</v>
      </c>
      <c r="D824" s="39" t="s">
        <v>2952</v>
      </c>
      <c r="E824" s="43" t="s">
        <v>2953</v>
      </c>
      <c r="F824" s="43" t="s">
        <v>1055</v>
      </c>
      <c r="G824" s="43" t="s">
        <v>126</v>
      </c>
      <c r="H824" s="44">
        <v>9.174597905E9</v>
      </c>
      <c r="I824" s="18">
        <f t="shared" si="7"/>
        <v>45939</v>
      </c>
      <c r="J824" s="19" t="s">
        <v>28</v>
      </c>
      <c r="K824" s="19" t="s">
        <v>325</v>
      </c>
      <c r="L824" s="40"/>
    </row>
    <row r="825" ht="22.5" customHeight="1">
      <c r="C825" s="19" t="s">
        <v>2931</v>
      </c>
      <c r="D825" s="39" t="s">
        <v>2954</v>
      </c>
      <c r="E825" s="43" t="s">
        <v>2955</v>
      </c>
      <c r="F825" s="43" t="s">
        <v>2956</v>
      </c>
      <c r="G825" s="43" t="s">
        <v>915</v>
      </c>
      <c r="H825" s="44">
        <v>8.449337987E9</v>
      </c>
      <c r="I825" s="18">
        <f t="shared" si="7"/>
        <v>45939</v>
      </c>
      <c r="J825" s="19" t="s">
        <v>28</v>
      </c>
      <c r="K825" s="19" t="s">
        <v>325</v>
      </c>
      <c r="L825" s="4" t="s">
        <v>99</v>
      </c>
    </row>
    <row r="826" ht="22.5" customHeight="1">
      <c r="C826" s="19" t="s">
        <v>2931</v>
      </c>
      <c r="D826" s="39" t="s">
        <v>2957</v>
      </c>
      <c r="E826" s="43" t="s">
        <v>2958</v>
      </c>
      <c r="F826" s="43" t="s">
        <v>2959</v>
      </c>
      <c r="G826" s="43" t="s">
        <v>108</v>
      </c>
      <c r="H826" s="42" t="s">
        <v>2960</v>
      </c>
      <c r="I826" s="18">
        <f t="shared" si="7"/>
        <v>45939</v>
      </c>
      <c r="J826" s="19" t="s">
        <v>28</v>
      </c>
      <c r="K826" s="19" t="s">
        <v>325</v>
      </c>
      <c r="L826" s="40"/>
    </row>
    <row r="827" ht="22.5" customHeight="1">
      <c r="C827" s="19" t="s">
        <v>2931</v>
      </c>
      <c r="D827" s="39" t="s">
        <v>2961</v>
      </c>
      <c r="E827" s="43" t="s">
        <v>2962</v>
      </c>
      <c r="F827" s="43" t="s">
        <v>2963</v>
      </c>
      <c r="G827" s="43" t="s">
        <v>622</v>
      </c>
      <c r="H827" s="42" t="s">
        <v>2964</v>
      </c>
      <c r="I827" s="18">
        <f t="shared" si="7"/>
        <v>45939</v>
      </c>
      <c r="J827" s="19" t="s">
        <v>28</v>
      </c>
      <c r="K827" s="19" t="s">
        <v>325</v>
      </c>
      <c r="L827" s="40"/>
    </row>
    <row r="828" ht="22.5" customHeight="1">
      <c r="C828" s="19" t="s">
        <v>2931</v>
      </c>
      <c r="D828" s="39" t="s">
        <v>2965</v>
      </c>
      <c r="E828" s="43" t="s">
        <v>2966</v>
      </c>
      <c r="F828" s="43" t="s">
        <v>2967</v>
      </c>
      <c r="G828" s="43" t="s">
        <v>2296</v>
      </c>
      <c r="H828" s="44">
        <v>9.542689835E9</v>
      </c>
      <c r="I828" s="18">
        <f t="shared" si="7"/>
        <v>45939</v>
      </c>
      <c r="J828" s="19" t="s">
        <v>28</v>
      </c>
      <c r="K828" s="19" t="s">
        <v>325</v>
      </c>
      <c r="L828" s="40"/>
    </row>
    <row r="829" ht="22.5" customHeight="1">
      <c r="C829" s="19" t="s">
        <v>2931</v>
      </c>
      <c r="D829" s="39" t="s">
        <v>2968</v>
      </c>
      <c r="E829" s="43" t="s">
        <v>2969</v>
      </c>
      <c r="F829" s="43" t="s">
        <v>2970</v>
      </c>
      <c r="G829" s="43" t="s">
        <v>1658</v>
      </c>
      <c r="H829" s="42" t="s">
        <v>2971</v>
      </c>
      <c r="I829" s="18">
        <f t="shared" si="7"/>
        <v>45939</v>
      </c>
      <c r="J829" s="19" t="s">
        <v>28</v>
      </c>
      <c r="K829" s="19" t="s">
        <v>325</v>
      </c>
      <c r="L829" s="40"/>
    </row>
    <row r="830" ht="22.5" customHeight="1">
      <c r="C830" s="19" t="s">
        <v>2931</v>
      </c>
      <c r="D830" s="39" t="s">
        <v>2972</v>
      </c>
      <c r="E830" s="43" t="s">
        <v>2973</v>
      </c>
      <c r="F830" s="43" t="s">
        <v>2974</v>
      </c>
      <c r="G830" s="43" t="s">
        <v>2975</v>
      </c>
      <c r="H830" s="42" t="s">
        <v>2976</v>
      </c>
      <c r="I830" s="18">
        <f t="shared" si="7"/>
        <v>45939</v>
      </c>
      <c r="J830" s="19" t="s">
        <v>28</v>
      </c>
      <c r="K830" s="19" t="s">
        <v>325</v>
      </c>
      <c r="L830" s="4" t="s">
        <v>99</v>
      </c>
    </row>
    <row r="831" ht="22.5" customHeight="1">
      <c r="C831" s="19" t="s">
        <v>2931</v>
      </c>
      <c r="D831" s="39" t="s">
        <v>2977</v>
      </c>
      <c r="E831" s="43" t="s">
        <v>2978</v>
      </c>
      <c r="F831" s="43" t="s">
        <v>2979</v>
      </c>
      <c r="G831" s="43" t="s">
        <v>113</v>
      </c>
      <c r="H831" s="44">
        <v>9.548031616E9</v>
      </c>
      <c r="I831" s="18">
        <f t="shared" si="7"/>
        <v>45939</v>
      </c>
      <c r="J831" s="19" t="s">
        <v>28</v>
      </c>
      <c r="K831" s="19" t="s">
        <v>325</v>
      </c>
      <c r="L831" s="40"/>
    </row>
    <row r="832" ht="22.5" customHeight="1">
      <c r="C832" s="19" t="s">
        <v>2931</v>
      </c>
      <c r="D832" s="39" t="s">
        <v>2980</v>
      </c>
      <c r="E832" s="43" t="s">
        <v>2981</v>
      </c>
      <c r="F832" s="28" t="s">
        <v>182</v>
      </c>
      <c r="G832" s="43" t="s">
        <v>2982</v>
      </c>
      <c r="H832" s="44">
        <v>2.039136E9</v>
      </c>
      <c r="I832" s="18">
        <f t="shared" si="7"/>
        <v>45939</v>
      </c>
      <c r="J832" s="19" t="s">
        <v>28</v>
      </c>
      <c r="K832" s="19" t="s">
        <v>325</v>
      </c>
      <c r="L832" s="4" t="s">
        <v>99</v>
      </c>
    </row>
    <row r="833" ht="22.5" customHeight="1">
      <c r="C833" s="19" t="s">
        <v>2931</v>
      </c>
      <c r="D833" s="39" t="s">
        <v>2983</v>
      </c>
      <c r="E833" s="43" t="s">
        <v>2984</v>
      </c>
      <c r="F833" s="43" t="s">
        <v>2985</v>
      </c>
      <c r="G833" s="43" t="s">
        <v>524</v>
      </c>
      <c r="H833" s="42" t="s">
        <v>2986</v>
      </c>
      <c r="I833" s="18">
        <f t="shared" si="7"/>
        <v>45939</v>
      </c>
      <c r="J833" s="19" t="s">
        <v>28</v>
      </c>
      <c r="K833" s="19" t="s">
        <v>325</v>
      </c>
      <c r="L833" s="40"/>
    </row>
    <row r="834" ht="22.5" customHeight="1">
      <c r="C834" s="19" t="s">
        <v>2931</v>
      </c>
      <c r="D834" s="39" t="s">
        <v>2987</v>
      </c>
      <c r="E834" s="43" t="s">
        <v>2988</v>
      </c>
      <c r="F834" s="43" t="s">
        <v>1419</v>
      </c>
      <c r="G834" s="43" t="s">
        <v>67</v>
      </c>
      <c r="H834" s="44">
        <v>9.5470679E9</v>
      </c>
      <c r="I834" s="18">
        <f t="shared" si="7"/>
        <v>45939</v>
      </c>
      <c r="J834" s="19" t="s">
        <v>28</v>
      </c>
      <c r="K834" s="19" t="s">
        <v>325</v>
      </c>
      <c r="L834" s="40"/>
    </row>
    <row r="835" ht="22.5" customHeight="1">
      <c r="C835" s="19" t="s">
        <v>2931</v>
      </c>
      <c r="D835" s="39" t="s">
        <v>2989</v>
      </c>
      <c r="E835" s="43" t="s">
        <v>2990</v>
      </c>
      <c r="F835" s="43" t="s">
        <v>2991</v>
      </c>
      <c r="G835" s="43" t="s">
        <v>360</v>
      </c>
      <c r="H835" s="42" t="s">
        <v>2992</v>
      </c>
      <c r="I835" s="18">
        <f t="shared" si="7"/>
        <v>45939</v>
      </c>
      <c r="J835" s="19" t="s">
        <v>28</v>
      </c>
      <c r="K835" s="19" t="s">
        <v>325</v>
      </c>
      <c r="L835" s="40"/>
    </row>
    <row r="836" ht="22.5" customHeight="1">
      <c r="C836" s="19" t="s">
        <v>2931</v>
      </c>
      <c r="D836" s="39" t="s">
        <v>2993</v>
      </c>
      <c r="E836" s="43" t="s">
        <v>2994</v>
      </c>
      <c r="F836" s="43" t="s">
        <v>2995</v>
      </c>
      <c r="G836" s="43" t="s">
        <v>97</v>
      </c>
      <c r="H836" s="42" t="s">
        <v>2996</v>
      </c>
      <c r="I836" s="18">
        <f t="shared" si="7"/>
        <v>45939</v>
      </c>
      <c r="J836" s="19" t="s">
        <v>28</v>
      </c>
      <c r="K836" s="19" t="s">
        <v>325</v>
      </c>
      <c r="L836" s="40"/>
    </row>
    <row r="837" ht="22.5" customHeight="1">
      <c r="C837" s="19" t="s">
        <v>2931</v>
      </c>
      <c r="D837" s="39" t="s">
        <v>2997</v>
      </c>
      <c r="E837" s="43" t="s">
        <v>2998</v>
      </c>
      <c r="F837" s="43" t="s">
        <v>2999</v>
      </c>
      <c r="G837" s="43" t="s">
        <v>72</v>
      </c>
      <c r="H837" s="44">
        <v>5.612100234E9</v>
      </c>
      <c r="I837" s="18">
        <f t="shared" si="7"/>
        <v>45939</v>
      </c>
      <c r="J837" s="19" t="s">
        <v>28</v>
      </c>
      <c r="K837" s="19" t="s">
        <v>325</v>
      </c>
      <c r="L837" s="40"/>
    </row>
    <row r="838" ht="22.5" customHeight="1">
      <c r="C838" s="19" t="s">
        <v>2931</v>
      </c>
      <c r="D838" s="39" t="s">
        <v>3000</v>
      </c>
      <c r="E838" s="43" t="s">
        <v>3001</v>
      </c>
      <c r="F838" s="43" t="s">
        <v>1440</v>
      </c>
      <c r="G838" s="43" t="s">
        <v>131</v>
      </c>
      <c r="H838" s="44">
        <v>7.866066558E9</v>
      </c>
      <c r="I838" s="18">
        <f t="shared" si="7"/>
        <v>45939</v>
      </c>
      <c r="J838" s="19" t="s">
        <v>28</v>
      </c>
      <c r="K838" s="19" t="s">
        <v>325</v>
      </c>
      <c r="L838" s="40"/>
    </row>
    <row r="839" ht="22.5" customHeight="1">
      <c r="C839" s="19" t="s">
        <v>182</v>
      </c>
      <c r="D839" s="39" t="s">
        <v>182</v>
      </c>
      <c r="E839" s="39" t="s">
        <v>3002</v>
      </c>
      <c r="F839" s="45" t="s">
        <v>3003</v>
      </c>
      <c r="G839" s="45" t="s">
        <v>182</v>
      </c>
      <c r="H839" s="46" t="s">
        <v>182</v>
      </c>
      <c r="I839" s="18">
        <f t="shared" si="7"/>
        <v>45939</v>
      </c>
      <c r="J839" s="19" t="s">
        <v>28</v>
      </c>
      <c r="K839" s="19" t="s">
        <v>28</v>
      </c>
      <c r="L839" s="4" t="s">
        <v>148</v>
      </c>
    </row>
    <row r="840" ht="22.5" customHeight="1">
      <c r="C840" s="19" t="s">
        <v>3004</v>
      </c>
      <c r="D840" s="39" t="s">
        <v>2339</v>
      </c>
      <c r="E840" s="43" t="s">
        <v>3005</v>
      </c>
      <c r="F840" s="28" t="s">
        <v>182</v>
      </c>
      <c r="G840" s="43" t="s">
        <v>170</v>
      </c>
      <c r="H840" s="44">
        <v>9.548058014E9</v>
      </c>
      <c r="I840" s="18">
        <f t="shared" ref="I840:I917" si="8">DATE(2025, 10, 10)</f>
        <v>45940</v>
      </c>
      <c r="J840" s="19" t="s">
        <v>28</v>
      </c>
      <c r="K840" s="19" t="s">
        <v>325</v>
      </c>
      <c r="L840" s="4" t="s">
        <v>148</v>
      </c>
    </row>
    <row r="841" ht="22.5" customHeight="1">
      <c r="C841" s="19" t="s">
        <v>3004</v>
      </c>
      <c r="D841" s="39" t="s">
        <v>2339</v>
      </c>
      <c r="E841" s="43" t="s">
        <v>3006</v>
      </c>
      <c r="F841" s="43" t="s">
        <v>3007</v>
      </c>
      <c r="G841" s="43" t="s">
        <v>3008</v>
      </c>
      <c r="H841" s="44">
        <v>9.549072044E9</v>
      </c>
      <c r="I841" s="18">
        <f t="shared" si="8"/>
        <v>45940</v>
      </c>
      <c r="J841" s="19" t="s">
        <v>28</v>
      </c>
      <c r="K841" s="19" t="s">
        <v>325</v>
      </c>
      <c r="L841" s="4" t="s">
        <v>99</v>
      </c>
    </row>
    <row r="842" ht="22.5" customHeight="1">
      <c r="C842" s="19" t="s">
        <v>3004</v>
      </c>
      <c r="D842" s="39" t="s">
        <v>2339</v>
      </c>
      <c r="E842" s="43" t="s">
        <v>3009</v>
      </c>
      <c r="F842" s="43" t="s">
        <v>3010</v>
      </c>
      <c r="G842" s="43" t="s">
        <v>82</v>
      </c>
      <c r="H842" s="44">
        <v>9.542685969E9</v>
      </c>
      <c r="I842" s="18">
        <f t="shared" si="8"/>
        <v>45940</v>
      </c>
      <c r="J842" s="19" t="s">
        <v>28</v>
      </c>
      <c r="K842" s="19" t="s">
        <v>325</v>
      </c>
      <c r="L842" s="40"/>
    </row>
    <row r="843" ht="22.5" customHeight="1">
      <c r="C843" s="19" t="s">
        <v>3004</v>
      </c>
      <c r="D843" s="39" t="s">
        <v>2339</v>
      </c>
      <c r="E843" s="43" t="s">
        <v>3011</v>
      </c>
      <c r="F843" s="43" t="s">
        <v>3012</v>
      </c>
      <c r="G843" s="43" t="s">
        <v>67</v>
      </c>
      <c r="H843" s="42" t="s">
        <v>3013</v>
      </c>
      <c r="I843" s="18">
        <f t="shared" si="8"/>
        <v>45940</v>
      </c>
      <c r="J843" s="19" t="s">
        <v>28</v>
      </c>
      <c r="K843" s="19" t="s">
        <v>325</v>
      </c>
      <c r="L843" s="40"/>
    </row>
    <row r="844" ht="22.5" customHeight="1">
      <c r="C844" s="19" t="s">
        <v>3004</v>
      </c>
      <c r="D844" s="39" t="s">
        <v>2339</v>
      </c>
      <c r="E844" s="43" t="s">
        <v>3014</v>
      </c>
      <c r="F844" s="43" t="s">
        <v>3015</v>
      </c>
      <c r="G844" s="43" t="s">
        <v>108</v>
      </c>
      <c r="H844" s="44">
        <v>7.868657E9</v>
      </c>
      <c r="I844" s="18">
        <f t="shared" si="8"/>
        <v>45940</v>
      </c>
      <c r="J844" s="19" t="s">
        <v>28</v>
      </c>
      <c r="K844" s="19" t="s">
        <v>325</v>
      </c>
      <c r="L844" s="40"/>
    </row>
    <row r="845" ht="22.5" customHeight="1">
      <c r="C845" s="19" t="s">
        <v>3004</v>
      </c>
      <c r="D845" s="39" t="s">
        <v>2339</v>
      </c>
      <c r="E845" s="43" t="s">
        <v>3016</v>
      </c>
      <c r="F845" s="43" t="s">
        <v>3017</v>
      </c>
      <c r="G845" s="43" t="s">
        <v>77</v>
      </c>
      <c r="H845" s="42" t="s">
        <v>3018</v>
      </c>
      <c r="I845" s="18">
        <f t="shared" si="8"/>
        <v>45940</v>
      </c>
      <c r="J845" s="19" t="s">
        <v>28</v>
      </c>
      <c r="K845" s="19" t="s">
        <v>325</v>
      </c>
      <c r="L845" s="40"/>
    </row>
    <row r="846" ht="22.5" customHeight="1">
      <c r="C846" s="19" t="s">
        <v>3004</v>
      </c>
      <c r="D846" s="39" t="s">
        <v>2339</v>
      </c>
      <c r="E846" s="43" t="s">
        <v>3019</v>
      </c>
      <c r="F846" s="43" t="s">
        <v>3020</v>
      </c>
      <c r="G846" s="43" t="s">
        <v>360</v>
      </c>
      <c r="H846" s="44">
        <v>9.544834218E9</v>
      </c>
      <c r="I846" s="18">
        <f t="shared" si="8"/>
        <v>45940</v>
      </c>
      <c r="J846" s="19" t="s">
        <v>28</v>
      </c>
      <c r="K846" s="19" t="s">
        <v>325</v>
      </c>
      <c r="L846" s="40"/>
    </row>
    <row r="847" ht="22.5" customHeight="1">
      <c r="C847" s="19" t="s">
        <v>3004</v>
      </c>
      <c r="D847" s="39" t="s">
        <v>2339</v>
      </c>
      <c r="E847" s="43" t="s">
        <v>3021</v>
      </c>
      <c r="F847" s="43" t="s">
        <v>3022</v>
      </c>
      <c r="G847" s="43" t="s">
        <v>126</v>
      </c>
      <c r="H847" s="44">
        <v>9.543053813E9</v>
      </c>
      <c r="I847" s="18">
        <f t="shared" si="8"/>
        <v>45940</v>
      </c>
      <c r="J847" s="19" t="s">
        <v>28</v>
      </c>
      <c r="K847" s="19" t="s">
        <v>325</v>
      </c>
      <c r="L847" s="40"/>
    </row>
    <row r="848" ht="22.5" customHeight="1">
      <c r="C848" s="19" t="s">
        <v>3004</v>
      </c>
      <c r="D848" s="39" t="s">
        <v>2339</v>
      </c>
      <c r="E848" s="43" t="s">
        <v>3023</v>
      </c>
      <c r="F848" s="43" t="s">
        <v>3024</v>
      </c>
      <c r="G848" s="43" t="s">
        <v>67</v>
      </c>
      <c r="H848" s="44">
        <v>7.274889582E9</v>
      </c>
      <c r="I848" s="18">
        <f t="shared" si="8"/>
        <v>45940</v>
      </c>
      <c r="J848" s="19" t="s">
        <v>28</v>
      </c>
      <c r="K848" s="19" t="s">
        <v>325</v>
      </c>
      <c r="L848" s="40"/>
    </row>
    <row r="849" ht="22.5" customHeight="1">
      <c r="C849" s="19" t="s">
        <v>3004</v>
      </c>
      <c r="D849" s="39" t="s">
        <v>2339</v>
      </c>
      <c r="E849" s="43" t="s">
        <v>3025</v>
      </c>
      <c r="F849" s="43" t="s">
        <v>3026</v>
      </c>
      <c r="G849" s="43" t="s">
        <v>97</v>
      </c>
      <c r="H849" s="44">
        <v>9.5499594E9</v>
      </c>
      <c r="I849" s="18">
        <f t="shared" si="8"/>
        <v>45940</v>
      </c>
      <c r="J849" s="19" t="s">
        <v>28</v>
      </c>
      <c r="K849" s="19" t="s">
        <v>325</v>
      </c>
      <c r="L849" s="40"/>
    </row>
    <row r="850" ht="22.5" customHeight="1">
      <c r="C850" s="19" t="s">
        <v>3004</v>
      </c>
      <c r="D850" s="39" t="s">
        <v>2339</v>
      </c>
      <c r="E850" s="43" t="s">
        <v>3027</v>
      </c>
      <c r="F850" s="43" t="s">
        <v>3028</v>
      </c>
      <c r="G850" s="43" t="s">
        <v>301</v>
      </c>
      <c r="H850" s="44">
        <v>6.159161331E9</v>
      </c>
      <c r="I850" s="18">
        <f t="shared" si="8"/>
        <v>45940</v>
      </c>
      <c r="J850" s="19" t="s">
        <v>28</v>
      </c>
      <c r="K850" s="19" t="s">
        <v>325</v>
      </c>
      <c r="L850" s="40"/>
    </row>
    <row r="851" ht="22.5" customHeight="1">
      <c r="C851" s="19" t="s">
        <v>3004</v>
      </c>
      <c r="D851" s="39" t="s">
        <v>2339</v>
      </c>
      <c r="E851" s="43" t="s">
        <v>3029</v>
      </c>
      <c r="F851" s="43" t="s">
        <v>3030</v>
      </c>
      <c r="G851" s="43" t="s">
        <v>247</v>
      </c>
      <c r="H851" s="44">
        <v>9.542744968E9</v>
      </c>
      <c r="I851" s="18">
        <f t="shared" si="8"/>
        <v>45940</v>
      </c>
      <c r="J851" s="19" t="s">
        <v>28</v>
      </c>
      <c r="K851" s="19" t="s">
        <v>325</v>
      </c>
      <c r="L851" s="4" t="s">
        <v>148</v>
      </c>
    </row>
    <row r="852" ht="22.5" customHeight="1">
      <c r="C852" s="19" t="s">
        <v>3004</v>
      </c>
      <c r="D852" s="39" t="s">
        <v>2339</v>
      </c>
      <c r="E852" s="43" t="s">
        <v>3031</v>
      </c>
      <c r="F852" s="43" t="s">
        <v>3032</v>
      </c>
      <c r="G852" s="43" t="s">
        <v>3033</v>
      </c>
      <c r="H852" s="44">
        <v>3.05710495E9</v>
      </c>
      <c r="I852" s="18">
        <f t="shared" si="8"/>
        <v>45940</v>
      </c>
      <c r="J852" s="19" t="s">
        <v>28</v>
      </c>
      <c r="K852" s="19" t="s">
        <v>325</v>
      </c>
      <c r="L852" s="40"/>
    </row>
    <row r="853" ht="22.5" customHeight="1">
      <c r="C853" s="19" t="s">
        <v>3004</v>
      </c>
      <c r="D853" s="39" t="s">
        <v>2339</v>
      </c>
      <c r="E853" s="43" t="s">
        <v>3034</v>
      </c>
      <c r="F853" s="43" t="s">
        <v>3035</v>
      </c>
      <c r="G853" s="43" t="s">
        <v>72</v>
      </c>
      <c r="H853" s="42" t="s">
        <v>3036</v>
      </c>
      <c r="I853" s="18">
        <f t="shared" si="8"/>
        <v>45940</v>
      </c>
      <c r="J853" s="19" t="s">
        <v>28</v>
      </c>
      <c r="K853" s="19" t="s">
        <v>325</v>
      </c>
      <c r="L853" s="40"/>
    </row>
    <row r="854" ht="22.5" customHeight="1">
      <c r="C854" s="19" t="s">
        <v>3004</v>
      </c>
      <c r="D854" s="39" t="s">
        <v>2339</v>
      </c>
      <c r="E854" s="43" t="s">
        <v>3037</v>
      </c>
      <c r="F854" s="43" t="s">
        <v>3038</v>
      </c>
      <c r="G854" s="43" t="s">
        <v>3039</v>
      </c>
      <c r="H854" s="44">
        <v>9.54826767E9</v>
      </c>
      <c r="I854" s="18">
        <f t="shared" si="8"/>
        <v>45940</v>
      </c>
      <c r="J854" s="19" t="s">
        <v>28</v>
      </c>
      <c r="K854" s="19" t="s">
        <v>325</v>
      </c>
      <c r="L854" s="4" t="s">
        <v>148</v>
      </c>
    </row>
    <row r="855" ht="22.5" customHeight="1">
      <c r="C855" s="19" t="s">
        <v>3004</v>
      </c>
      <c r="D855" s="39" t="s">
        <v>2339</v>
      </c>
      <c r="E855" s="43" t="s">
        <v>3040</v>
      </c>
      <c r="F855" s="43" t="s">
        <v>3041</v>
      </c>
      <c r="G855" s="43" t="s">
        <v>57</v>
      </c>
      <c r="H855" s="44">
        <v>9.547435194E9</v>
      </c>
      <c r="I855" s="18">
        <f t="shared" si="8"/>
        <v>45940</v>
      </c>
      <c r="J855" s="19" t="s">
        <v>28</v>
      </c>
      <c r="K855" s="19" t="s">
        <v>325</v>
      </c>
      <c r="L855" s="40"/>
    </row>
    <row r="856" ht="22.5" customHeight="1">
      <c r="C856" s="19" t="s">
        <v>3042</v>
      </c>
      <c r="D856" s="39" t="s">
        <v>3043</v>
      </c>
      <c r="E856" s="43" t="s">
        <v>3044</v>
      </c>
      <c r="F856" s="43" t="s">
        <v>3045</v>
      </c>
      <c r="G856" s="43" t="s">
        <v>126</v>
      </c>
      <c r="H856" s="44">
        <v>9.545410041E9</v>
      </c>
      <c r="I856" s="18">
        <f t="shared" si="8"/>
        <v>45940</v>
      </c>
      <c r="J856" s="19" t="s">
        <v>28</v>
      </c>
      <c r="K856" s="19" t="s">
        <v>325</v>
      </c>
      <c r="L856" s="40"/>
    </row>
    <row r="857" ht="22.5" customHeight="1">
      <c r="C857" s="19" t="s">
        <v>3042</v>
      </c>
      <c r="D857" s="39" t="s">
        <v>3046</v>
      </c>
      <c r="E857" s="43" t="s">
        <v>3047</v>
      </c>
      <c r="F857" s="43" t="s">
        <v>3048</v>
      </c>
      <c r="G857" s="43" t="s">
        <v>72</v>
      </c>
      <c r="H857" s="42" t="s">
        <v>3049</v>
      </c>
      <c r="I857" s="18">
        <f t="shared" si="8"/>
        <v>45940</v>
      </c>
      <c r="J857" s="19" t="s">
        <v>28</v>
      </c>
      <c r="K857" s="19" t="s">
        <v>325</v>
      </c>
      <c r="L857" s="40"/>
    </row>
    <row r="858" ht="22.5" customHeight="1">
      <c r="C858" s="19" t="s">
        <v>3042</v>
      </c>
      <c r="D858" s="39" t="s">
        <v>3050</v>
      </c>
      <c r="E858" s="43" t="s">
        <v>3051</v>
      </c>
      <c r="F858" s="43" t="s">
        <v>3052</v>
      </c>
      <c r="G858" s="43" t="s">
        <v>1199</v>
      </c>
      <c r="H858" s="42" t="s">
        <v>3053</v>
      </c>
      <c r="I858" s="18">
        <f t="shared" si="8"/>
        <v>45940</v>
      </c>
      <c r="J858" s="19" t="s">
        <v>28</v>
      </c>
      <c r="K858" s="19" t="s">
        <v>325</v>
      </c>
      <c r="L858" s="40"/>
    </row>
    <row r="859" ht="22.5" customHeight="1">
      <c r="C859" s="19" t="s">
        <v>3042</v>
      </c>
      <c r="D859" s="39" t="s">
        <v>3054</v>
      </c>
      <c r="E859" s="43" t="s">
        <v>3055</v>
      </c>
      <c r="F859" s="43" t="s">
        <v>3056</v>
      </c>
      <c r="G859" s="43" t="s">
        <v>408</v>
      </c>
      <c r="H859" s="42" t="s">
        <v>3057</v>
      </c>
      <c r="I859" s="18">
        <f t="shared" si="8"/>
        <v>45940</v>
      </c>
      <c r="J859" s="19" t="s">
        <v>28</v>
      </c>
      <c r="K859" s="19" t="s">
        <v>325</v>
      </c>
      <c r="L859" s="40"/>
    </row>
    <row r="860" ht="22.5" customHeight="1">
      <c r="C860" s="19" t="s">
        <v>3042</v>
      </c>
      <c r="D860" s="39" t="s">
        <v>3058</v>
      </c>
      <c r="E860" s="43" t="s">
        <v>3059</v>
      </c>
      <c r="F860" s="43" t="s">
        <v>3060</v>
      </c>
      <c r="G860" s="43" t="s">
        <v>346</v>
      </c>
      <c r="H860" s="42" t="s">
        <v>3061</v>
      </c>
      <c r="I860" s="18">
        <f t="shared" si="8"/>
        <v>45940</v>
      </c>
      <c r="J860" s="19" t="s">
        <v>28</v>
      </c>
      <c r="K860" s="19" t="s">
        <v>325</v>
      </c>
      <c r="L860" s="40"/>
    </row>
    <row r="861" ht="22.5" customHeight="1">
      <c r="C861" s="19" t="s">
        <v>3042</v>
      </c>
      <c r="D861" s="39" t="s">
        <v>3062</v>
      </c>
      <c r="E861" s="43" t="s">
        <v>3063</v>
      </c>
      <c r="F861" s="43" t="s">
        <v>3064</v>
      </c>
      <c r="G861" s="43" t="s">
        <v>62</v>
      </c>
      <c r="H861" s="44">
        <v>9.545577368E9</v>
      </c>
      <c r="I861" s="18">
        <f t="shared" si="8"/>
        <v>45940</v>
      </c>
      <c r="J861" s="19" t="s">
        <v>28</v>
      </c>
      <c r="K861" s="19" t="s">
        <v>325</v>
      </c>
      <c r="L861" s="40"/>
    </row>
    <row r="862" ht="22.5" customHeight="1">
      <c r="C862" s="19" t="s">
        <v>3042</v>
      </c>
      <c r="D862" s="39" t="s">
        <v>3065</v>
      </c>
      <c r="E862" s="43" t="s">
        <v>3066</v>
      </c>
      <c r="F862" s="43" t="s">
        <v>3067</v>
      </c>
      <c r="G862" s="43" t="s">
        <v>67</v>
      </c>
      <c r="H862" s="42" t="s">
        <v>3068</v>
      </c>
      <c r="I862" s="18">
        <f t="shared" si="8"/>
        <v>45940</v>
      </c>
      <c r="J862" s="19" t="s">
        <v>28</v>
      </c>
      <c r="K862" s="19" t="s">
        <v>325</v>
      </c>
      <c r="L862" s="40"/>
    </row>
    <row r="863" ht="22.5" customHeight="1">
      <c r="C863" s="19" t="s">
        <v>3042</v>
      </c>
      <c r="D863" s="39" t="s">
        <v>3069</v>
      </c>
      <c r="E863" s="43" t="s">
        <v>3070</v>
      </c>
      <c r="F863" s="43" t="s">
        <v>3071</v>
      </c>
      <c r="G863" s="43" t="s">
        <v>77</v>
      </c>
      <c r="H863" s="44">
        <v>9.547138472E9</v>
      </c>
      <c r="I863" s="18">
        <f t="shared" si="8"/>
        <v>45940</v>
      </c>
      <c r="J863" s="19" t="s">
        <v>28</v>
      </c>
      <c r="K863" s="19" t="s">
        <v>325</v>
      </c>
      <c r="L863" s="40"/>
    </row>
    <row r="864" ht="22.5" customHeight="1">
      <c r="C864" s="19" t="s">
        <v>3042</v>
      </c>
      <c r="D864" s="39" t="s">
        <v>3072</v>
      </c>
      <c r="E864" s="43" t="s">
        <v>3073</v>
      </c>
      <c r="F864" s="43" t="s">
        <v>3074</v>
      </c>
      <c r="G864" s="43" t="s">
        <v>781</v>
      </c>
      <c r="H864" s="44">
        <v>5.616028766E9</v>
      </c>
      <c r="I864" s="18">
        <f t="shared" si="8"/>
        <v>45940</v>
      </c>
      <c r="J864" s="19" t="s">
        <v>28</v>
      </c>
      <c r="K864" s="19" t="s">
        <v>325</v>
      </c>
      <c r="L864" s="40"/>
    </row>
    <row r="865" ht="22.5" customHeight="1">
      <c r="C865" s="19" t="s">
        <v>3042</v>
      </c>
      <c r="D865" s="39" t="s">
        <v>3075</v>
      </c>
      <c r="E865" s="43" t="s">
        <v>3076</v>
      </c>
      <c r="F865" s="43" t="s">
        <v>3077</v>
      </c>
      <c r="G865" s="43" t="s">
        <v>136</v>
      </c>
      <c r="H865" s="44">
        <v>5.612895674E9</v>
      </c>
      <c r="I865" s="18">
        <f t="shared" si="8"/>
        <v>45940</v>
      </c>
      <c r="J865" s="19" t="s">
        <v>28</v>
      </c>
      <c r="K865" s="19" t="s">
        <v>325</v>
      </c>
      <c r="L865" s="40"/>
    </row>
    <row r="866" ht="22.5" customHeight="1">
      <c r="C866" s="19" t="s">
        <v>3042</v>
      </c>
      <c r="D866" s="39" t="s">
        <v>3078</v>
      </c>
      <c r="E866" s="43" t="s">
        <v>3079</v>
      </c>
      <c r="F866" s="43" t="s">
        <v>3080</v>
      </c>
      <c r="G866" s="43" t="s">
        <v>360</v>
      </c>
      <c r="H866" s="44">
        <v>9.548057159E9</v>
      </c>
      <c r="I866" s="18">
        <f t="shared" si="8"/>
        <v>45940</v>
      </c>
      <c r="J866" s="19" t="s">
        <v>28</v>
      </c>
      <c r="K866" s="19" t="s">
        <v>325</v>
      </c>
      <c r="L866" s="40"/>
    </row>
    <row r="867" ht="22.5" customHeight="1">
      <c r="C867" s="19" t="s">
        <v>3042</v>
      </c>
      <c r="D867" s="39" t="s">
        <v>3081</v>
      </c>
      <c r="E867" s="43" t="s">
        <v>3082</v>
      </c>
      <c r="F867" s="43" t="s">
        <v>3083</v>
      </c>
      <c r="G867" s="43" t="s">
        <v>47</v>
      </c>
      <c r="H867" s="42" t="s">
        <v>3084</v>
      </c>
      <c r="I867" s="18">
        <f t="shared" si="8"/>
        <v>45940</v>
      </c>
      <c r="J867" s="19" t="s">
        <v>28</v>
      </c>
      <c r="K867" s="19" t="s">
        <v>325</v>
      </c>
      <c r="L867" s="40"/>
    </row>
    <row r="868" ht="22.5" customHeight="1">
      <c r="C868" s="19" t="s">
        <v>3042</v>
      </c>
      <c r="D868" s="39" t="s">
        <v>3085</v>
      </c>
      <c r="E868" s="43" t="s">
        <v>3086</v>
      </c>
      <c r="F868" s="43" t="s">
        <v>3087</v>
      </c>
      <c r="G868" s="43" t="s">
        <v>915</v>
      </c>
      <c r="H868" s="44">
        <v>9.547731751E9</v>
      </c>
      <c r="I868" s="18">
        <f t="shared" si="8"/>
        <v>45940</v>
      </c>
      <c r="J868" s="19" t="s">
        <v>28</v>
      </c>
      <c r="K868" s="19" t="s">
        <v>325</v>
      </c>
      <c r="L868" s="40"/>
    </row>
    <row r="869" ht="22.5" customHeight="1">
      <c r="C869" s="19" t="s">
        <v>3042</v>
      </c>
      <c r="D869" s="39" t="s">
        <v>3088</v>
      </c>
      <c r="E869" s="43" t="s">
        <v>3089</v>
      </c>
      <c r="F869" s="43" t="s">
        <v>3090</v>
      </c>
      <c r="G869" s="43" t="s">
        <v>622</v>
      </c>
      <c r="H869" s="44">
        <v>9.547415271E9</v>
      </c>
      <c r="I869" s="18">
        <f t="shared" si="8"/>
        <v>45940</v>
      </c>
      <c r="J869" s="19" t="s">
        <v>28</v>
      </c>
      <c r="K869" s="19" t="s">
        <v>325</v>
      </c>
      <c r="L869" s="40"/>
    </row>
    <row r="870" ht="22.5" customHeight="1">
      <c r="C870" s="19" t="s">
        <v>3042</v>
      </c>
      <c r="D870" s="39" t="s">
        <v>3091</v>
      </c>
      <c r="E870" s="43" t="s">
        <v>3092</v>
      </c>
      <c r="F870" s="43" t="s">
        <v>3093</v>
      </c>
      <c r="G870" s="43" t="s">
        <v>524</v>
      </c>
      <c r="H870" s="42" t="s">
        <v>3094</v>
      </c>
      <c r="I870" s="18">
        <f t="shared" si="8"/>
        <v>45940</v>
      </c>
      <c r="J870" s="19" t="s">
        <v>28</v>
      </c>
      <c r="K870" s="19" t="s">
        <v>325</v>
      </c>
      <c r="L870" s="40"/>
    </row>
    <row r="871" ht="22.5" customHeight="1">
      <c r="C871" s="19" t="s">
        <v>3042</v>
      </c>
      <c r="D871" s="39" t="s">
        <v>3095</v>
      </c>
      <c r="E871" s="43" t="s">
        <v>3096</v>
      </c>
      <c r="F871" s="43" t="s">
        <v>3097</v>
      </c>
      <c r="G871" s="43" t="s">
        <v>2000</v>
      </c>
      <c r="H871" s="42" t="s">
        <v>3098</v>
      </c>
      <c r="I871" s="18">
        <f t="shared" si="8"/>
        <v>45940</v>
      </c>
      <c r="J871" s="19" t="s">
        <v>28</v>
      </c>
      <c r="K871" s="19" t="s">
        <v>325</v>
      </c>
      <c r="L871" s="40"/>
    </row>
    <row r="872" ht="22.5" customHeight="1">
      <c r="C872" s="19" t="s">
        <v>3042</v>
      </c>
      <c r="D872" s="39" t="s">
        <v>3099</v>
      </c>
      <c r="E872" s="43" t="s">
        <v>3100</v>
      </c>
      <c r="F872" s="43" t="s">
        <v>3101</v>
      </c>
      <c r="G872" s="43" t="s">
        <v>108</v>
      </c>
      <c r="H872" s="42" t="s">
        <v>3102</v>
      </c>
      <c r="I872" s="18">
        <f t="shared" si="8"/>
        <v>45940</v>
      </c>
      <c r="J872" s="19" t="s">
        <v>28</v>
      </c>
      <c r="K872" s="19" t="s">
        <v>325</v>
      </c>
      <c r="L872" s="4" t="s">
        <v>148</v>
      </c>
    </row>
    <row r="873" ht="22.5" customHeight="1">
      <c r="C873" s="19" t="s">
        <v>3042</v>
      </c>
      <c r="D873" s="39" t="s">
        <v>3103</v>
      </c>
      <c r="E873" s="43" t="s">
        <v>3104</v>
      </c>
      <c r="F873" s="43" t="s">
        <v>3105</v>
      </c>
      <c r="G873" s="43" t="s">
        <v>97</v>
      </c>
      <c r="H873" s="44">
        <v>9.547415271E9</v>
      </c>
      <c r="I873" s="18">
        <f t="shared" si="8"/>
        <v>45940</v>
      </c>
      <c r="J873" s="19" t="s">
        <v>28</v>
      </c>
      <c r="K873" s="19" t="s">
        <v>325</v>
      </c>
      <c r="L873" s="40"/>
    </row>
    <row r="874" ht="22.5" customHeight="1">
      <c r="C874" s="19" t="s">
        <v>3042</v>
      </c>
      <c r="D874" s="39" t="s">
        <v>3106</v>
      </c>
      <c r="E874" s="43" t="s">
        <v>3107</v>
      </c>
      <c r="F874" s="43" t="s">
        <v>3108</v>
      </c>
      <c r="G874" s="43" t="s">
        <v>582</v>
      </c>
      <c r="H874" s="42" t="s">
        <v>3109</v>
      </c>
      <c r="I874" s="18">
        <f t="shared" si="8"/>
        <v>45940</v>
      </c>
      <c r="J874" s="19" t="s">
        <v>28</v>
      </c>
      <c r="K874" s="19" t="s">
        <v>325</v>
      </c>
      <c r="L874" s="40"/>
    </row>
    <row r="875" ht="22.5" customHeight="1">
      <c r="C875" s="19" t="s">
        <v>3110</v>
      </c>
      <c r="D875" s="39" t="s">
        <v>3111</v>
      </c>
      <c r="E875" s="43" t="s">
        <v>3112</v>
      </c>
      <c r="F875" s="43" t="s">
        <v>3113</v>
      </c>
      <c r="G875" s="43" t="s">
        <v>377</v>
      </c>
      <c r="H875" s="44">
        <v>5.612954053E9</v>
      </c>
      <c r="I875" s="18">
        <f t="shared" si="8"/>
        <v>45940</v>
      </c>
      <c r="J875" s="19" t="s">
        <v>28</v>
      </c>
      <c r="K875" s="19" t="s">
        <v>325</v>
      </c>
      <c r="L875" s="40"/>
    </row>
    <row r="876" ht="22.5" customHeight="1">
      <c r="C876" s="19" t="s">
        <v>3110</v>
      </c>
      <c r="D876" s="39" t="s">
        <v>3114</v>
      </c>
      <c r="E876" s="43" t="s">
        <v>3115</v>
      </c>
      <c r="F876" s="43" t="s">
        <v>3116</v>
      </c>
      <c r="G876" s="43" t="s">
        <v>915</v>
      </c>
      <c r="H876" s="42" t="s">
        <v>3117</v>
      </c>
      <c r="I876" s="18">
        <f t="shared" si="8"/>
        <v>45940</v>
      </c>
      <c r="J876" s="19" t="s">
        <v>28</v>
      </c>
      <c r="K876" s="19" t="s">
        <v>325</v>
      </c>
      <c r="L876" s="40"/>
    </row>
    <row r="877" ht="22.5" customHeight="1">
      <c r="C877" s="19" t="s">
        <v>3110</v>
      </c>
      <c r="D877" s="39" t="s">
        <v>3118</v>
      </c>
      <c r="E877" s="43" t="s">
        <v>3119</v>
      </c>
      <c r="F877" s="43" t="s">
        <v>3120</v>
      </c>
      <c r="G877" s="43" t="s">
        <v>136</v>
      </c>
      <c r="H877" s="42" t="s">
        <v>3121</v>
      </c>
      <c r="I877" s="18">
        <f t="shared" si="8"/>
        <v>45940</v>
      </c>
      <c r="J877" s="19" t="s">
        <v>28</v>
      </c>
      <c r="K877" s="19" t="s">
        <v>325</v>
      </c>
      <c r="L877" s="40"/>
    </row>
    <row r="878" ht="22.5" customHeight="1">
      <c r="C878" s="19" t="s">
        <v>3110</v>
      </c>
      <c r="D878" s="39" t="s">
        <v>3122</v>
      </c>
      <c r="E878" s="43" t="s">
        <v>3123</v>
      </c>
      <c r="F878" s="43" t="s">
        <v>3124</v>
      </c>
      <c r="G878" s="43" t="s">
        <v>67</v>
      </c>
      <c r="H878" s="42" t="s">
        <v>3125</v>
      </c>
      <c r="I878" s="18">
        <f t="shared" si="8"/>
        <v>45940</v>
      </c>
      <c r="J878" s="19" t="s">
        <v>28</v>
      </c>
      <c r="K878" s="19" t="s">
        <v>325</v>
      </c>
      <c r="L878" s="40"/>
    </row>
    <row r="879" ht="22.5" customHeight="1">
      <c r="C879" s="19" t="s">
        <v>3110</v>
      </c>
      <c r="D879" s="39" t="s">
        <v>3126</v>
      </c>
      <c r="E879" s="43" t="s">
        <v>3127</v>
      </c>
      <c r="F879" s="43" t="s">
        <v>3128</v>
      </c>
      <c r="G879" s="43" t="s">
        <v>3129</v>
      </c>
      <c r="H879" s="44">
        <v>8.15540811E9</v>
      </c>
      <c r="I879" s="18">
        <f t="shared" si="8"/>
        <v>45940</v>
      </c>
      <c r="J879" s="19" t="s">
        <v>28</v>
      </c>
      <c r="K879" s="19" t="s">
        <v>325</v>
      </c>
      <c r="L879" s="40"/>
    </row>
    <row r="880" ht="22.5" customHeight="1">
      <c r="C880" s="19" t="s">
        <v>3110</v>
      </c>
      <c r="D880" s="39" t="s">
        <v>3130</v>
      </c>
      <c r="E880" s="43" t="s">
        <v>3131</v>
      </c>
      <c r="F880" s="43" t="s">
        <v>3132</v>
      </c>
      <c r="G880" s="43" t="s">
        <v>82</v>
      </c>
      <c r="H880" s="44">
        <v>9.5433858E9</v>
      </c>
      <c r="I880" s="18">
        <f t="shared" si="8"/>
        <v>45940</v>
      </c>
      <c r="J880" s="19" t="s">
        <v>28</v>
      </c>
      <c r="K880" s="19" t="s">
        <v>325</v>
      </c>
      <c r="L880" s="40"/>
    </row>
    <row r="881" ht="22.5" customHeight="1">
      <c r="C881" s="19" t="s">
        <v>3110</v>
      </c>
      <c r="D881" s="39" t="s">
        <v>3133</v>
      </c>
      <c r="E881" s="43" t="s">
        <v>3134</v>
      </c>
      <c r="F881" s="43" t="s">
        <v>3135</v>
      </c>
      <c r="G881" s="43" t="s">
        <v>97</v>
      </c>
      <c r="H881" s="42" t="s">
        <v>3136</v>
      </c>
      <c r="I881" s="18">
        <f t="shared" si="8"/>
        <v>45940</v>
      </c>
      <c r="J881" s="19" t="s">
        <v>28</v>
      </c>
      <c r="K881" s="19" t="s">
        <v>325</v>
      </c>
      <c r="L881" s="4" t="s">
        <v>99</v>
      </c>
    </row>
    <row r="882" ht="22.5" customHeight="1">
      <c r="C882" s="19" t="s">
        <v>3110</v>
      </c>
      <c r="D882" s="39" t="s">
        <v>3137</v>
      </c>
      <c r="E882" s="43" t="s">
        <v>3138</v>
      </c>
      <c r="F882" s="43" t="s">
        <v>3139</v>
      </c>
      <c r="G882" s="43" t="s">
        <v>408</v>
      </c>
      <c r="H882" s="42" t="s">
        <v>3140</v>
      </c>
      <c r="I882" s="18">
        <f t="shared" si="8"/>
        <v>45940</v>
      </c>
      <c r="J882" s="19" t="s">
        <v>28</v>
      </c>
      <c r="K882" s="19" t="s">
        <v>325</v>
      </c>
      <c r="L882" s="40"/>
    </row>
    <row r="883" ht="22.5" customHeight="1">
      <c r="C883" s="19" t="s">
        <v>3110</v>
      </c>
      <c r="D883" s="39" t="s">
        <v>3141</v>
      </c>
      <c r="E883" s="43" t="s">
        <v>3142</v>
      </c>
      <c r="F883" s="43" t="s">
        <v>3143</v>
      </c>
      <c r="G883" s="43" t="s">
        <v>77</v>
      </c>
      <c r="H883" s="44">
        <v>9.549525606E9</v>
      </c>
      <c r="I883" s="18">
        <f t="shared" si="8"/>
        <v>45940</v>
      </c>
      <c r="J883" s="19" t="s">
        <v>28</v>
      </c>
      <c r="K883" s="19" t="s">
        <v>325</v>
      </c>
      <c r="L883" s="40"/>
    </row>
    <row r="884" ht="22.5" customHeight="1">
      <c r="C884" s="19" t="s">
        <v>3110</v>
      </c>
      <c r="D884" s="39" t="s">
        <v>3144</v>
      </c>
      <c r="E884" s="43" t="s">
        <v>3145</v>
      </c>
      <c r="F884" s="43" t="s">
        <v>3146</v>
      </c>
      <c r="G884" s="43" t="s">
        <v>1199</v>
      </c>
      <c r="H884" s="42" t="s">
        <v>3147</v>
      </c>
      <c r="I884" s="18">
        <f t="shared" si="8"/>
        <v>45940</v>
      </c>
      <c r="J884" s="19" t="s">
        <v>28</v>
      </c>
      <c r="K884" s="19" t="s">
        <v>325</v>
      </c>
      <c r="L884" s="40"/>
    </row>
    <row r="885" ht="22.5" customHeight="1">
      <c r="C885" s="19" t="s">
        <v>3110</v>
      </c>
      <c r="D885" s="39" t="s">
        <v>3148</v>
      </c>
      <c r="E885" s="43" t="s">
        <v>3149</v>
      </c>
      <c r="F885" s="43" t="s">
        <v>3150</v>
      </c>
      <c r="G885" s="43" t="s">
        <v>72</v>
      </c>
      <c r="H885" s="42" t="s">
        <v>3151</v>
      </c>
      <c r="I885" s="18">
        <f t="shared" si="8"/>
        <v>45940</v>
      </c>
      <c r="J885" s="19" t="s">
        <v>28</v>
      </c>
      <c r="K885" s="19" t="s">
        <v>325</v>
      </c>
      <c r="L885" s="40"/>
    </row>
    <row r="886" ht="22.5" customHeight="1">
      <c r="C886" s="19" t="s">
        <v>3110</v>
      </c>
      <c r="D886" s="39" t="s">
        <v>3152</v>
      </c>
      <c r="E886" s="43" t="s">
        <v>3153</v>
      </c>
      <c r="F886" s="43" t="s">
        <v>3154</v>
      </c>
      <c r="G886" s="43" t="s">
        <v>636</v>
      </c>
      <c r="H886" s="42" t="s">
        <v>3155</v>
      </c>
      <c r="I886" s="18">
        <f t="shared" si="8"/>
        <v>45940</v>
      </c>
      <c r="J886" s="19" t="s">
        <v>28</v>
      </c>
      <c r="K886" s="19" t="s">
        <v>325</v>
      </c>
      <c r="L886" s="40"/>
    </row>
    <row r="887" ht="22.5" customHeight="1">
      <c r="C887" s="19" t="s">
        <v>3110</v>
      </c>
      <c r="D887" s="39" t="s">
        <v>3156</v>
      </c>
      <c r="E887" s="43" t="s">
        <v>3157</v>
      </c>
      <c r="F887" s="43" t="s">
        <v>3158</v>
      </c>
      <c r="G887" s="43" t="s">
        <v>2596</v>
      </c>
      <c r="H887" s="42" t="s">
        <v>3159</v>
      </c>
      <c r="I887" s="18">
        <f t="shared" si="8"/>
        <v>45940</v>
      </c>
      <c r="J887" s="19" t="s">
        <v>28</v>
      </c>
      <c r="K887" s="19" t="s">
        <v>325</v>
      </c>
      <c r="L887" s="40"/>
    </row>
    <row r="888" ht="22.5" customHeight="1">
      <c r="C888" s="19" t="s">
        <v>3110</v>
      </c>
      <c r="D888" s="39" t="s">
        <v>3160</v>
      </c>
      <c r="E888" s="43" t="s">
        <v>3161</v>
      </c>
      <c r="F888" s="43" t="s">
        <v>1871</v>
      </c>
      <c r="G888" s="43" t="s">
        <v>346</v>
      </c>
      <c r="H888" s="44">
        <v>5.614452645E9</v>
      </c>
      <c r="I888" s="18">
        <f t="shared" si="8"/>
        <v>45940</v>
      </c>
      <c r="J888" s="19" t="s">
        <v>28</v>
      </c>
      <c r="K888" s="19" t="s">
        <v>325</v>
      </c>
      <c r="L888" s="40"/>
    </row>
    <row r="889" ht="22.5" customHeight="1">
      <c r="C889" s="19" t="s">
        <v>3110</v>
      </c>
      <c r="D889" s="39" t="s">
        <v>3162</v>
      </c>
      <c r="E889" s="43" t="s">
        <v>3163</v>
      </c>
      <c r="F889" s="43" t="s">
        <v>3164</v>
      </c>
      <c r="G889" s="43" t="s">
        <v>113</v>
      </c>
      <c r="H889" s="42" t="s">
        <v>3165</v>
      </c>
      <c r="I889" s="18">
        <f t="shared" si="8"/>
        <v>45940</v>
      </c>
      <c r="J889" s="19" t="s">
        <v>28</v>
      </c>
      <c r="K889" s="19" t="s">
        <v>325</v>
      </c>
      <c r="L889" s="40"/>
    </row>
    <row r="890" ht="22.5" customHeight="1">
      <c r="C890" s="19" t="s">
        <v>3110</v>
      </c>
      <c r="D890" s="39" t="s">
        <v>3166</v>
      </c>
      <c r="E890" s="43" t="s">
        <v>3167</v>
      </c>
      <c r="F890" s="43" t="s">
        <v>3168</v>
      </c>
      <c r="G890" s="43" t="s">
        <v>52</v>
      </c>
      <c r="H890" s="42" t="s">
        <v>3169</v>
      </c>
      <c r="I890" s="18">
        <f t="shared" si="8"/>
        <v>45940</v>
      </c>
      <c r="J890" s="19" t="s">
        <v>28</v>
      </c>
      <c r="K890" s="19" t="s">
        <v>325</v>
      </c>
      <c r="L890" s="4" t="s">
        <v>99</v>
      </c>
    </row>
    <row r="891" ht="22.5" customHeight="1">
      <c r="C891" s="19" t="s">
        <v>3110</v>
      </c>
      <c r="D891" s="39" t="s">
        <v>3170</v>
      </c>
      <c r="E891" s="43" t="s">
        <v>3171</v>
      </c>
      <c r="F891" s="43" t="s">
        <v>3172</v>
      </c>
      <c r="G891" s="43" t="s">
        <v>131</v>
      </c>
      <c r="H891" s="42" t="s">
        <v>3173</v>
      </c>
      <c r="I891" s="18">
        <f t="shared" si="8"/>
        <v>45940</v>
      </c>
      <c r="J891" s="19" t="s">
        <v>28</v>
      </c>
      <c r="K891" s="19" t="s">
        <v>325</v>
      </c>
      <c r="L891" s="40"/>
    </row>
    <row r="892" ht="22.5" customHeight="1">
      <c r="C892" s="19" t="s">
        <v>3110</v>
      </c>
      <c r="D892" s="39" t="s">
        <v>3174</v>
      </c>
      <c r="E892" s="43" t="s">
        <v>3175</v>
      </c>
      <c r="F892" s="43" t="s">
        <v>3176</v>
      </c>
      <c r="G892" s="43" t="s">
        <v>946</v>
      </c>
      <c r="H892" s="42" t="s">
        <v>3177</v>
      </c>
      <c r="I892" s="18">
        <f t="shared" si="8"/>
        <v>45940</v>
      </c>
      <c r="J892" s="19" t="s">
        <v>28</v>
      </c>
      <c r="K892" s="19" t="s">
        <v>325</v>
      </c>
      <c r="L892" s="40"/>
    </row>
    <row r="893" ht="22.5" customHeight="1">
      <c r="C893" s="19" t="s">
        <v>3110</v>
      </c>
      <c r="D893" s="39" t="s">
        <v>3178</v>
      </c>
      <c r="E893" s="43" t="s">
        <v>3179</v>
      </c>
      <c r="F893" s="43" t="s">
        <v>3180</v>
      </c>
      <c r="G893" s="43" t="s">
        <v>2331</v>
      </c>
      <c r="H893" s="42" t="s">
        <v>3181</v>
      </c>
      <c r="I893" s="18">
        <f t="shared" si="8"/>
        <v>45940</v>
      </c>
      <c r="J893" s="19" t="s">
        <v>28</v>
      </c>
      <c r="K893" s="19" t="s">
        <v>325</v>
      </c>
      <c r="L893" s="40"/>
    </row>
    <row r="894" ht="22.5" customHeight="1">
      <c r="C894" s="19" t="s">
        <v>3110</v>
      </c>
      <c r="D894" s="39" t="s">
        <v>3182</v>
      </c>
      <c r="E894" s="43" t="s">
        <v>3183</v>
      </c>
      <c r="F894" s="43" t="s">
        <v>3184</v>
      </c>
      <c r="G894" s="43" t="s">
        <v>1010</v>
      </c>
      <c r="H894" s="42" t="s">
        <v>3185</v>
      </c>
      <c r="I894" s="18">
        <f t="shared" si="8"/>
        <v>45940</v>
      </c>
      <c r="J894" s="19" t="s">
        <v>28</v>
      </c>
      <c r="K894" s="19" t="s">
        <v>325</v>
      </c>
      <c r="L894" s="40"/>
    </row>
    <row r="895" ht="22.5" customHeight="1">
      <c r="C895" s="19" t="s">
        <v>3110</v>
      </c>
      <c r="D895" s="39" t="s">
        <v>3186</v>
      </c>
      <c r="E895" s="43" t="s">
        <v>3187</v>
      </c>
      <c r="F895" s="43" t="s">
        <v>2487</v>
      </c>
      <c r="G895" s="43" t="s">
        <v>62</v>
      </c>
      <c r="H895" s="42" t="s">
        <v>3188</v>
      </c>
      <c r="I895" s="18">
        <f t="shared" si="8"/>
        <v>45940</v>
      </c>
      <c r="J895" s="19" t="s">
        <v>28</v>
      </c>
      <c r="K895" s="19" t="s">
        <v>325</v>
      </c>
      <c r="L895" s="40"/>
    </row>
    <row r="896" ht="22.5" customHeight="1">
      <c r="C896" s="19" t="s">
        <v>3110</v>
      </c>
      <c r="D896" s="39" t="s">
        <v>3189</v>
      </c>
      <c r="E896" s="43" t="s">
        <v>3190</v>
      </c>
      <c r="F896" s="43" t="s">
        <v>3191</v>
      </c>
      <c r="G896" s="43" t="s">
        <v>360</v>
      </c>
      <c r="H896" s="42" t="s">
        <v>3192</v>
      </c>
      <c r="I896" s="18">
        <f t="shared" si="8"/>
        <v>45940</v>
      </c>
      <c r="J896" s="19" t="s">
        <v>28</v>
      </c>
      <c r="K896" s="19" t="s">
        <v>325</v>
      </c>
      <c r="L896" s="40"/>
    </row>
    <row r="897" ht="22.5" customHeight="1">
      <c r="C897" s="19" t="s">
        <v>3193</v>
      </c>
      <c r="D897" s="39" t="s">
        <v>3194</v>
      </c>
      <c r="E897" s="43" t="s">
        <v>3195</v>
      </c>
      <c r="F897" s="43" t="s">
        <v>3196</v>
      </c>
      <c r="G897" s="43" t="s">
        <v>2257</v>
      </c>
      <c r="H897" s="44">
        <v>5.618079035E9</v>
      </c>
      <c r="I897" s="18">
        <f t="shared" si="8"/>
        <v>45940</v>
      </c>
      <c r="J897" s="19" t="s">
        <v>28</v>
      </c>
      <c r="K897" s="19" t="s">
        <v>325</v>
      </c>
      <c r="L897" s="40"/>
    </row>
    <row r="898" ht="22.5" customHeight="1">
      <c r="C898" s="19" t="s">
        <v>3193</v>
      </c>
      <c r="D898" s="39" t="s">
        <v>3197</v>
      </c>
      <c r="E898" s="43" t="s">
        <v>3198</v>
      </c>
      <c r="F898" s="43" t="s">
        <v>872</v>
      </c>
      <c r="G898" s="43" t="s">
        <v>346</v>
      </c>
      <c r="H898" s="42" t="s">
        <v>3199</v>
      </c>
      <c r="I898" s="18">
        <f t="shared" si="8"/>
        <v>45940</v>
      </c>
      <c r="J898" s="19" t="s">
        <v>28</v>
      </c>
      <c r="K898" s="19" t="s">
        <v>325</v>
      </c>
      <c r="L898" s="40"/>
    </row>
    <row r="899" ht="22.5" customHeight="1">
      <c r="C899" s="19" t="s">
        <v>3193</v>
      </c>
      <c r="D899" s="39" t="s">
        <v>3200</v>
      </c>
      <c r="E899" s="43" t="s">
        <v>3201</v>
      </c>
      <c r="F899" s="43" t="s">
        <v>3202</v>
      </c>
      <c r="G899" s="43" t="s">
        <v>32</v>
      </c>
      <c r="H899" s="42" t="s">
        <v>3203</v>
      </c>
      <c r="I899" s="18">
        <f t="shared" si="8"/>
        <v>45940</v>
      </c>
      <c r="J899" s="19" t="s">
        <v>28</v>
      </c>
      <c r="K899" s="19" t="s">
        <v>325</v>
      </c>
      <c r="L899" s="40"/>
    </row>
    <row r="900" ht="22.5" customHeight="1">
      <c r="C900" s="19" t="s">
        <v>3193</v>
      </c>
      <c r="D900" s="39" t="s">
        <v>3204</v>
      </c>
      <c r="E900" s="43" t="s">
        <v>3205</v>
      </c>
      <c r="F900" s="43" t="s">
        <v>3206</v>
      </c>
      <c r="G900" s="43" t="s">
        <v>1781</v>
      </c>
      <c r="H900" s="44">
        <v>9.546324855E9</v>
      </c>
      <c r="I900" s="18">
        <f t="shared" si="8"/>
        <v>45940</v>
      </c>
      <c r="J900" s="19" t="s">
        <v>28</v>
      </c>
      <c r="K900" s="19" t="s">
        <v>325</v>
      </c>
      <c r="L900" s="40"/>
    </row>
    <row r="901" ht="22.5" customHeight="1">
      <c r="C901" s="19" t="s">
        <v>3193</v>
      </c>
      <c r="D901" s="39" t="s">
        <v>3207</v>
      </c>
      <c r="E901" s="43" t="s">
        <v>3208</v>
      </c>
      <c r="F901" s="43" t="s">
        <v>3209</v>
      </c>
      <c r="G901" s="43" t="s">
        <v>57</v>
      </c>
      <c r="H901" s="44">
        <v>9.547399339E9</v>
      </c>
      <c r="I901" s="18">
        <f t="shared" si="8"/>
        <v>45940</v>
      </c>
      <c r="J901" s="19" t="s">
        <v>28</v>
      </c>
      <c r="K901" s="19" t="s">
        <v>325</v>
      </c>
      <c r="L901" s="40"/>
    </row>
    <row r="902" ht="22.5" customHeight="1">
      <c r="C902" s="19" t="s">
        <v>3193</v>
      </c>
      <c r="D902" s="39" t="s">
        <v>3210</v>
      </c>
      <c r="E902" s="43" t="s">
        <v>3211</v>
      </c>
      <c r="F902" s="43" t="s">
        <v>2951</v>
      </c>
      <c r="G902" s="43" t="s">
        <v>77</v>
      </c>
      <c r="H902" s="44">
        <v>9.546816486E9</v>
      </c>
      <c r="I902" s="18">
        <f t="shared" si="8"/>
        <v>45940</v>
      </c>
      <c r="J902" s="19" t="s">
        <v>28</v>
      </c>
      <c r="K902" s="19" t="s">
        <v>325</v>
      </c>
      <c r="L902" s="40"/>
    </row>
    <row r="903" ht="22.5" customHeight="1">
      <c r="C903" s="19" t="s">
        <v>3193</v>
      </c>
      <c r="D903" s="39" t="s">
        <v>3212</v>
      </c>
      <c r="E903" s="43" t="s">
        <v>3213</v>
      </c>
      <c r="F903" s="43" t="s">
        <v>3214</v>
      </c>
      <c r="G903" s="43" t="s">
        <v>52</v>
      </c>
      <c r="H903" s="42" t="s">
        <v>3215</v>
      </c>
      <c r="I903" s="18">
        <f t="shared" si="8"/>
        <v>45940</v>
      </c>
      <c r="J903" s="19" t="s">
        <v>28</v>
      </c>
      <c r="K903" s="19" t="s">
        <v>325</v>
      </c>
      <c r="L903" s="40"/>
    </row>
    <row r="904" ht="22.5" customHeight="1">
      <c r="C904" s="19" t="s">
        <v>3193</v>
      </c>
      <c r="D904" s="39" t="s">
        <v>3216</v>
      </c>
      <c r="E904" s="43" t="s">
        <v>3217</v>
      </c>
      <c r="F904" s="43" t="s">
        <v>3218</v>
      </c>
      <c r="G904" s="43" t="s">
        <v>170</v>
      </c>
      <c r="H904" s="44">
        <v>9.542433204E9</v>
      </c>
      <c r="I904" s="18">
        <f t="shared" si="8"/>
        <v>45940</v>
      </c>
      <c r="J904" s="19" t="s">
        <v>28</v>
      </c>
      <c r="K904" s="19" t="s">
        <v>325</v>
      </c>
      <c r="L904" s="40"/>
    </row>
    <row r="905" ht="22.5" customHeight="1">
      <c r="C905" s="19" t="s">
        <v>3193</v>
      </c>
      <c r="D905" s="39" t="s">
        <v>3219</v>
      </c>
      <c r="E905" s="43" t="s">
        <v>3220</v>
      </c>
      <c r="F905" s="43" t="s">
        <v>3221</v>
      </c>
      <c r="G905" s="43" t="s">
        <v>412</v>
      </c>
      <c r="H905" s="44">
        <v>9.542545403E9</v>
      </c>
      <c r="I905" s="18">
        <f t="shared" si="8"/>
        <v>45940</v>
      </c>
      <c r="J905" s="19" t="s">
        <v>28</v>
      </c>
      <c r="K905" s="19" t="s">
        <v>325</v>
      </c>
      <c r="L905" s="40"/>
    </row>
    <row r="906" ht="22.5" customHeight="1">
      <c r="C906" s="19" t="s">
        <v>3193</v>
      </c>
      <c r="D906" s="39" t="s">
        <v>3222</v>
      </c>
      <c r="E906" s="43" t="s">
        <v>3223</v>
      </c>
      <c r="F906" s="43" t="s">
        <v>3224</v>
      </c>
      <c r="G906" s="43" t="s">
        <v>627</v>
      </c>
      <c r="H906" s="44">
        <v>9.546965108E9</v>
      </c>
      <c r="I906" s="18">
        <f t="shared" si="8"/>
        <v>45940</v>
      </c>
      <c r="J906" s="19" t="s">
        <v>28</v>
      </c>
      <c r="K906" s="19" t="s">
        <v>325</v>
      </c>
      <c r="L906" s="40"/>
    </row>
    <row r="907" ht="22.5" customHeight="1">
      <c r="C907" s="19" t="s">
        <v>3193</v>
      </c>
      <c r="D907" s="39" t="s">
        <v>3225</v>
      </c>
      <c r="E907" s="43" t="s">
        <v>3226</v>
      </c>
      <c r="F907" s="43" t="s">
        <v>3227</v>
      </c>
      <c r="G907" s="43" t="s">
        <v>387</v>
      </c>
      <c r="H907" s="44">
        <v>9.547275701E9</v>
      </c>
      <c r="I907" s="18">
        <f t="shared" si="8"/>
        <v>45940</v>
      </c>
      <c r="J907" s="19" t="s">
        <v>28</v>
      </c>
      <c r="K907" s="19" t="s">
        <v>325</v>
      </c>
      <c r="L907" s="40"/>
    </row>
    <row r="908" ht="22.5" customHeight="1">
      <c r="C908" s="19" t="s">
        <v>3193</v>
      </c>
      <c r="D908" s="39" t="s">
        <v>3228</v>
      </c>
      <c r="E908" s="43" t="s">
        <v>3229</v>
      </c>
      <c r="F908" s="43" t="s">
        <v>3230</v>
      </c>
      <c r="G908" s="43" t="s">
        <v>57</v>
      </c>
      <c r="H908" s="42" t="s">
        <v>3231</v>
      </c>
      <c r="I908" s="18">
        <f t="shared" si="8"/>
        <v>45940</v>
      </c>
      <c r="J908" s="19" t="s">
        <v>28</v>
      </c>
      <c r="K908" s="19" t="s">
        <v>325</v>
      </c>
      <c r="L908" s="40"/>
    </row>
    <row r="909" ht="22.5" customHeight="1">
      <c r="C909" s="19" t="s">
        <v>3193</v>
      </c>
      <c r="D909" s="39" t="s">
        <v>3232</v>
      </c>
      <c r="E909" s="43" t="s">
        <v>3233</v>
      </c>
      <c r="F909" s="43" t="s">
        <v>3234</v>
      </c>
      <c r="G909" s="43" t="s">
        <v>360</v>
      </c>
      <c r="H909" s="44">
        <v>9.546877825E9</v>
      </c>
      <c r="I909" s="18">
        <f t="shared" si="8"/>
        <v>45940</v>
      </c>
      <c r="J909" s="19" t="s">
        <v>28</v>
      </c>
      <c r="K909" s="19" t="s">
        <v>325</v>
      </c>
      <c r="L909" s="40"/>
    </row>
    <row r="910" ht="22.5" customHeight="1">
      <c r="C910" s="19" t="s">
        <v>3193</v>
      </c>
      <c r="D910" s="39" t="s">
        <v>3235</v>
      </c>
      <c r="E910" s="43" t="s">
        <v>3236</v>
      </c>
      <c r="F910" s="43" t="s">
        <v>3237</v>
      </c>
      <c r="G910" s="43" t="s">
        <v>230</v>
      </c>
      <c r="H910" s="44">
        <v>9.5490847E9</v>
      </c>
      <c r="I910" s="18">
        <f t="shared" si="8"/>
        <v>45940</v>
      </c>
      <c r="J910" s="19" t="s">
        <v>28</v>
      </c>
      <c r="K910" s="19" t="s">
        <v>325</v>
      </c>
      <c r="L910" s="40"/>
    </row>
    <row r="911" ht="22.5" customHeight="1">
      <c r="C911" s="19" t="s">
        <v>3193</v>
      </c>
      <c r="D911" s="39" t="s">
        <v>3238</v>
      </c>
      <c r="E911" s="43" t="s">
        <v>3239</v>
      </c>
      <c r="F911" s="43" t="s">
        <v>3240</v>
      </c>
      <c r="G911" s="43" t="s">
        <v>3241</v>
      </c>
      <c r="H911" s="44">
        <v>9.549537028E9</v>
      </c>
      <c r="I911" s="18">
        <f t="shared" si="8"/>
        <v>45940</v>
      </c>
      <c r="J911" s="19" t="s">
        <v>28</v>
      </c>
      <c r="K911" s="19" t="s">
        <v>325</v>
      </c>
      <c r="L911" s="40"/>
    </row>
    <row r="912" ht="22.5" customHeight="1">
      <c r="C912" s="19" t="s">
        <v>3193</v>
      </c>
      <c r="D912" s="39" t="s">
        <v>3242</v>
      </c>
      <c r="E912" s="43" t="s">
        <v>3243</v>
      </c>
      <c r="F912" s="43" t="s">
        <v>3244</v>
      </c>
      <c r="G912" s="43" t="s">
        <v>126</v>
      </c>
      <c r="H912" s="42" t="s">
        <v>3245</v>
      </c>
      <c r="I912" s="18">
        <f t="shared" si="8"/>
        <v>45940</v>
      </c>
      <c r="J912" s="19" t="s">
        <v>28</v>
      </c>
      <c r="K912" s="19" t="s">
        <v>325</v>
      </c>
      <c r="L912" s="4" t="s">
        <v>148</v>
      </c>
    </row>
    <row r="913" ht="22.5" customHeight="1">
      <c r="C913" s="19" t="s">
        <v>3193</v>
      </c>
      <c r="D913" s="39" t="s">
        <v>3246</v>
      </c>
      <c r="E913" s="43" t="s">
        <v>3247</v>
      </c>
      <c r="F913" s="43" t="s">
        <v>3248</v>
      </c>
      <c r="G913" s="43" t="s">
        <v>72</v>
      </c>
      <c r="H913" s="44">
        <v>9.547656526E9</v>
      </c>
      <c r="I913" s="18">
        <f t="shared" si="8"/>
        <v>45940</v>
      </c>
      <c r="J913" s="19" t="s">
        <v>28</v>
      </c>
      <c r="K913" s="19" t="s">
        <v>325</v>
      </c>
      <c r="L913" s="40"/>
    </row>
    <row r="914" ht="22.5" customHeight="1">
      <c r="C914" s="19" t="s">
        <v>3193</v>
      </c>
      <c r="D914" s="39" t="s">
        <v>3249</v>
      </c>
      <c r="E914" s="43" t="s">
        <v>3250</v>
      </c>
      <c r="F914" s="43" t="s">
        <v>3251</v>
      </c>
      <c r="G914" s="43" t="s">
        <v>118</v>
      </c>
      <c r="H914" s="42" t="s">
        <v>3252</v>
      </c>
      <c r="I914" s="18">
        <f t="shared" si="8"/>
        <v>45940</v>
      </c>
      <c r="J914" s="19" t="s">
        <v>28</v>
      </c>
      <c r="K914" s="19" t="s">
        <v>325</v>
      </c>
      <c r="L914" s="40"/>
    </row>
    <row r="915" ht="22.5" customHeight="1">
      <c r="C915" s="19" t="s">
        <v>3193</v>
      </c>
      <c r="D915" s="39" t="s">
        <v>3253</v>
      </c>
      <c r="E915" s="43" t="s">
        <v>3254</v>
      </c>
      <c r="F915" s="43" t="s">
        <v>3255</v>
      </c>
      <c r="G915" s="43" t="s">
        <v>108</v>
      </c>
      <c r="H915" s="42" t="s">
        <v>3256</v>
      </c>
      <c r="I915" s="18">
        <f t="shared" si="8"/>
        <v>45940</v>
      </c>
      <c r="J915" s="19" t="s">
        <v>28</v>
      </c>
      <c r="K915" s="19" t="s">
        <v>325</v>
      </c>
      <c r="L915" s="4" t="s">
        <v>99</v>
      </c>
    </row>
    <row r="916" ht="22.5" customHeight="1">
      <c r="C916" s="19" t="s">
        <v>3193</v>
      </c>
      <c r="D916" s="39" t="s">
        <v>3257</v>
      </c>
      <c r="E916" s="43" t="s">
        <v>3258</v>
      </c>
      <c r="F916" s="43" t="s">
        <v>3259</v>
      </c>
      <c r="G916" s="43" t="s">
        <v>915</v>
      </c>
      <c r="H916" s="44">
        <v>9.54595949E9</v>
      </c>
      <c r="I916" s="18">
        <f t="shared" si="8"/>
        <v>45940</v>
      </c>
      <c r="J916" s="19" t="s">
        <v>28</v>
      </c>
      <c r="K916" s="19" t="s">
        <v>325</v>
      </c>
      <c r="L916" s="4" t="s">
        <v>99</v>
      </c>
    </row>
    <row r="917" ht="22.5" customHeight="1">
      <c r="C917" s="19" t="s">
        <v>3193</v>
      </c>
      <c r="D917" s="39" t="s">
        <v>3260</v>
      </c>
      <c r="E917" s="43" t="s">
        <v>3261</v>
      </c>
      <c r="F917" s="43" t="s">
        <v>3262</v>
      </c>
      <c r="G917" s="43" t="s">
        <v>42</v>
      </c>
      <c r="H917" s="44">
        <v>9.549144768E9</v>
      </c>
      <c r="I917" s="18">
        <f t="shared" si="8"/>
        <v>45940</v>
      </c>
      <c r="J917" s="19" t="s">
        <v>28</v>
      </c>
      <c r="K917" s="19" t="s">
        <v>325</v>
      </c>
      <c r="L917" s="40"/>
    </row>
    <row r="918" ht="22.5" customHeight="1">
      <c r="C918" s="19" t="s">
        <v>3263</v>
      </c>
      <c r="D918" s="39" t="s">
        <v>3264</v>
      </c>
      <c r="E918" s="43" t="s">
        <v>3265</v>
      </c>
      <c r="F918" s="43" t="s">
        <v>3266</v>
      </c>
      <c r="G918" s="43" t="s">
        <v>52</v>
      </c>
      <c r="H918" s="42" t="s">
        <v>3267</v>
      </c>
      <c r="I918" s="18">
        <f t="shared" ref="I918:I1105" si="9">DATE(2025, 10, 13)</f>
        <v>45943</v>
      </c>
      <c r="J918" s="19" t="s">
        <v>28</v>
      </c>
      <c r="K918" s="19" t="s">
        <v>325</v>
      </c>
      <c r="L918" s="40"/>
    </row>
    <row r="919" ht="22.5" customHeight="1">
      <c r="C919" s="19" t="s">
        <v>3263</v>
      </c>
      <c r="D919" s="39" t="s">
        <v>3268</v>
      </c>
      <c r="E919" s="43" t="s">
        <v>3269</v>
      </c>
      <c r="F919" s="43" t="s">
        <v>3270</v>
      </c>
      <c r="G919" s="43" t="s">
        <v>103</v>
      </c>
      <c r="H919" s="44">
        <v>9.547765812E9</v>
      </c>
      <c r="I919" s="18">
        <f t="shared" si="9"/>
        <v>45943</v>
      </c>
      <c r="J919" s="19" t="s">
        <v>28</v>
      </c>
      <c r="K919" s="19" t="s">
        <v>325</v>
      </c>
      <c r="L919" s="40"/>
    </row>
    <row r="920" ht="22.5" customHeight="1">
      <c r="C920" s="19" t="s">
        <v>3263</v>
      </c>
      <c r="D920" s="39" t="s">
        <v>3271</v>
      </c>
      <c r="E920" s="43" t="s">
        <v>3272</v>
      </c>
      <c r="F920" s="43" t="s">
        <v>3080</v>
      </c>
      <c r="G920" s="43" t="s">
        <v>360</v>
      </c>
      <c r="H920" s="42" t="s">
        <v>3273</v>
      </c>
      <c r="I920" s="18">
        <f t="shared" si="9"/>
        <v>45943</v>
      </c>
      <c r="J920" s="19" t="s">
        <v>28</v>
      </c>
      <c r="K920" s="19" t="s">
        <v>325</v>
      </c>
      <c r="L920" s="40"/>
    </row>
    <row r="921" ht="22.5" customHeight="1">
      <c r="C921" s="19" t="s">
        <v>3263</v>
      </c>
      <c r="D921" s="39" t="s">
        <v>3274</v>
      </c>
      <c r="E921" s="43" t="s">
        <v>3275</v>
      </c>
      <c r="F921" s="43" t="s">
        <v>3276</v>
      </c>
      <c r="G921" s="43" t="s">
        <v>118</v>
      </c>
      <c r="H921" s="42" t="s">
        <v>3277</v>
      </c>
      <c r="I921" s="18">
        <f t="shared" si="9"/>
        <v>45943</v>
      </c>
      <c r="J921" s="19" t="s">
        <v>28</v>
      </c>
      <c r="K921" s="19" t="s">
        <v>325</v>
      </c>
      <c r="L921" s="40"/>
    </row>
    <row r="922" ht="22.5" customHeight="1">
      <c r="C922" s="19" t="s">
        <v>3263</v>
      </c>
      <c r="D922" s="39" t="s">
        <v>3278</v>
      </c>
      <c r="E922" s="43" t="s">
        <v>3279</v>
      </c>
      <c r="F922" s="43" t="s">
        <v>3280</v>
      </c>
      <c r="G922" s="43" t="s">
        <v>224</v>
      </c>
      <c r="H922" s="44">
        <v>9.549840965E9</v>
      </c>
      <c r="I922" s="18">
        <f t="shared" si="9"/>
        <v>45943</v>
      </c>
      <c r="J922" s="19" t="s">
        <v>28</v>
      </c>
      <c r="K922" s="19" t="s">
        <v>325</v>
      </c>
      <c r="L922" s="40"/>
    </row>
    <row r="923" ht="22.5" customHeight="1">
      <c r="C923" s="19" t="s">
        <v>3263</v>
      </c>
      <c r="D923" s="39" t="s">
        <v>3281</v>
      </c>
      <c r="E923" s="43" t="s">
        <v>3282</v>
      </c>
      <c r="F923" s="43" t="s">
        <v>3283</v>
      </c>
      <c r="G923" s="43" t="s">
        <v>768</v>
      </c>
      <c r="H923" s="44">
        <v>9.542995978102E12</v>
      </c>
      <c r="I923" s="18">
        <f t="shared" si="9"/>
        <v>45943</v>
      </c>
      <c r="J923" s="19" t="s">
        <v>28</v>
      </c>
      <c r="K923" s="19" t="s">
        <v>325</v>
      </c>
      <c r="L923" s="40"/>
    </row>
    <row r="924" ht="22.5" customHeight="1">
      <c r="C924" s="19" t="s">
        <v>3263</v>
      </c>
      <c r="D924" s="39" t="s">
        <v>3284</v>
      </c>
      <c r="E924" s="43" t="s">
        <v>3285</v>
      </c>
      <c r="F924" s="43" t="s">
        <v>3286</v>
      </c>
      <c r="G924" s="43" t="s">
        <v>108</v>
      </c>
      <c r="H924" s="44">
        <v>9.54597511E9</v>
      </c>
      <c r="I924" s="18">
        <f t="shared" si="9"/>
        <v>45943</v>
      </c>
      <c r="J924" s="19" t="s">
        <v>28</v>
      </c>
      <c r="K924" s="19" t="s">
        <v>325</v>
      </c>
      <c r="L924" s="40"/>
    </row>
    <row r="925" ht="22.5" customHeight="1">
      <c r="C925" s="19" t="s">
        <v>3263</v>
      </c>
      <c r="D925" s="39" t="s">
        <v>3287</v>
      </c>
      <c r="E925" s="43" t="s">
        <v>3288</v>
      </c>
      <c r="F925" s="43" t="s">
        <v>830</v>
      </c>
      <c r="G925" s="43" t="s">
        <v>82</v>
      </c>
      <c r="H925" s="44">
        <v>8.032150908E9</v>
      </c>
      <c r="I925" s="18">
        <f t="shared" si="9"/>
        <v>45943</v>
      </c>
      <c r="J925" s="19" t="s">
        <v>28</v>
      </c>
      <c r="K925" s="19" t="s">
        <v>325</v>
      </c>
      <c r="L925" s="40"/>
    </row>
    <row r="926" ht="22.5" customHeight="1">
      <c r="C926" s="19" t="s">
        <v>3263</v>
      </c>
      <c r="D926" s="39" t="s">
        <v>3289</v>
      </c>
      <c r="E926" s="43" t="s">
        <v>3290</v>
      </c>
      <c r="F926" s="43" t="s">
        <v>3291</v>
      </c>
      <c r="G926" s="43" t="s">
        <v>57</v>
      </c>
      <c r="H926" s="42" t="s">
        <v>3292</v>
      </c>
      <c r="I926" s="18">
        <f t="shared" si="9"/>
        <v>45943</v>
      </c>
      <c r="J926" s="19" t="s">
        <v>28</v>
      </c>
      <c r="K926" s="19" t="s">
        <v>325</v>
      </c>
      <c r="L926" s="40"/>
    </row>
    <row r="927" ht="22.5" customHeight="1">
      <c r="C927" s="19" t="s">
        <v>3263</v>
      </c>
      <c r="D927" s="39" t="s">
        <v>3293</v>
      </c>
      <c r="E927" s="43" t="s">
        <v>3294</v>
      </c>
      <c r="F927" s="43" t="s">
        <v>3295</v>
      </c>
      <c r="G927" s="43" t="s">
        <v>113</v>
      </c>
      <c r="H927" s="42" t="s">
        <v>3296</v>
      </c>
      <c r="I927" s="18">
        <f t="shared" si="9"/>
        <v>45943</v>
      </c>
      <c r="J927" s="19" t="s">
        <v>28</v>
      </c>
      <c r="K927" s="19" t="s">
        <v>325</v>
      </c>
      <c r="L927" s="40"/>
    </row>
    <row r="928" ht="22.5" customHeight="1">
      <c r="C928" s="19" t="s">
        <v>3263</v>
      </c>
      <c r="D928" s="39" t="s">
        <v>3297</v>
      </c>
      <c r="E928" s="43" t="s">
        <v>3298</v>
      </c>
      <c r="F928" s="43" t="s">
        <v>3299</v>
      </c>
      <c r="G928" s="43" t="s">
        <v>62</v>
      </c>
      <c r="H928" s="44">
        <v>9.545315302E9</v>
      </c>
      <c r="I928" s="18">
        <f t="shared" si="9"/>
        <v>45943</v>
      </c>
      <c r="J928" s="19" t="s">
        <v>28</v>
      </c>
      <c r="K928" s="19" t="s">
        <v>325</v>
      </c>
      <c r="L928" s="40"/>
    </row>
    <row r="929" ht="22.5" customHeight="1">
      <c r="C929" s="19" t="s">
        <v>3263</v>
      </c>
      <c r="D929" s="39" t="s">
        <v>3300</v>
      </c>
      <c r="E929" s="43" t="s">
        <v>3301</v>
      </c>
      <c r="F929" s="43" t="s">
        <v>2951</v>
      </c>
      <c r="G929" s="43" t="s">
        <v>77</v>
      </c>
      <c r="H929" s="42" t="s">
        <v>3302</v>
      </c>
      <c r="I929" s="18">
        <f t="shared" si="9"/>
        <v>45943</v>
      </c>
      <c r="J929" s="19" t="s">
        <v>28</v>
      </c>
      <c r="K929" s="19" t="s">
        <v>325</v>
      </c>
      <c r="L929" s="40"/>
    </row>
    <row r="930" ht="22.5" customHeight="1">
      <c r="C930" s="19" t="s">
        <v>3263</v>
      </c>
      <c r="D930" s="39" t="s">
        <v>3303</v>
      </c>
      <c r="E930" s="43" t="s">
        <v>3304</v>
      </c>
      <c r="F930" s="43" t="s">
        <v>3305</v>
      </c>
      <c r="G930" s="43" t="s">
        <v>126</v>
      </c>
      <c r="H930" s="42" t="s">
        <v>3306</v>
      </c>
      <c r="I930" s="18">
        <f t="shared" si="9"/>
        <v>45943</v>
      </c>
      <c r="J930" s="19" t="s">
        <v>28</v>
      </c>
      <c r="K930" s="19" t="s">
        <v>325</v>
      </c>
      <c r="L930" s="40"/>
    </row>
    <row r="931" ht="22.5" customHeight="1">
      <c r="C931" s="19" t="s">
        <v>3263</v>
      </c>
      <c r="D931" s="39" t="s">
        <v>3307</v>
      </c>
      <c r="E931" s="43" t="s">
        <v>3308</v>
      </c>
      <c r="F931" s="43" t="s">
        <v>3309</v>
      </c>
      <c r="G931" s="43" t="s">
        <v>438</v>
      </c>
      <c r="H931" s="42" t="s">
        <v>3310</v>
      </c>
      <c r="I931" s="18">
        <f t="shared" si="9"/>
        <v>45943</v>
      </c>
      <c r="J931" s="19" t="s">
        <v>28</v>
      </c>
      <c r="K931" s="19" t="s">
        <v>325</v>
      </c>
      <c r="L931" s="40"/>
    </row>
    <row r="932" ht="22.5" customHeight="1">
      <c r="C932" s="19" t="s">
        <v>3263</v>
      </c>
      <c r="D932" s="39" t="s">
        <v>3311</v>
      </c>
      <c r="E932" s="43" t="s">
        <v>3312</v>
      </c>
      <c r="F932" s="43" t="s">
        <v>3313</v>
      </c>
      <c r="G932" s="43" t="s">
        <v>421</v>
      </c>
      <c r="H932" s="44">
        <v>9.542105489E9</v>
      </c>
      <c r="I932" s="18">
        <f t="shared" si="9"/>
        <v>45943</v>
      </c>
      <c r="J932" s="19" t="s">
        <v>28</v>
      </c>
      <c r="K932" s="19" t="s">
        <v>325</v>
      </c>
      <c r="L932" s="40"/>
    </row>
    <row r="933" ht="22.5" customHeight="1">
      <c r="C933" s="19" t="s">
        <v>3263</v>
      </c>
      <c r="D933" s="39" t="s">
        <v>3314</v>
      </c>
      <c r="E933" s="43" t="s">
        <v>3315</v>
      </c>
      <c r="F933" s="43" t="s">
        <v>3316</v>
      </c>
      <c r="G933" s="43" t="s">
        <v>377</v>
      </c>
      <c r="H933" s="42" t="s">
        <v>3317</v>
      </c>
      <c r="I933" s="18">
        <f t="shared" si="9"/>
        <v>45943</v>
      </c>
      <c r="J933" s="19" t="s">
        <v>28</v>
      </c>
      <c r="K933" s="19" t="s">
        <v>325</v>
      </c>
      <c r="L933" s="40"/>
    </row>
    <row r="934" ht="22.5" customHeight="1">
      <c r="C934" s="19" t="s">
        <v>3263</v>
      </c>
      <c r="D934" s="39" t="s">
        <v>3318</v>
      </c>
      <c r="E934" s="43" t="s">
        <v>3319</v>
      </c>
      <c r="F934" s="43" t="s">
        <v>3320</v>
      </c>
      <c r="G934" s="43" t="s">
        <v>346</v>
      </c>
      <c r="H934" s="42" t="s">
        <v>3321</v>
      </c>
      <c r="I934" s="18">
        <f t="shared" si="9"/>
        <v>45943</v>
      </c>
      <c r="J934" s="19" t="s">
        <v>28</v>
      </c>
      <c r="K934" s="19" t="s">
        <v>325</v>
      </c>
      <c r="L934" s="40"/>
    </row>
    <row r="935" ht="22.5" customHeight="1">
      <c r="C935" s="19" t="s">
        <v>3263</v>
      </c>
      <c r="D935" s="39" t="s">
        <v>3322</v>
      </c>
      <c r="E935" s="43" t="s">
        <v>3323</v>
      </c>
      <c r="F935" s="43" t="s">
        <v>3324</v>
      </c>
      <c r="G935" s="43" t="s">
        <v>524</v>
      </c>
      <c r="H935" s="44">
        <v>9.542783359E9</v>
      </c>
      <c r="I935" s="18">
        <f t="shared" si="9"/>
        <v>45943</v>
      </c>
      <c r="J935" s="19" t="s">
        <v>28</v>
      </c>
      <c r="K935" s="19" t="s">
        <v>325</v>
      </c>
      <c r="L935" s="40"/>
    </row>
    <row r="936" ht="22.5" customHeight="1">
      <c r="C936" s="19" t="s">
        <v>3263</v>
      </c>
      <c r="D936" s="39" t="s">
        <v>3325</v>
      </c>
      <c r="E936" s="43" t="s">
        <v>3326</v>
      </c>
      <c r="F936" s="43" t="s">
        <v>3327</v>
      </c>
      <c r="G936" s="43" t="s">
        <v>72</v>
      </c>
      <c r="H936" s="44">
        <v>9.545603063E9</v>
      </c>
      <c r="I936" s="18">
        <f t="shared" si="9"/>
        <v>45943</v>
      </c>
      <c r="J936" s="19" t="s">
        <v>28</v>
      </c>
      <c r="K936" s="19" t="s">
        <v>325</v>
      </c>
      <c r="L936" s="40"/>
    </row>
    <row r="937" ht="22.5" customHeight="1">
      <c r="C937" s="19" t="s">
        <v>3263</v>
      </c>
      <c r="D937" s="39" t="s">
        <v>3328</v>
      </c>
      <c r="E937" s="43" t="s">
        <v>3329</v>
      </c>
      <c r="F937" s="28" t="s">
        <v>182</v>
      </c>
      <c r="G937" s="43" t="s">
        <v>67</v>
      </c>
      <c r="H937" s="42" t="s">
        <v>3330</v>
      </c>
      <c r="I937" s="18">
        <f t="shared" si="9"/>
        <v>45943</v>
      </c>
      <c r="J937" s="19" t="s">
        <v>28</v>
      </c>
      <c r="K937" s="19" t="s">
        <v>325</v>
      </c>
      <c r="L937" s="40"/>
    </row>
    <row r="938" ht="22.5" customHeight="1">
      <c r="C938" s="19" t="s">
        <v>3263</v>
      </c>
      <c r="D938" s="39" t="s">
        <v>3331</v>
      </c>
      <c r="E938" s="43" t="s">
        <v>3332</v>
      </c>
      <c r="F938" s="43" t="s">
        <v>3333</v>
      </c>
      <c r="G938" s="43" t="s">
        <v>247</v>
      </c>
      <c r="H938" s="42" t="s">
        <v>3334</v>
      </c>
      <c r="I938" s="18">
        <f t="shared" si="9"/>
        <v>45943</v>
      </c>
      <c r="J938" s="19" t="s">
        <v>28</v>
      </c>
      <c r="K938" s="19" t="s">
        <v>325</v>
      </c>
      <c r="L938" s="40"/>
    </row>
    <row r="939" ht="22.5" customHeight="1">
      <c r="C939" s="19" t="s">
        <v>3263</v>
      </c>
      <c r="D939" s="39" t="s">
        <v>3335</v>
      </c>
      <c r="E939" s="43" t="s">
        <v>3336</v>
      </c>
      <c r="F939" s="43" t="s">
        <v>969</v>
      </c>
      <c r="G939" s="43" t="s">
        <v>136</v>
      </c>
      <c r="H939" s="42" t="s">
        <v>3337</v>
      </c>
      <c r="I939" s="18">
        <f t="shared" si="9"/>
        <v>45943</v>
      </c>
      <c r="J939" s="19" t="s">
        <v>28</v>
      </c>
      <c r="K939" s="19" t="s">
        <v>325</v>
      </c>
      <c r="L939" s="40"/>
    </row>
    <row r="940" ht="22.5" customHeight="1">
      <c r="C940" s="19" t="s">
        <v>3263</v>
      </c>
      <c r="D940" s="39" t="s">
        <v>3338</v>
      </c>
      <c r="E940" s="43" t="s">
        <v>3339</v>
      </c>
      <c r="F940" s="43" t="s">
        <v>3340</v>
      </c>
      <c r="G940" s="43" t="s">
        <v>717</v>
      </c>
      <c r="H940" s="44">
        <v>9.544633036E9</v>
      </c>
      <c r="I940" s="18">
        <f t="shared" si="9"/>
        <v>45943</v>
      </c>
      <c r="J940" s="19" t="s">
        <v>28</v>
      </c>
      <c r="K940" s="19" t="s">
        <v>325</v>
      </c>
      <c r="L940" s="40"/>
    </row>
    <row r="941" ht="22.5" customHeight="1">
      <c r="C941" s="19" t="s">
        <v>3341</v>
      </c>
      <c r="D941" s="39" t="s">
        <v>3342</v>
      </c>
      <c r="E941" s="43" t="s">
        <v>3343</v>
      </c>
      <c r="F941" s="43" t="s">
        <v>3344</v>
      </c>
      <c r="G941" s="43" t="s">
        <v>3345</v>
      </c>
      <c r="H941" s="42" t="s">
        <v>3346</v>
      </c>
      <c r="I941" s="18">
        <f t="shared" si="9"/>
        <v>45943</v>
      </c>
      <c r="J941" s="19" t="s">
        <v>28</v>
      </c>
      <c r="K941" s="19" t="s">
        <v>325</v>
      </c>
      <c r="L941" s="40"/>
    </row>
    <row r="942" ht="22.5" customHeight="1">
      <c r="C942" s="19" t="s">
        <v>3341</v>
      </c>
      <c r="D942" s="39" t="s">
        <v>3347</v>
      </c>
      <c r="E942" s="43" t="s">
        <v>3348</v>
      </c>
      <c r="F942" s="43" t="s">
        <v>3349</v>
      </c>
      <c r="G942" s="43" t="s">
        <v>680</v>
      </c>
      <c r="H942" s="42" t="s">
        <v>3350</v>
      </c>
      <c r="I942" s="18">
        <f t="shared" si="9"/>
        <v>45943</v>
      </c>
      <c r="J942" s="19" t="s">
        <v>28</v>
      </c>
      <c r="K942" s="19" t="s">
        <v>325</v>
      </c>
      <c r="L942" s="40"/>
    </row>
    <row r="943" ht="22.5" customHeight="1">
      <c r="C943" s="19" t="s">
        <v>3341</v>
      </c>
      <c r="D943" s="39" t="s">
        <v>3351</v>
      </c>
      <c r="E943" s="43" t="s">
        <v>3352</v>
      </c>
      <c r="F943" s="43" t="s">
        <v>3353</v>
      </c>
      <c r="G943" s="43" t="s">
        <v>717</v>
      </c>
      <c r="H943" s="42" t="s">
        <v>3354</v>
      </c>
      <c r="I943" s="18">
        <f t="shared" si="9"/>
        <v>45943</v>
      </c>
      <c r="J943" s="19" t="s">
        <v>28</v>
      </c>
      <c r="K943" s="19" t="s">
        <v>325</v>
      </c>
      <c r="L943" s="40"/>
    </row>
    <row r="944" ht="22.5" customHeight="1">
      <c r="C944" s="19" t="s">
        <v>3341</v>
      </c>
      <c r="D944" s="39" t="s">
        <v>3355</v>
      </c>
      <c r="E944" s="43" t="s">
        <v>3356</v>
      </c>
      <c r="F944" s="43" t="s">
        <v>3357</v>
      </c>
      <c r="G944" s="43" t="s">
        <v>152</v>
      </c>
      <c r="H944" s="44">
        <v>9.542529622E9</v>
      </c>
      <c r="I944" s="18">
        <f t="shared" si="9"/>
        <v>45943</v>
      </c>
      <c r="J944" s="19" t="s">
        <v>28</v>
      </c>
      <c r="K944" s="19" t="s">
        <v>325</v>
      </c>
      <c r="L944" s="40"/>
    </row>
    <row r="945" ht="22.5" customHeight="1">
      <c r="C945" s="19" t="s">
        <v>3341</v>
      </c>
      <c r="D945" s="39" t="s">
        <v>3358</v>
      </c>
      <c r="E945" s="43" t="s">
        <v>3359</v>
      </c>
      <c r="F945" s="43" t="s">
        <v>3360</v>
      </c>
      <c r="G945" s="43" t="s">
        <v>553</v>
      </c>
      <c r="H945" s="44">
        <v>9.544150948E9</v>
      </c>
      <c r="I945" s="18">
        <f t="shared" si="9"/>
        <v>45943</v>
      </c>
      <c r="J945" s="19" t="s">
        <v>28</v>
      </c>
      <c r="K945" s="19" t="s">
        <v>325</v>
      </c>
      <c r="L945" s="40"/>
    </row>
    <row r="946" ht="22.5" customHeight="1">
      <c r="C946" s="19" t="s">
        <v>3341</v>
      </c>
      <c r="D946" s="39" t="s">
        <v>3361</v>
      </c>
      <c r="E946" s="43" t="s">
        <v>3362</v>
      </c>
      <c r="F946" s="43" t="s">
        <v>3363</v>
      </c>
      <c r="G946" s="43" t="s">
        <v>3364</v>
      </c>
      <c r="H946" s="42" t="s">
        <v>3365</v>
      </c>
      <c r="I946" s="18">
        <f t="shared" si="9"/>
        <v>45943</v>
      </c>
      <c r="J946" s="19" t="s">
        <v>28</v>
      </c>
      <c r="K946" s="19" t="s">
        <v>325</v>
      </c>
      <c r="L946" s="40"/>
    </row>
    <row r="947" ht="22.5" customHeight="1">
      <c r="C947" s="19" t="s">
        <v>3341</v>
      </c>
      <c r="D947" s="39" t="s">
        <v>3366</v>
      </c>
      <c r="E947" s="43" t="s">
        <v>3367</v>
      </c>
      <c r="F947" s="43" t="s">
        <v>3368</v>
      </c>
      <c r="G947" s="43" t="s">
        <v>113</v>
      </c>
      <c r="H947" s="44">
        <v>5.168408442E9</v>
      </c>
      <c r="I947" s="18">
        <f t="shared" si="9"/>
        <v>45943</v>
      </c>
      <c r="J947" s="19" t="s">
        <v>28</v>
      </c>
      <c r="K947" s="19" t="s">
        <v>325</v>
      </c>
      <c r="L947" s="40"/>
    </row>
    <row r="948" ht="22.5" customHeight="1">
      <c r="C948" s="19" t="s">
        <v>3341</v>
      </c>
      <c r="D948" s="39" t="s">
        <v>3369</v>
      </c>
      <c r="E948" s="43" t="s">
        <v>3370</v>
      </c>
      <c r="F948" s="43" t="s">
        <v>3371</v>
      </c>
      <c r="G948" s="43" t="s">
        <v>387</v>
      </c>
      <c r="H948" s="44">
        <v>7.862826709E9</v>
      </c>
      <c r="I948" s="18">
        <f t="shared" si="9"/>
        <v>45943</v>
      </c>
      <c r="J948" s="19" t="s">
        <v>28</v>
      </c>
      <c r="K948" s="19" t="s">
        <v>325</v>
      </c>
      <c r="L948" s="40"/>
    </row>
    <row r="949" ht="22.5" customHeight="1">
      <c r="C949" s="19" t="s">
        <v>3341</v>
      </c>
      <c r="D949" s="39" t="s">
        <v>3372</v>
      </c>
      <c r="E949" s="43" t="s">
        <v>3373</v>
      </c>
      <c r="F949" s="43" t="s">
        <v>3374</v>
      </c>
      <c r="G949" s="43" t="s">
        <v>67</v>
      </c>
      <c r="H949" s="42" t="s">
        <v>3375</v>
      </c>
      <c r="I949" s="18">
        <f t="shared" si="9"/>
        <v>45943</v>
      </c>
      <c r="J949" s="19" t="s">
        <v>28</v>
      </c>
      <c r="K949" s="19" t="s">
        <v>325</v>
      </c>
      <c r="L949" s="40"/>
    </row>
    <row r="950" ht="22.5" customHeight="1">
      <c r="C950" s="19" t="s">
        <v>3341</v>
      </c>
      <c r="D950" s="39" t="s">
        <v>3376</v>
      </c>
      <c r="E950" s="43" t="s">
        <v>3377</v>
      </c>
      <c r="F950" s="43" t="s">
        <v>3378</v>
      </c>
      <c r="G950" s="43" t="s">
        <v>3379</v>
      </c>
      <c r="H950" s="42" t="s">
        <v>3380</v>
      </c>
      <c r="I950" s="18">
        <f t="shared" si="9"/>
        <v>45943</v>
      </c>
      <c r="J950" s="19" t="s">
        <v>28</v>
      </c>
      <c r="K950" s="19" t="s">
        <v>325</v>
      </c>
      <c r="L950" s="40"/>
    </row>
    <row r="951" ht="22.5" customHeight="1">
      <c r="C951" s="19" t="s">
        <v>3341</v>
      </c>
      <c r="D951" s="39" t="s">
        <v>3381</v>
      </c>
      <c r="E951" s="43" t="s">
        <v>3382</v>
      </c>
      <c r="F951" s="43" t="s">
        <v>3383</v>
      </c>
      <c r="G951" s="43" t="s">
        <v>52</v>
      </c>
      <c r="H951" s="42" t="s">
        <v>3384</v>
      </c>
      <c r="I951" s="18">
        <f t="shared" si="9"/>
        <v>45943</v>
      </c>
      <c r="J951" s="19" t="s">
        <v>28</v>
      </c>
      <c r="K951" s="19" t="s">
        <v>325</v>
      </c>
      <c r="L951" s="40"/>
    </row>
    <row r="952" ht="22.5" customHeight="1">
      <c r="C952" s="19" t="s">
        <v>3341</v>
      </c>
      <c r="D952" s="39" t="s">
        <v>3385</v>
      </c>
      <c r="E952" s="43" t="s">
        <v>3386</v>
      </c>
      <c r="F952" s="43" t="s">
        <v>3387</v>
      </c>
      <c r="G952" s="43" t="s">
        <v>2914</v>
      </c>
      <c r="H952" s="42" t="s">
        <v>3388</v>
      </c>
      <c r="I952" s="18">
        <f t="shared" si="9"/>
        <v>45943</v>
      </c>
      <c r="J952" s="19" t="s">
        <v>28</v>
      </c>
      <c r="K952" s="19" t="s">
        <v>325</v>
      </c>
      <c r="L952" s="40"/>
    </row>
    <row r="953" ht="22.5" customHeight="1">
      <c r="C953" s="19" t="s">
        <v>3341</v>
      </c>
      <c r="D953" s="39" t="s">
        <v>3389</v>
      </c>
      <c r="E953" s="43" t="s">
        <v>3390</v>
      </c>
      <c r="F953" s="43" t="s">
        <v>3391</v>
      </c>
      <c r="G953" s="43" t="s">
        <v>136</v>
      </c>
      <c r="H953" s="44">
        <v>9.546493283E9</v>
      </c>
      <c r="I953" s="18">
        <f t="shared" si="9"/>
        <v>45943</v>
      </c>
      <c r="J953" s="19" t="s">
        <v>28</v>
      </c>
      <c r="K953" s="19" t="s">
        <v>325</v>
      </c>
      <c r="L953" s="40"/>
    </row>
    <row r="954" ht="22.5" customHeight="1">
      <c r="C954" s="19" t="s">
        <v>3341</v>
      </c>
      <c r="D954" s="39" t="s">
        <v>3392</v>
      </c>
      <c r="E954" s="43" t="s">
        <v>3393</v>
      </c>
      <c r="F954" s="43" t="s">
        <v>3394</v>
      </c>
      <c r="G954" s="43" t="s">
        <v>3008</v>
      </c>
      <c r="H954" s="42" t="s">
        <v>3395</v>
      </c>
      <c r="I954" s="18">
        <f t="shared" si="9"/>
        <v>45943</v>
      </c>
      <c r="J954" s="19" t="s">
        <v>28</v>
      </c>
      <c r="K954" s="19" t="s">
        <v>325</v>
      </c>
      <c r="L954" s="40"/>
    </row>
    <row r="955" ht="22.5" customHeight="1">
      <c r="C955" s="19" t="s">
        <v>3341</v>
      </c>
      <c r="D955" s="39" t="s">
        <v>3396</v>
      </c>
      <c r="E955" s="43" t="s">
        <v>3397</v>
      </c>
      <c r="F955" s="43" t="s">
        <v>3398</v>
      </c>
      <c r="G955" s="43" t="s">
        <v>165</v>
      </c>
      <c r="H955" s="44">
        <v>9.546497947E9</v>
      </c>
      <c r="I955" s="18">
        <f t="shared" si="9"/>
        <v>45943</v>
      </c>
      <c r="J955" s="19" t="s">
        <v>28</v>
      </c>
      <c r="K955" s="19" t="s">
        <v>325</v>
      </c>
      <c r="L955" s="40"/>
    </row>
    <row r="956" ht="22.5" customHeight="1">
      <c r="C956" s="19" t="s">
        <v>3341</v>
      </c>
      <c r="D956" s="39" t="s">
        <v>3399</v>
      </c>
      <c r="E956" s="43" t="s">
        <v>3400</v>
      </c>
      <c r="F956" s="43" t="s">
        <v>3401</v>
      </c>
      <c r="G956" s="43" t="s">
        <v>82</v>
      </c>
      <c r="H956" s="44">
        <v>1.5613072356E10</v>
      </c>
      <c r="I956" s="18">
        <f t="shared" si="9"/>
        <v>45943</v>
      </c>
      <c r="J956" s="19" t="s">
        <v>28</v>
      </c>
      <c r="K956" s="19" t="s">
        <v>325</v>
      </c>
      <c r="L956" s="4" t="s">
        <v>148</v>
      </c>
    </row>
    <row r="957" ht="22.5" customHeight="1">
      <c r="C957" s="19" t="s">
        <v>3341</v>
      </c>
      <c r="D957" s="39" t="s">
        <v>3402</v>
      </c>
      <c r="E957" s="43" t="s">
        <v>3403</v>
      </c>
      <c r="F957" s="43" t="s">
        <v>3404</v>
      </c>
      <c r="G957" s="43" t="s">
        <v>170</v>
      </c>
      <c r="H957" s="42" t="s">
        <v>3405</v>
      </c>
      <c r="I957" s="18">
        <f t="shared" si="9"/>
        <v>45943</v>
      </c>
      <c r="J957" s="19" t="s">
        <v>28</v>
      </c>
      <c r="K957" s="19" t="s">
        <v>325</v>
      </c>
      <c r="L957" s="40"/>
    </row>
    <row r="958" ht="22.5" customHeight="1">
      <c r="C958" s="19" t="s">
        <v>3341</v>
      </c>
      <c r="D958" s="39" t="s">
        <v>3406</v>
      </c>
      <c r="E958" s="43" t="s">
        <v>3407</v>
      </c>
      <c r="F958" s="43" t="s">
        <v>3071</v>
      </c>
      <c r="G958" s="43" t="s">
        <v>77</v>
      </c>
      <c r="H958" s="42" t="s">
        <v>3408</v>
      </c>
      <c r="I958" s="18">
        <f t="shared" si="9"/>
        <v>45943</v>
      </c>
      <c r="J958" s="19" t="s">
        <v>28</v>
      </c>
      <c r="K958" s="19" t="s">
        <v>325</v>
      </c>
      <c r="L958" s="40"/>
    </row>
    <row r="959" ht="22.5" customHeight="1">
      <c r="C959" s="19" t="s">
        <v>3341</v>
      </c>
      <c r="D959" s="39" t="s">
        <v>3409</v>
      </c>
      <c r="E959" s="43" t="s">
        <v>3410</v>
      </c>
      <c r="F959" s="43" t="s">
        <v>3411</v>
      </c>
      <c r="G959" s="43" t="s">
        <v>279</v>
      </c>
      <c r="H959" s="44">
        <v>5.617684294E9</v>
      </c>
      <c r="I959" s="18">
        <f t="shared" si="9"/>
        <v>45943</v>
      </c>
      <c r="J959" s="19" t="s">
        <v>28</v>
      </c>
      <c r="K959" s="19" t="s">
        <v>325</v>
      </c>
      <c r="L959" s="40"/>
    </row>
    <row r="960" ht="22.5" customHeight="1">
      <c r="C960" s="19" t="s">
        <v>3341</v>
      </c>
      <c r="D960" s="39" t="s">
        <v>3412</v>
      </c>
      <c r="E960" s="43" t="s">
        <v>3413</v>
      </c>
      <c r="F960" s="43" t="s">
        <v>3414</v>
      </c>
      <c r="G960" s="43" t="s">
        <v>103</v>
      </c>
      <c r="H960" s="44">
        <v>9.547893545E9</v>
      </c>
      <c r="I960" s="18">
        <f t="shared" si="9"/>
        <v>45943</v>
      </c>
      <c r="J960" s="19" t="s">
        <v>28</v>
      </c>
      <c r="K960" s="19" t="s">
        <v>325</v>
      </c>
      <c r="L960" s="40"/>
    </row>
    <row r="961" ht="22.5" customHeight="1">
      <c r="C961" s="19" t="s">
        <v>3341</v>
      </c>
      <c r="D961" s="39" t="s">
        <v>3415</v>
      </c>
      <c r="E961" s="43" t="s">
        <v>3416</v>
      </c>
      <c r="F961" s="43" t="s">
        <v>3417</v>
      </c>
      <c r="G961" s="43" t="s">
        <v>224</v>
      </c>
      <c r="H961" s="44">
        <v>3.05951062E9</v>
      </c>
      <c r="I961" s="18">
        <f t="shared" si="9"/>
        <v>45943</v>
      </c>
      <c r="J961" s="19" t="s">
        <v>28</v>
      </c>
      <c r="K961" s="19" t="s">
        <v>325</v>
      </c>
      <c r="L961" s="40"/>
    </row>
    <row r="962" ht="22.5" customHeight="1">
      <c r="C962" s="19" t="s">
        <v>3341</v>
      </c>
      <c r="D962" s="39" t="s">
        <v>3418</v>
      </c>
      <c r="E962" s="43" t="s">
        <v>3419</v>
      </c>
      <c r="F962" s="43" t="s">
        <v>3420</v>
      </c>
      <c r="G962" s="43" t="s">
        <v>3421</v>
      </c>
      <c r="H962" s="44">
        <v>9.545918361E9</v>
      </c>
      <c r="I962" s="18">
        <f t="shared" si="9"/>
        <v>45943</v>
      </c>
      <c r="J962" s="19" t="s">
        <v>28</v>
      </c>
      <c r="K962" s="19" t="s">
        <v>325</v>
      </c>
      <c r="L962" s="40"/>
    </row>
    <row r="963" ht="22.5" customHeight="1">
      <c r="C963" s="19" t="s">
        <v>3341</v>
      </c>
      <c r="D963" s="39" t="s">
        <v>3422</v>
      </c>
      <c r="E963" s="43" t="s">
        <v>3423</v>
      </c>
      <c r="F963" s="43" t="s">
        <v>3424</v>
      </c>
      <c r="G963" s="43" t="s">
        <v>1781</v>
      </c>
      <c r="H963" s="44">
        <v>2.674073412E9</v>
      </c>
      <c r="I963" s="18">
        <f t="shared" si="9"/>
        <v>45943</v>
      </c>
      <c r="J963" s="19" t="s">
        <v>28</v>
      </c>
      <c r="K963" s="19" t="s">
        <v>325</v>
      </c>
      <c r="L963" s="40"/>
    </row>
    <row r="964" ht="22.5" customHeight="1">
      <c r="C964" s="19" t="s">
        <v>3341</v>
      </c>
      <c r="D964" s="39" t="s">
        <v>3425</v>
      </c>
      <c r="E964" s="43" t="s">
        <v>3426</v>
      </c>
      <c r="F964" s="43" t="s">
        <v>3427</v>
      </c>
      <c r="G964" s="43" t="s">
        <v>2296</v>
      </c>
      <c r="H964" s="44">
        <v>9.542998499E9</v>
      </c>
      <c r="I964" s="18">
        <f t="shared" si="9"/>
        <v>45943</v>
      </c>
      <c r="J964" s="19" t="s">
        <v>28</v>
      </c>
      <c r="K964" s="19" t="s">
        <v>325</v>
      </c>
      <c r="L964" s="40"/>
    </row>
    <row r="965" ht="22.5" customHeight="1">
      <c r="C965" s="19" t="s">
        <v>3341</v>
      </c>
      <c r="D965" s="39" t="s">
        <v>3428</v>
      </c>
      <c r="E965" s="43" t="s">
        <v>3429</v>
      </c>
      <c r="F965" s="43" t="s">
        <v>3430</v>
      </c>
      <c r="G965" s="43" t="s">
        <v>3431</v>
      </c>
      <c r="H965" s="44">
        <v>9.546817128E9</v>
      </c>
      <c r="I965" s="18">
        <f t="shared" si="9"/>
        <v>45943</v>
      </c>
      <c r="J965" s="19" t="s">
        <v>28</v>
      </c>
      <c r="K965" s="19" t="s">
        <v>325</v>
      </c>
      <c r="L965" s="40"/>
    </row>
    <row r="966" ht="22.5" customHeight="1">
      <c r="C966" s="19" t="s">
        <v>3341</v>
      </c>
      <c r="D966" s="39" t="s">
        <v>3432</v>
      </c>
      <c r="E966" s="43" t="s">
        <v>3433</v>
      </c>
      <c r="F966" s="43" t="s">
        <v>3434</v>
      </c>
      <c r="G966" s="43" t="s">
        <v>72</v>
      </c>
      <c r="H966" s="42" t="s">
        <v>3435</v>
      </c>
      <c r="I966" s="18">
        <f t="shared" si="9"/>
        <v>45943</v>
      </c>
      <c r="J966" s="19" t="s">
        <v>28</v>
      </c>
      <c r="K966" s="19" t="s">
        <v>325</v>
      </c>
      <c r="L966" s="40"/>
    </row>
    <row r="967" ht="22.5" customHeight="1">
      <c r="C967" s="19" t="s">
        <v>3341</v>
      </c>
      <c r="D967" s="39" t="s">
        <v>3436</v>
      </c>
      <c r="E967" s="43" t="s">
        <v>3437</v>
      </c>
      <c r="F967" s="43" t="s">
        <v>3438</v>
      </c>
      <c r="G967" s="43" t="s">
        <v>269</v>
      </c>
      <c r="H967" s="42" t="s">
        <v>3439</v>
      </c>
      <c r="I967" s="18">
        <f t="shared" si="9"/>
        <v>45943</v>
      </c>
      <c r="J967" s="19" t="s">
        <v>28</v>
      </c>
      <c r="K967" s="19" t="s">
        <v>325</v>
      </c>
      <c r="L967" s="40"/>
    </row>
    <row r="968" ht="22.5" customHeight="1">
      <c r="C968" s="19" t="s">
        <v>3341</v>
      </c>
      <c r="D968" s="39" t="s">
        <v>3440</v>
      </c>
      <c r="E968" s="43" t="s">
        <v>3441</v>
      </c>
      <c r="F968" s="43" t="s">
        <v>3442</v>
      </c>
      <c r="G968" s="43" t="s">
        <v>131</v>
      </c>
      <c r="H968" s="42" t="s">
        <v>3443</v>
      </c>
      <c r="I968" s="18">
        <f t="shared" si="9"/>
        <v>45943</v>
      </c>
      <c r="J968" s="19" t="s">
        <v>28</v>
      </c>
      <c r="K968" s="19" t="s">
        <v>325</v>
      </c>
      <c r="L968" s="40"/>
    </row>
    <row r="969" ht="22.5" customHeight="1">
      <c r="C969" s="19" t="s">
        <v>3341</v>
      </c>
      <c r="D969" s="39" t="s">
        <v>3444</v>
      </c>
      <c r="E969" s="43" t="s">
        <v>3445</v>
      </c>
      <c r="F969" s="43" t="s">
        <v>3446</v>
      </c>
      <c r="G969" s="43" t="s">
        <v>346</v>
      </c>
      <c r="H969" s="44">
        <v>3.056131768E9</v>
      </c>
      <c r="I969" s="18">
        <f t="shared" si="9"/>
        <v>45943</v>
      </c>
      <c r="J969" s="19" t="s">
        <v>28</v>
      </c>
      <c r="K969" s="19" t="s">
        <v>325</v>
      </c>
      <c r="L969" s="40"/>
    </row>
    <row r="970" ht="22.5" customHeight="1">
      <c r="C970" s="19" t="s">
        <v>3341</v>
      </c>
      <c r="D970" s="39" t="s">
        <v>3447</v>
      </c>
      <c r="E970" s="43" t="s">
        <v>3448</v>
      </c>
      <c r="F970" s="43" t="s">
        <v>3449</v>
      </c>
      <c r="G970" s="43" t="s">
        <v>360</v>
      </c>
      <c r="H970" s="42" t="s">
        <v>3450</v>
      </c>
      <c r="I970" s="18">
        <f t="shared" si="9"/>
        <v>45943</v>
      </c>
      <c r="J970" s="19" t="s">
        <v>28</v>
      </c>
      <c r="K970" s="19" t="s">
        <v>325</v>
      </c>
      <c r="L970" s="40"/>
    </row>
    <row r="971" ht="22.5" customHeight="1">
      <c r="C971" s="19" t="s">
        <v>3341</v>
      </c>
      <c r="D971" s="39" t="s">
        <v>3451</v>
      </c>
      <c r="E971" s="43" t="s">
        <v>3452</v>
      </c>
      <c r="F971" s="43" t="s">
        <v>3453</v>
      </c>
      <c r="G971" s="43" t="s">
        <v>62</v>
      </c>
      <c r="H971" s="42" t="s">
        <v>3454</v>
      </c>
      <c r="I971" s="18">
        <f t="shared" si="9"/>
        <v>45943</v>
      </c>
      <c r="J971" s="19" t="s">
        <v>28</v>
      </c>
      <c r="K971" s="19" t="s">
        <v>325</v>
      </c>
      <c r="L971" s="40"/>
    </row>
    <row r="972" ht="22.5" customHeight="1">
      <c r="C972" s="19" t="s">
        <v>3341</v>
      </c>
      <c r="D972" s="39" t="s">
        <v>3455</v>
      </c>
      <c r="E972" s="43" t="s">
        <v>3456</v>
      </c>
      <c r="F972" s="43" t="s">
        <v>3457</v>
      </c>
      <c r="G972" s="43" t="s">
        <v>1010</v>
      </c>
      <c r="H972" s="44">
        <v>9.542825054E9</v>
      </c>
      <c r="I972" s="18">
        <f t="shared" si="9"/>
        <v>45943</v>
      </c>
      <c r="J972" s="19" t="s">
        <v>28</v>
      </c>
      <c r="K972" s="19" t="s">
        <v>325</v>
      </c>
      <c r="L972" s="40"/>
    </row>
    <row r="973" ht="22.5" customHeight="1">
      <c r="C973" s="19" t="s">
        <v>3341</v>
      </c>
      <c r="D973" s="39" t="s">
        <v>3458</v>
      </c>
      <c r="E973" s="43" t="s">
        <v>3459</v>
      </c>
      <c r="F973" s="43" t="s">
        <v>3460</v>
      </c>
      <c r="G973" s="43" t="s">
        <v>26</v>
      </c>
      <c r="H973" s="42" t="s">
        <v>3461</v>
      </c>
      <c r="I973" s="18">
        <f t="shared" si="9"/>
        <v>45943</v>
      </c>
      <c r="J973" s="19" t="s">
        <v>28</v>
      </c>
      <c r="K973" s="19" t="s">
        <v>325</v>
      </c>
      <c r="L973" s="40"/>
    </row>
    <row r="974" ht="22.5" customHeight="1">
      <c r="C974" s="19" t="s">
        <v>3341</v>
      </c>
      <c r="D974" s="39" t="s">
        <v>3462</v>
      </c>
      <c r="E974" s="43" t="s">
        <v>3463</v>
      </c>
      <c r="F974" s="43" t="s">
        <v>3464</v>
      </c>
      <c r="G974" s="43" t="s">
        <v>42</v>
      </c>
      <c r="H974" s="42" t="s">
        <v>3465</v>
      </c>
      <c r="I974" s="18">
        <f t="shared" si="9"/>
        <v>45943</v>
      </c>
      <c r="J974" s="19" t="s">
        <v>28</v>
      </c>
      <c r="K974" s="19" t="s">
        <v>325</v>
      </c>
      <c r="L974" s="40"/>
    </row>
    <row r="975" ht="22.5" customHeight="1">
      <c r="C975" s="19" t="s">
        <v>3341</v>
      </c>
      <c r="D975" s="39" t="s">
        <v>3466</v>
      </c>
      <c r="E975" s="43" t="s">
        <v>3467</v>
      </c>
      <c r="F975" s="43" t="s">
        <v>3468</v>
      </c>
      <c r="G975" s="43" t="s">
        <v>57</v>
      </c>
      <c r="H975" s="42" t="s">
        <v>3469</v>
      </c>
      <c r="I975" s="18">
        <f t="shared" si="9"/>
        <v>45943</v>
      </c>
      <c r="J975" s="19" t="s">
        <v>28</v>
      </c>
      <c r="K975" s="19" t="s">
        <v>325</v>
      </c>
      <c r="L975" s="40"/>
    </row>
    <row r="976" ht="22.5" customHeight="1">
      <c r="C976" s="19" t="s">
        <v>3341</v>
      </c>
      <c r="D976" s="39" t="s">
        <v>3470</v>
      </c>
      <c r="E976" s="43" t="s">
        <v>3471</v>
      </c>
      <c r="F976" s="43" t="s">
        <v>3472</v>
      </c>
      <c r="G976" s="43" t="s">
        <v>2558</v>
      </c>
      <c r="H976" s="44">
        <v>7.328040779E9</v>
      </c>
      <c r="I976" s="18">
        <f t="shared" si="9"/>
        <v>45943</v>
      </c>
      <c r="J976" s="19" t="s">
        <v>28</v>
      </c>
      <c r="K976" s="19" t="s">
        <v>325</v>
      </c>
      <c r="L976" s="40"/>
    </row>
    <row r="977" ht="22.5" customHeight="1">
      <c r="C977" s="19" t="s">
        <v>3341</v>
      </c>
      <c r="D977" s="39" t="s">
        <v>3473</v>
      </c>
      <c r="E977" s="43" t="s">
        <v>3474</v>
      </c>
      <c r="F977" s="43" t="s">
        <v>3475</v>
      </c>
      <c r="G977" s="43" t="s">
        <v>97</v>
      </c>
      <c r="H977" s="44">
        <v>9.546816714E9</v>
      </c>
      <c r="I977" s="18">
        <f t="shared" si="9"/>
        <v>45943</v>
      </c>
      <c r="J977" s="19" t="s">
        <v>28</v>
      </c>
      <c r="K977" s="19" t="s">
        <v>325</v>
      </c>
      <c r="L977" s="40"/>
    </row>
    <row r="978" ht="22.5" customHeight="1">
      <c r="C978" s="19" t="s">
        <v>3341</v>
      </c>
      <c r="D978" s="39" t="s">
        <v>3476</v>
      </c>
      <c r="E978" s="43" t="s">
        <v>3477</v>
      </c>
      <c r="F978" s="43" t="s">
        <v>3478</v>
      </c>
      <c r="G978" s="43" t="s">
        <v>938</v>
      </c>
      <c r="H978" s="44">
        <v>9.542247412E9</v>
      </c>
      <c r="I978" s="18">
        <f t="shared" si="9"/>
        <v>45943</v>
      </c>
      <c r="J978" s="19" t="s">
        <v>28</v>
      </c>
      <c r="K978" s="19" t="s">
        <v>325</v>
      </c>
      <c r="L978" s="40"/>
    </row>
    <row r="979" ht="22.5" customHeight="1">
      <c r="C979" s="19" t="s">
        <v>3341</v>
      </c>
      <c r="D979" s="39" t="s">
        <v>3479</v>
      </c>
      <c r="E979" s="43" t="s">
        <v>3480</v>
      </c>
      <c r="F979" s="43" t="s">
        <v>3481</v>
      </c>
      <c r="G979" s="43" t="s">
        <v>3482</v>
      </c>
      <c r="H979" s="44">
        <v>9.544212244E9</v>
      </c>
      <c r="I979" s="18">
        <f t="shared" si="9"/>
        <v>45943</v>
      </c>
      <c r="J979" s="19" t="s">
        <v>28</v>
      </c>
      <c r="K979" s="19" t="s">
        <v>325</v>
      </c>
      <c r="L979" s="40"/>
    </row>
    <row r="980" ht="22.5" customHeight="1">
      <c r="C980" s="19" t="s">
        <v>3341</v>
      </c>
      <c r="D980" s="39" t="s">
        <v>3483</v>
      </c>
      <c r="E980" s="43" t="s">
        <v>3484</v>
      </c>
      <c r="F980" s="43" t="s">
        <v>3485</v>
      </c>
      <c r="G980" s="43" t="s">
        <v>1795</v>
      </c>
      <c r="H980" s="42" t="s">
        <v>3486</v>
      </c>
      <c r="I980" s="18">
        <f t="shared" si="9"/>
        <v>45943</v>
      </c>
      <c r="J980" s="19" t="s">
        <v>28</v>
      </c>
      <c r="K980" s="19" t="s">
        <v>325</v>
      </c>
      <c r="L980" s="40"/>
    </row>
    <row r="981" ht="22.5" customHeight="1">
      <c r="C981" s="19" t="s">
        <v>3341</v>
      </c>
      <c r="D981" s="39" t="s">
        <v>3487</v>
      </c>
      <c r="E981" s="43" t="s">
        <v>3488</v>
      </c>
      <c r="F981" s="43" t="s">
        <v>3489</v>
      </c>
      <c r="G981" s="43" t="s">
        <v>377</v>
      </c>
      <c r="H981" s="44">
        <v>5.616746419E9</v>
      </c>
      <c r="I981" s="18">
        <f t="shared" si="9"/>
        <v>45943</v>
      </c>
      <c r="J981" s="19" t="s">
        <v>28</v>
      </c>
      <c r="K981" s="19" t="s">
        <v>325</v>
      </c>
      <c r="L981" s="40"/>
    </row>
    <row r="982" ht="22.5" customHeight="1">
      <c r="C982" s="19" t="s">
        <v>3341</v>
      </c>
      <c r="D982" s="39" t="s">
        <v>3490</v>
      </c>
      <c r="E982" s="43" t="s">
        <v>3491</v>
      </c>
      <c r="F982" s="43" t="s">
        <v>3492</v>
      </c>
      <c r="G982" s="43" t="s">
        <v>57</v>
      </c>
      <c r="H982" s="42" t="s">
        <v>3493</v>
      </c>
      <c r="I982" s="18">
        <f t="shared" si="9"/>
        <v>45943</v>
      </c>
      <c r="J982" s="19" t="s">
        <v>28</v>
      </c>
      <c r="K982" s="19" t="s">
        <v>325</v>
      </c>
      <c r="L982" s="40"/>
    </row>
    <row r="983" ht="22.5" customHeight="1">
      <c r="C983" s="19" t="s">
        <v>3341</v>
      </c>
      <c r="D983" s="39" t="s">
        <v>3494</v>
      </c>
      <c r="E983" s="43" t="s">
        <v>3495</v>
      </c>
      <c r="F983" s="43" t="s">
        <v>3496</v>
      </c>
      <c r="G983" s="43" t="s">
        <v>118</v>
      </c>
      <c r="H983" s="44">
        <v>9.544449749E9</v>
      </c>
      <c r="I983" s="18">
        <f t="shared" si="9"/>
        <v>45943</v>
      </c>
      <c r="J983" s="19" t="s">
        <v>28</v>
      </c>
      <c r="K983" s="19" t="s">
        <v>325</v>
      </c>
      <c r="L983" s="40"/>
    </row>
    <row r="984" ht="22.5" customHeight="1">
      <c r="C984" s="19" t="s">
        <v>3341</v>
      </c>
      <c r="D984" s="39" t="s">
        <v>3497</v>
      </c>
      <c r="E984" s="43" t="s">
        <v>3498</v>
      </c>
      <c r="F984" s="43" t="s">
        <v>3499</v>
      </c>
      <c r="G984" s="43" t="s">
        <v>301</v>
      </c>
      <c r="H984" s="44">
        <v>2.019217778E9</v>
      </c>
      <c r="I984" s="18">
        <f t="shared" si="9"/>
        <v>45943</v>
      </c>
      <c r="J984" s="19" t="s">
        <v>28</v>
      </c>
      <c r="K984" s="19" t="s">
        <v>325</v>
      </c>
      <c r="L984" s="40"/>
    </row>
    <row r="985" ht="22.5" customHeight="1">
      <c r="C985" s="19" t="s">
        <v>3500</v>
      </c>
      <c r="D985" s="39" t="s">
        <v>3501</v>
      </c>
      <c r="E985" s="43" t="s">
        <v>3502</v>
      </c>
      <c r="F985" s="43" t="s">
        <v>3503</v>
      </c>
      <c r="G985" s="43" t="s">
        <v>126</v>
      </c>
      <c r="H985" s="44">
        <v>9.5460028E9</v>
      </c>
      <c r="I985" s="18">
        <f t="shared" si="9"/>
        <v>45943</v>
      </c>
      <c r="J985" s="19" t="s">
        <v>28</v>
      </c>
      <c r="K985" s="19" t="s">
        <v>325</v>
      </c>
      <c r="L985" s="40"/>
    </row>
    <row r="986" ht="22.5" customHeight="1">
      <c r="C986" s="19" t="s">
        <v>3500</v>
      </c>
      <c r="D986" s="39" t="s">
        <v>3504</v>
      </c>
      <c r="E986" s="43" t="s">
        <v>3505</v>
      </c>
      <c r="F986" s="43" t="s">
        <v>3506</v>
      </c>
      <c r="G986" s="43" t="s">
        <v>360</v>
      </c>
      <c r="H986" s="44">
        <v>9.543037443E9</v>
      </c>
      <c r="I986" s="18">
        <f t="shared" si="9"/>
        <v>45943</v>
      </c>
      <c r="J986" s="19" t="s">
        <v>28</v>
      </c>
      <c r="K986" s="19" t="s">
        <v>325</v>
      </c>
      <c r="L986" s="40"/>
    </row>
    <row r="987" ht="22.5" customHeight="1">
      <c r="C987" s="19" t="s">
        <v>3500</v>
      </c>
      <c r="D987" s="39" t="s">
        <v>3507</v>
      </c>
      <c r="E987" s="43" t="s">
        <v>3508</v>
      </c>
      <c r="F987" s="43" t="s">
        <v>3509</v>
      </c>
      <c r="G987" s="43" t="s">
        <v>2664</v>
      </c>
      <c r="H987" s="42" t="s">
        <v>3510</v>
      </c>
      <c r="I987" s="18">
        <f t="shared" si="9"/>
        <v>45943</v>
      </c>
      <c r="J987" s="19" t="s">
        <v>28</v>
      </c>
      <c r="K987" s="19" t="s">
        <v>325</v>
      </c>
      <c r="L987" s="40"/>
    </row>
    <row r="988" ht="22.5" customHeight="1">
      <c r="C988" s="19" t="s">
        <v>3500</v>
      </c>
      <c r="D988" s="39" t="s">
        <v>3511</v>
      </c>
      <c r="E988" s="43" t="s">
        <v>3512</v>
      </c>
      <c r="F988" s="43" t="s">
        <v>3513</v>
      </c>
      <c r="G988" s="43" t="s">
        <v>62</v>
      </c>
      <c r="H988" s="44">
        <v>9.542960493E9</v>
      </c>
      <c r="I988" s="18">
        <f t="shared" si="9"/>
        <v>45943</v>
      </c>
      <c r="J988" s="19" t="s">
        <v>28</v>
      </c>
      <c r="K988" s="19" t="s">
        <v>325</v>
      </c>
      <c r="L988" s="4" t="s">
        <v>99</v>
      </c>
    </row>
    <row r="989" ht="22.5" customHeight="1">
      <c r="C989" s="19" t="s">
        <v>3500</v>
      </c>
      <c r="D989" s="39" t="s">
        <v>3514</v>
      </c>
      <c r="E989" s="43" t="s">
        <v>3515</v>
      </c>
      <c r="F989" s="28" t="s">
        <v>182</v>
      </c>
      <c r="G989" s="43" t="s">
        <v>72</v>
      </c>
      <c r="H989" s="44">
        <v>9.545306206E9</v>
      </c>
      <c r="I989" s="18">
        <f t="shared" si="9"/>
        <v>45943</v>
      </c>
      <c r="J989" s="19" t="s">
        <v>28</v>
      </c>
      <c r="K989" s="19" t="s">
        <v>325</v>
      </c>
      <c r="L989" s="40"/>
    </row>
    <row r="990" ht="22.5" customHeight="1">
      <c r="C990" s="19" t="s">
        <v>3500</v>
      </c>
      <c r="D990" s="39" t="s">
        <v>3516</v>
      </c>
      <c r="E990" s="43" t="s">
        <v>3517</v>
      </c>
      <c r="F990" s="43" t="s">
        <v>3518</v>
      </c>
      <c r="G990" s="43" t="s">
        <v>136</v>
      </c>
      <c r="H990" s="42" t="s">
        <v>3519</v>
      </c>
      <c r="I990" s="18">
        <f t="shared" si="9"/>
        <v>45943</v>
      </c>
      <c r="J990" s="19" t="s">
        <v>28</v>
      </c>
      <c r="K990" s="19" t="s">
        <v>325</v>
      </c>
      <c r="L990" s="40"/>
    </row>
    <row r="991" ht="22.5" customHeight="1">
      <c r="C991" s="19" t="s">
        <v>3500</v>
      </c>
      <c r="D991" s="39" t="s">
        <v>3520</v>
      </c>
      <c r="E991" s="43" t="s">
        <v>3521</v>
      </c>
      <c r="F991" s="43" t="s">
        <v>3522</v>
      </c>
      <c r="G991" s="43" t="s">
        <v>786</v>
      </c>
      <c r="H991" s="44">
        <v>9.543484226E9</v>
      </c>
      <c r="I991" s="18">
        <f t="shared" si="9"/>
        <v>45943</v>
      </c>
      <c r="J991" s="19" t="s">
        <v>28</v>
      </c>
      <c r="K991" s="19" t="s">
        <v>325</v>
      </c>
      <c r="L991" s="4" t="s">
        <v>99</v>
      </c>
    </row>
    <row r="992" ht="22.5" customHeight="1">
      <c r="C992" s="19" t="s">
        <v>3500</v>
      </c>
      <c r="D992" s="39" t="s">
        <v>3523</v>
      </c>
      <c r="E992" s="43" t="s">
        <v>3524</v>
      </c>
      <c r="F992" s="43" t="s">
        <v>3525</v>
      </c>
      <c r="G992" s="43" t="s">
        <v>108</v>
      </c>
      <c r="H992" s="44">
        <v>9.542471224E9</v>
      </c>
      <c r="I992" s="18">
        <f t="shared" si="9"/>
        <v>45943</v>
      </c>
      <c r="J992" s="19" t="s">
        <v>28</v>
      </c>
      <c r="K992" s="19" t="s">
        <v>325</v>
      </c>
      <c r="L992" s="40"/>
    </row>
    <row r="993" ht="22.5" customHeight="1">
      <c r="C993" s="19" t="s">
        <v>3500</v>
      </c>
      <c r="D993" s="39" t="s">
        <v>3526</v>
      </c>
      <c r="E993" s="43" t="s">
        <v>3527</v>
      </c>
      <c r="F993" s="43" t="s">
        <v>3528</v>
      </c>
      <c r="G993" s="43" t="s">
        <v>3529</v>
      </c>
      <c r="H993" s="44">
        <v>5.617013098E9</v>
      </c>
      <c r="I993" s="18">
        <f t="shared" si="9"/>
        <v>45943</v>
      </c>
      <c r="J993" s="19" t="s">
        <v>28</v>
      </c>
      <c r="K993" s="19" t="s">
        <v>325</v>
      </c>
      <c r="L993" s="40"/>
    </row>
    <row r="994" ht="22.5" customHeight="1">
      <c r="C994" s="19" t="s">
        <v>3500</v>
      </c>
      <c r="D994" s="39" t="s">
        <v>3530</v>
      </c>
      <c r="E994" s="43" t="s">
        <v>3531</v>
      </c>
      <c r="F994" s="43" t="s">
        <v>2951</v>
      </c>
      <c r="G994" s="43" t="s">
        <v>77</v>
      </c>
      <c r="H994" s="44">
        <v>9.084489228E9</v>
      </c>
      <c r="I994" s="18">
        <f t="shared" si="9"/>
        <v>45943</v>
      </c>
      <c r="J994" s="19" t="s">
        <v>28</v>
      </c>
      <c r="K994" s="19" t="s">
        <v>325</v>
      </c>
      <c r="L994" s="40"/>
    </row>
    <row r="995" ht="22.5" customHeight="1">
      <c r="C995" s="19" t="s">
        <v>3500</v>
      </c>
      <c r="D995" s="39" t="s">
        <v>3532</v>
      </c>
      <c r="E995" s="43" t="s">
        <v>3533</v>
      </c>
      <c r="F995" s="43" t="s">
        <v>557</v>
      </c>
      <c r="G995" s="43" t="s">
        <v>269</v>
      </c>
      <c r="H995" s="44">
        <v>9.543301047E9</v>
      </c>
      <c r="I995" s="18">
        <f t="shared" si="9"/>
        <v>45943</v>
      </c>
      <c r="J995" s="19" t="s">
        <v>28</v>
      </c>
      <c r="K995" s="19" t="s">
        <v>325</v>
      </c>
      <c r="L995" s="40"/>
    </row>
    <row r="996" ht="22.5" customHeight="1">
      <c r="C996" s="19" t="s">
        <v>3500</v>
      </c>
      <c r="D996" s="39" t="s">
        <v>3534</v>
      </c>
      <c r="E996" s="43" t="s">
        <v>3535</v>
      </c>
      <c r="F996" s="43" t="s">
        <v>3536</v>
      </c>
      <c r="G996" s="43" t="s">
        <v>67</v>
      </c>
      <c r="H996" s="44">
        <v>9.546610621E9</v>
      </c>
      <c r="I996" s="18">
        <f t="shared" si="9"/>
        <v>45943</v>
      </c>
      <c r="J996" s="19" t="s">
        <v>28</v>
      </c>
      <c r="K996" s="19" t="s">
        <v>325</v>
      </c>
      <c r="L996" s="40"/>
    </row>
    <row r="997" ht="22.5" customHeight="1">
      <c r="C997" s="19" t="s">
        <v>3500</v>
      </c>
      <c r="D997" s="39" t="s">
        <v>3537</v>
      </c>
      <c r="E997" s="43" t="s">
        <v>3538</v>
      </c>
      <c r="F997" s="43" t="s">
        <v>3539</v>
      </c>
      <c r="G997" s="43" t="s">
        <v>152</v>
      </c>
      <c r="H997" s="44">
        <v>9.546953434E9</v>
      </c>
      <c r="I997" s="18">
        <f t="shared" si="9"/>
        <v>45943</v>
      </c>
      <c r="J997" s="19" t="s">
        <v>28</v>
      </c>
      <c r="K997" s="19" t="s">
        <v>325</v>
      </c>
      <c r="L997" s="40"/>
    </row>
    <row r="998" ht="22.5" customHeight="1">
      <c r="C998" s="19" t="s">
        <v>1296</v>
      </c>
      <c r="D998" s="39" t="s">
        <v>3501</v>
      </c>
      <c r="E998" s="43" t="s">
        <v>3540</v>
      </c>
      <c r="F998" s="43" t="s">
        <v>3541</v>
      </c>
      <c r="G998" s="43" t="s">
        <v>131</v>
      </c>
      <c r="H998" s="44">
        <v>9.544893066E9</v>
      </c>
      <c r="I998" s="18">
        <f t="shared" si="9"/>
        <v>45943</v>
      </c>
      <c r="J998" s="19" t="s">
        <v>28</v>
      </c>
      <c r="K998" s="19" t="s">
        <v>325</v>
      </c>
      <c r="L998" s="40"/>
    </row>
    <row r="999" ht="22.5" customHeight="1">
      <c r="C999" s="19" t="s">
        <v>1296</v>
      </c>
      <c r="D999" s="39" t="s">
        <v>3504</v>
      </c>
      <c r="E999" s="43" t="s">
        <v>3542</v>
      </c>
      <c r="F999" s="43" t="s">
        <v>3543</v>
      </c>
      <c r="G999" s="43" t="s">
        <v>1781</v>
      </c>
      <c r="H999" s="42" t="s">
        <v>3544</v>
      </c>
      <c r="I999" s="18">
        <f t="shared" si="9"/>
        <v>45943</v>
      </c>
      <c r="J999" s="19" t="s">
        <v>28</v>
      </c>
      <c r="K999" s="19" t="s">
        <v>325</v>
      </c>
      <c r="L999" s="4" t="s">
        <v>99</v>
      </c>
    </row>
    <row r="1000" ht="22.5" customHeight="1">
      <c r="C1000" s="19" t="s">
        <v>1296</v>
      </c>
      <c r="D1000" s="39" t="s">
        <v>3507</v>
      </c>
      <c r="E1000" s="43" t="s">
        <v>3545</v>
      </c>
      <c r="F1000" s="43" t="s">
        <v>3536</v>
      </c>
      <c r="G1000" s="43" t="s">
        <v>67</v>
      </c>
      <c r="H1000" s="42" t="s">
        <v>3546</v>
      </c>
      <c r="I1000" s="18">
        <f t="shared" si="9"/>
        <v>45943</v>
      </c>
      <c r="J1000" s="19" t="s">
        <v>28</v>
      </c>
      <c r="K1000" s="19" t="s">
        <v>325</v>
      </c>
      <c r="L1000" s="40"/>
    </row>
    <row r="1001" ht="22.5" customHeight="1">
      <c r="C1001" s="19" t="s">
        <v>1296</v>
      </c>
      <c r="D1001" s="39" t="s">
        <v>3511</v>
      </c>
      <c r="E1001" s="43" t="s">
        <v>3547</v>
      </c>
      <c r="F1001" s="43" t="s">
        <v>3548</v>
      </c>
      <c r="G1001" s="43" t="s">
        <v>3549</v>
      </c>
      <c r="H1001" s="44">
        <v>2.672066266E9</v>
      </c>
      <c r="I1001" s="18">
        <f t="shared" si="9"/>
        <v>45943</v>
      </c>
      <c r="J1001" s="19" t="s">
        <v>28</v>
      </c>
      <c r="K1001" s="19" t="s">
        <v>325</v>
      </c>
      <c r="L1001" s="40"/>
    </row>
    <row r="1002" ht="22.5" customHeight="1">
      <c r="C1002" s="19" t="s">
        <v>1296</v>
      </c>
      <c r="D1002" s="39" t="s">
        <v>3514</v>
      </c>
      <c r="E1002" s="43" t="s">
        <v>3550</v>
      </c>
      <c r="F1002" s="43" t="s">
        <v>3551</v>
      </c>
      <c r="G1002" s="43" t="s">
        <v>72</v>
      </c>
      <c r="H1002" s="42" t="s">
        <v>3552</v>
      </c>
      <c r="I1002" s="18">
        <f t="shared" si="9"/>
        <v>45943</v>
      </c>
      <c r="J1002" s="19" t="s">
        <v>28</v>
      </c>
      <c r="K1002" s="19" t="s">
        <v>325</v>
      </c>
      <c r="L1002" s="40"/>
    </row>
    <row r="1003" ht="22.5" customHeight="1">
      <c r="C1003" s="19" t="s">
        <v>1296</v>
      </c>
      <c r="D1003" s="39" t="s">
        <v>3516</v>
      </c>
      <c r="E1003" s="43" t="s">
        <v>3553</v>
      </c>
      <c r="F1003" s="43" t="s">
        <v>3554</v>
      </c>
      <c r="G1003" s="43" t="s">
        <v>1043</v>
      </c>
      <c r="H1003" s="42" t="s">
        <v>3555</v>
      </c>
      <c r="I1003" s="18">
        <f t="shared" si="9"/>
        <v>45943</v>
      </c>
      <c r="J1003" s="19" t="s">
        <v>28</v>
      </c>
      <c r="K1003" s="19" t="s">
        <v>325</v>
      </c>
      <c r="L1003" s="40"/>
    </row>
    <row r="1004" ht="22.5" customHeight="1">
      <c r="C1004" s="19" t="s">
        <v>1296</v>
      </c>
      <c r="D1004" s="39" t="s">
        <v>3520</v>
      </c>
      <c r="E1004" s="43" t="s">
        <v>3556</v>
      </c>
      <c r="F1004" s="43" t="s">
        <v>3557</v>
      </c>
      <c r="G1004" s="43" t="s">
        <v>136</v>
      </c>
      <c r="H1004" s="42" t="s">
        <v>3558</v>
      </c>
      <c r="I1004" s="18">
        <f t="shared" si="9"/>
        <v>45943</v>
      </c>
      <c r="J1004" s="19" t="s">
        <v>28</v>
      </c>
      <c r="K1004" s="19" t="s">
        <v>325</v>
      </c>
      <c r="L1004" s="40"/>
    </row>
    <row r="1005" ht="22.5" customHeight="1">
      <c r="C1005" s="19" t="s">
        <v>1296</v>
      </c>
      <c r="D1005" s="39" t="s">
        <v>3523</v>
      </c>
      <c r="E1005" s="43" t="s">
        <v>3559</v>
      </c>
      <c r="F1005" s="43" t="s">
        <v>3560</v>
      </c>
      <c r="G1005" s="43" t="s">
        <v>553</v>
      </c>
      <c r="H1005" s="44">
        <v>3.055568211E9</v>
      </c>
      <c r="I1005" s="18">
        <f t="shared" si="9"/>
        <v>45943</v>
      </c>
      <c r="J1005" s="19" t="s">
        <v>28</v>
      </c>
      <c r="K1005" s="19" t="s">
        <v>325</v>
      </c>
      <c r="L1005" s="40"/>
    </row>
    <row r="1006" ht="22.5" customHeight="1">
      <c r="C1006" s="19" t="s">
        <v>1296</v>
      </c>
      <c r="D1006" s="39" t="s">
        <v>3526</v>
      </c>
      <c r="E1006" s="43" t="s">
        <v>3561</v>
      </c>
      <c r="F1006" s="43" t="s">
        <v>3562</v>
      </c>
      <c r="G1006" s="43" t="s">
        <v>152</v>
      </c>
      <c r="H1006" s="42" t="s">
        <v>3563</v>
      </c>
      <c r="I1006" s="18">
        <f t="shared" si="9"/>
        <v>45943</v>
      </c>
      <c r="J1006" s="19" t="s">
        <v>28</v>
      </c>
      <c r="K1006" s="19" t="s">
        <v>325</v>
      </c>
      <c r="L1006" s="40"/>
    </row>
    <row r="1007" ht="22.5" customHeight="1">
      <c r="C1007" s="19" t="s">
        <v>1296</v>
      </c>
      <c r="D1007" s="39" t="s">
        <v>3530</v>
      </c>
      <c r="E1007" s="43" t="s">
        <v>3564</v>
      </c>
      <c r="F1007" s="43" t="s">
        <v>3565</v>
      </c>
      <c r="G1007" s="43" t="s">
        <v>1832</v>
      </c>
      <c r="H1007" s="44">
        <v>5.618883586E9</v>
      </c>
      <c r="I1007" s="18">
        <f t="shared" si="9"/>
        <v>45943</v>
      </c>
      <c r="J1007" s="19" t="s">
        <v>28</v>
      </c>
      <c r="K1007" s="19" t="s">
        <v>325</v>
      </c>
      <c r="L1007" s="40"/>
    </row>
    <row r="1008" ht="22.5" customHeight="1">
      <c r="C1008" s="19" t="s">
        <v>1296</v>
      </c>
      <c r="D1008" s="39" t="s">
        <v>3532</v>
      </c>
      <c r="E1008" s="43" t="s">
        <v>3566</v>
      </c>
      <c r="F1008" s="43" t="s">
        <v>3567</v>
      </c>
      <c r="G1008" s="43" t="s">
        <v>113</v>
      </c>
      <c r="H1008" s="42" t="s">
        <v>3568</v>
      </c>
      <c r="I1008" s="18">
        <f t="shared" si="9"/>
        <v>45943</v>
      </c>
      <c r="J1008" s="19" t="s">
        <v>28</v>
      </c>
      <c r="K1008" s="19" t="s">
        <v>325</v>
      </c>
      <c r="L1008" s="40"/>
    </row>
    <row r="1009" ht="22.5" customHeight="1">
      <c r="C1009" s="19" t="s">
        <v>1296</v>
      </c>
      <c r="D1009" s="39" t="s">
        <v>3534</v>
      </c>
      <c r="E1009" s="43" t="s">
        <v>3569</v>
      </c>
      <c r="F1009" s="43" t="s">
        <v>3570</v>
      </c>
      <c r="G1009" s="43" t="s">
        <v>360</v>
      </c>
      <c r="H1009" s="42" t="s">
        <v>3571</v>
      </c>
      <c r="I1009" s="18">
        <f t="shared" si="9"/>
        <v>45943</v>
      </c>
      <c r="J1009" s="19" t="s">
        <v>28</v>
      </c>
      <c r="K1009" s="19" t="s">
        <v>325</v>
      </c>
      <c r="L1009" s="40"/>
    </row>
    <row r="1010" ht="22.5" customHeight="1">
      <c r="C1010" s="19" t="s">
        <v>1296</v>
      </c>
      <c r="D1010" s="39" t="s">
        <v>3537</v>
      </c>
      <c r="E1010" s="43" t="s">
        <v>3572</v>
      </c>
      <c r="F1010" s="43" t="s">
        <v>3573</v>
      </c>
      <c r="G1010" s="43" t="s">
        <v>259</v>
      </c>
      <c r="H1010" s="44">
        <v>7.322002736E9</v>
      </c>
      <c r="I1010" s="18">
        <f t="shared" si="9"/>
        <v>45943</v>
      </c>
      <c r="J1010" s="19" t="s">
        <v>28</v>
      </c>
      <c r="K1010" s="19" t="s">
        <v>325</v>
      </c>
      <c r="L1010" s="40"/>
    </row>
    <row r="1011" ht="22.5" customHeight="1">
      <c r="C1011" s="19" t="s">
        <v>1296</v>
      </c>
      <c r="D1011" s="39" t="s">
        <v>3574</v>
      </c>
      <c r="E1011" s="43" t="s">
        <v>3575</v>
      </c>
      <c r="F1011" s="43" t="s">
        <v>3576</v>
      </c>
      <c r="G1011" s="43" t="s">
        <v>82</v>
      </c>
      <c r="H1011" s="42" t="s">
        <v>3577</v>
      </c>
      <c r="I1011" s="18">
        <f t="shared" si="9"/>
        <v>45943</v>
      </c>
      <c r="J1011" s="19" t="s">
        <v>28</v>
      </c>
      <c r="K1011" s="19" t="s">
        <v>325</v>
      </c>
      <c r="L1011" s="40"/>
    </row>
    <row r="1012" ht="22.5" customHeight="1">
      <c r="C1012" s="19" t="s">
        <v>1296</v>
      </c>
      <c r="D1012" s="39" t="s">
        <v>3578</v>
      </c>
      <c r="E1012" s="43" t="s">
        <v>3579</v>
      </c>
      <c r="F1012" s="43" t="s">
        <v>3580</v>
      </c>
      <c r="G1012" s="43" t="s">
        <v>108</v>
      </c>
      <c r="H1012" s="42" t="s">
        <v>3581</v>
      </c>
      <c r="I1012" s="18">
        <f t="shared" si="9"/>
        <v>45943</v>
      </c>
      <c r="J1012" s="19" t="s">
        <v>28</v>
      </c>
      <c r="K1012" s="19" t="s">
        <v>325</v>
      </c>
      <c r="L1012" s="40"/>
    </row>
    <row r="1013" ht="22.5" customHeight="1">
      <c r="C1013" s="19" t="s">
        <v>1296</v>
      </c>
      <c r="D1013" s="39" t="s">
        <v>3582</v>
      </c>
      <c r="E1013" s="43" t="s">
        <v>3583</v>
      </c>
      <c r="F1013" s="43" t="s">
        <v>3584</v>
      </c>
      <c r="G1013" s="43" t="s">
        <v>224</v>
      </c>
      <c r="H1013" s="44">
        <v>9.546632124E9</v>
      </c>
      <c r="I1013" s="18">
        <f t="shared" si="9"/>
        <v>45943</v>
      </c>
      <c r="J1013" s="19" t="s">
        <v>28</v>
      </c>
      <c r="K1013" s="19" t="s">
        <v>325</v>
      </c>
      <c r="L1013" s="40"/>
    </row>
    <row r="1014" ht="22.5" customHeight="1">
      <c r="C1014" s="19" t="s">
        <v>1296</v>
      </c>
      <c r="D1014" s="39" t="s">
        <v>3585</v>
      </c>
      <c r="E1014" s="43" t="s">
        <v>3586</v>
      </c>
      <c r="F1014" s="43" t="s">
        <v>3464</v>
      </c>
      <c r="G1014" s="43" t="s">
        <v>42</v>
      </c>
      <c r="H1014" s="42" t="s">
        <v>3587</v>
      </c>
      <c r="I1014" s="18">
        <f t="shared" si="9"/>
        <v>45943</v>
      </c>
      <c r="J1014" s="19" t="s">
        <v>28</v>
      </c>
      <c r="K1014" s="19" t="s">
        <v>325</v>
      </c>
      <c r="L1014" s="40"/>
    </row>
    <row r="1015" ht="22.5" customHeight="1">
      <c r="C1015" s="19" t="s">
        <v>1296</v>
      </c>
      <c r="D1015" s="39" t="s">
        <v>3588</v>
      </c>
      <c r="E1015" s="43" t="s">
        <v>3589</v>
      </c>
      <c r="F1015" s="43" t="s">
        <v>3590</v>
      </c>
      <c r="G1015" s="43" t="s">
        <v>62</v>
      </c>
      <c r="H1015" s="42" t="s">
        <v>3591</v>
      </c>
      <c r="I1015" s="18">
        <f t="shared" si="9"/>
        <v>45943</v>
      </c>
      <c r="J1015" s="19" t="s">
        <v>28</v>
      </c>
      <c r="K1015" s="19" t="s">
        <v>325</v>
      </c>
      <c r="L1015" s="40"/>
    </row>
    <row r="1016" ht="22.5" customHeight="1">
      <c r="C1016" s="19" t="s">
        <v>1296</v>
      </c>
      <c r="D1016" s="39" t="s">
        <v>3592</v>
      </c>
      <c r="E1016" s="43" t="s">
        <v>3593</v>
      </c>
      <c r="F1016" s="43" t="s">
        <v>3594</v>
      </c>
      <c r="G1016" s="43" t="s">
        <v>2331</v>
      </c>
      <c r="H1016" s="44">
        <v>9.548923276E9</v>
      </c>
      <c r="I1016" s="18">
        <f t="shared" si="9"/>
        <v>45943</v>
      </c>
      <c r="J1016" s="19" t="s">
        <v>28</v>
      </c>
      <c r="K1016" s="19" t="s">
        <v>325</v>
      </c>
      <c r="L1016" s="40"/>
    </row>
    <row r="1017" ht="22.5" customHeight="1">
      <c r="C1017" s="19" t="s">
        <v>1296</v>
      </c>
      <c r="D1017" s="39" t="s">
        <v>3595</v>
      </c>
      <c r="E1017" s="43" t="s">
        <v>3596</v>
      </c>
      <c r="F1017" s="43" t="s">
        <v>3597</v>
      </c>
      <c r="G1017" s="43" t="s">
        <v>938</v>
      </c>
      <c r="H1017" s="42" t="s">
        <v>3598</v>
      </c>
      <c r="I1017" s="18">
        <f t="shared" si="9"/>
        <v>45943</v>
      </c>
      <c r="J1017" s="19" t="s">
        <v>28</v>
      </c>
      <c r="K1017" s="19" t="s">
        <v>325</v>
      </c>
      <c r="L1017" s="40"/>
    </row>
    <row r="1018" ht="22.5" customHeight="1">
      <c r="C1018" s="19" t="s">
        <v>1296</v>
      </c>
      <c r="D1018" s="39" t="s">
        <v>3599</v>
      </c>
      <c r="E1018" s="43" t="s">
        <v>3600</v>
      </c>
      <c r="F1018" s="43" t="s">
        <v>3601</v>
      </c>
      <c r="G1018" s="43" t="s">
        <v>2296</v>
      </c>
      <c r="H1018" s="42" t="s">
        <v>3602</v>
      </c>
      <c r="I1018" s="18">
        <f t="shared" si="9"/>
        <v>45943</v>
      </c>
      <c r="J1018" s="19" t="s">
        <v>28</v>
      </c>
      <c r="K1018" s="19" t="s">
        <v>325</v>
      </c>
      <c r="L1018" s="40"/>
    </row>
    <row r="1019" ht="22.5" customHeight="1">
      <c r="C1019" s="19" t="s">
        <v>1296</v>
      </c>
      <c r="D1019" s="39" t="s">
        <v>3603</v>
      </c>
      <c r="E1019" s="43" t="s">
        <v>3604</v>
      </c>
      <c r="F1019" s="43" t="s">
        <v>3605</v>
      </c>
      <c r="G1019" s="43" t="s">
        <v>781</v>
      </c>
      <c r="H1019" s="42" t="s">
        <v>3606</v>
      </c>
      <c r="I1019" s="18">
        <f t="shared" si="9"/>
        <v>45943</v>
      </c>
      <c r="J1019" s="19" t="s">
        <v>28</v>
      </c>
      <c r="K1019" s="19" t="s">
        <v>325</v>
      </c>
      <c r="L1019" s="40"/>
    </row>
    <row r="1020" ht="22.5" customHeight="1">
      <c r="C1020" s="19" t="s">
        <v>1296</v>
      </c>
      <c r="D1020" s="39" t="s">
        <v>3607</v>
      </c>
      <c r="E1020" s="43" t="s">
        <v>3608</v>
      </c>
      <c r="F1020" s="43" t="s">
        <v>3468</v>
      </c>
      <c r="G1020" s="43" t="s">
        <v>247</v>
      </c>
      <c r="H1020" s="42" t="s">
        <v>3609</v>
      </c>
      <c r="I1020" s="18">
        <f t="shared" si="9"/>
        <v>45943</v>
      </c>
      <c r="J1020" s="19" t="s">
        <v>28</v>
      </c>
      <c r="K1020" s="19" t="s">
        <v>325</v>
      </c>
      <c r="L1020" s="40"/>
    </row>
    <row r="1021" ht="22.5" customHeight="1">
      <c r="C1021" s="19" t="s">
        <v>1296</v>
      </c>
      <c r="D1021" s="39" t="s">
        <v>3610</v>
      </c>
      <c r="E1021" s="43" t="s">
        <v>3611</v>
      </c>
      <c r="F1021" s="43" t="s">
        <v>3612</v>
      </c>
      <c r="G1021" s="43" t="s">
        <v>346</v>
      </c>
      <c r="H1021" s="42" t="s">
        <v>3613</v>
      </c>
      <c r="I1021" s="18">
        <f t="shared" si="9"/>
        <v>45943</v>
      </c>
      <c r="J1021" s="19" t="s">
        <v>28</v>
      </c>
      <c r="K1021" s="19" t="s">
        <v>325</v>
      </c>
      <c r="L1021" s="40"/>
    </row>
    <row r="1022" ht="22.5" customHeight="1">
      <c r="C1022" s="19" t="s">
        <v>1296</v>
      </c>
      <c r="D1022" s="39" t="s">
        <v>3614</v>
      </c>
      <c r="E1022" s="43" t="s">
        <v>3615</v>
      </c>
      <c r="F1022" s="43" t="s">
        <v>3259</v>
      </c>
      <c r="G1022" s="43" t="s">
        <v>915</v>
      </c>
      <c r="H1022" s="42" t="s">
        <v>3616</v>
      </c>
      <c r="I1022" s="18">
        <f t="shared" si="9"/>
        <v>45943</v>
      </c>
      <c r="J1022" s="19" t="s">
        <v>28</v>
      </c>
      <c r="K1022" s="19" t="s">
        <v>325</v>
      </c>
      <c r="L1022" s="40"/>
    </row>
    <row r="1023" ht="22.5" customHeight="1">
      <c r="C1023" s="19" t="s">
        <v>1296</v>
      </c>
      <c r="D1023" s="39" t="s">
        <v>3617</v>
      </c>
      <c r="E1023" s="43" t="s">
        <v>3618</v>
      </c>
      <c r="F1023" s="43" t="s">
        <v>3619</v>
      </c>
      <c r="G1023" s="43" t="s">
        <v>57</v>
      </c>
      <c r="H1023" s="42" t="s">
        <v>3620</v>
      </c>
      <c r="I1023" s="18">
        <f t="shared" si="9"/>
        <v>45943</v>
      </c>
      <c r="J1023" s="19" t="s">
        <v>28</v>
      </c>
      <c r="K1023" s="19" t="s">
        <v>325</v>
      </c>
      <c r="L1023" s="40"/>
    </row>
    <row r="1024" ht="22.5" customHeight="1">
      <c r="C1024" s="19" t="s">
        <v>1296</v>
      </c>
      <c r="D1024" s="39" t="s">
        <v>3621</v>
      </c>
      <c r="E1024" s="43" t="s">
        <v>3622</v>
      </c>
      <c r="F1024" s="43" t="s">
        <v>3623</v>
      </c>
      <c r="G1024" s="43" t="s">
        <v>2655</v>
      </c>
      <c r="H1024" s="44">
        <v>9.543247291E9</v>
      </c>
      <c r="I1024" s="18">
        <f t="shared" si="9"/>
        <v>45943</v>
      </c>
      <c r="J1024" s="19" t="s">
        <v>28</v>
      </c>
      <c r="K1024" s="19" t="s">
        <v>325</v>
      </c>
      <c r="L1024" s="40"/>
    </row>
    <row r="1025" ht="22.5" customHeight="1">
      <c r="C1025" s="19" t="s">
        <v>1296</v>
      </c>
      <c r="D1025" s="39" t="s">
        <v>3624</v>
      </c>
      <c r="E1025" s="43" t="s">
        <v>3625</v>
      </c>
      <c r="F1025" s="43" t="s">
        <v>3626</v>
      </c>
      <c r="G1025" s="43" t="s">
        <v>622</v>
      </c>
      <c r="H1025" s="44">
        <v>9.544152562E9</v>
      </c>
      <c r="I1025" s="18">
        <f t="shared" si="9"/>
        <v>45943</v>
      </c>
      <c r="J1025" s="19" t="s">
        <v>28</v>
      </c>
      <c r="K1025" s="19" t="s">
        <v>325</v>
      </c>
      <c r="L1025" s="40"/>
    </row>
    <row r="1026" ht="22.5" customHeight="1">
      <c r="C1026" s="19" t="s">
        <v>1296</v>
      </c>
      <c r="D1026" s="39" t="s">
        <v>3627</v>
      </c>
      <c r="E1026" s="43" t="s">
        <v>3628</v>
      </c>
      <c r="F1026" s="43" t="s">
        <v>3629</v>
      </c>
      <c r="G1026" s="43" t="s">
        <v>47</v>
      </c>
      <c r="H1026" s="42" t="s">
        <v>3630</v>
      </c>
      <c r="I1026" s="18">
        <f t="shared" si="9"/>
        <v>45943</v>
      </c>
      <c r="J1026" s="19" t="s">
        <v>28</v>
      </c>
      <c r="K1026" s="19" t="s">
        <v>325</v>
      </c>
      <c r="L1026" s="40"/>
    </row>
    <row r="1027" ht="22.5" customHeight="1">
      <c r="C1027" s="19" t="s">
        <v>1296</v>
      </c>
      <c r="D1027" s="39" t="s">
        <v>3631</v>
      </c>
      <c r="E1027" s="43" t="s">
        <v>3632</v>
      </c>
      <c r="F1027" s="43" t="s">
        <v>3633</v>
      </c>
      <c r="G1027" s="43" t="s">
        <v>717</v>
      </c>
      <c r="H1027" s="44">
        <v>9.543691212E9</v>
      </c>
      <c r="I1027" s="18">
        <f t="shared" si="9"/>
        <v>45943</v>
      </c>
      <c r="J1027" s="19" t="s">
        <v>28</v>
      </c>
      <c r="K1027" s="19" t="s">
        <v>325</v>
      </c>
      <c r="L1027" s="40"/>
    </row>
    <row r="1028" ht="22.5" customHeight="1">
      <c r="C1028" s="19" t="s">
        <v>1296</v>
      </c>
      <c r="D1028" s="39" t="s">
        <v>3634</v>
      </c>
      <c r="E1028" s="43" t="s">
        <v>3635</v>
      </c>
      <c r="F1028" s="43" t="s">
        <v>3636</v>
      </c>
      <c r="G1028" s="43" t="s">
        <v>77</v>
      </c>
      <c r="H1028" s="42" t="s">
        <v>3637</v>
      </c>
      <c r="I1028" s="18">
        <f t="shared" si="9"/>
        <v>45943</v>
      </c>
      <c r="J1028" s="19" t="s">
        <v>28</v>
      </c>
      <c r="K1028" s="19" t="s">
        <v>325</v>
      </c>
      <c r="L1028" s="40"/>
    </row>
    <row r="1029" ht="22.5" customHeight="1">
      <c r="C1029" s="19" t="s">
        <v>1296</v>
      </c>
      <c r="D1029" s="39" t="s">
        <v>3638</v>
      </c>
      <c r="E1029" s="43" t="s">
        <v>3639</v>
      </c>
      <c r="F1029" s="43" t="s">
        <v>3640</v>
      </c>
      <c r="G1029" s="43" t="s">
        <v>2596</v>
      </c>
      <c r="H1029" s="44">
        <v>9.542145807E9</v>
      </c>
      <c r="I1029" s="18">
        <f t="shared" si="9"/>
        <v>45943</v>
      </c>
      <c r="J1029" s="19" t="s">
        <v>28</v>
      </c>
      <c r="K1029" s="19" t="s">
        <v>325</v>
      </c>
      <c r="L1029" s="40"/>
    </row>
    <row r="1030" ht="22.5" customHeight="1">
      <c r="C1030" s="19" t="s">
        <v>1296</v>
      </c>
      <c r="D1030" s="39" t="s">
        <v>3641</v>
      </c>
      <c r="E1030" s="43" t="s">
        <v>3642</v>
      </c>
      <c r="F1030" s="43" t="s">
        <v>3643</v>
      </c>
      <c r="G1030" s="43" t="s">
        <v>2323</v>
      </c>
      <c r="H1030" s="44">
        <v>7.863423339E9</v>
      </c>
      <c r="I1030" s="18">
        <f t="shared" si="9"/>
        <v>45943</v>
      </c>
      <c r="J1030" s="19" t="s">
        <v>28</v>
      </c>
      <c r="K1030" s="19" t="s">
        <v>325</v>
      </c>
      <c r="L1030" s="40"/>
    </row>
    <row r="1031" ht="22.5" customHeight="1">
      <c r="C1031" s="19" t="s">
        <v>1296</v>
      </c>
      <c r="D1031" s="39" t="s">
        <v>3644</v>
      </c>
      <c r="E1031" s="43" t="s">
        <v>3645</v>
      </c>
      <c r="F1031" s="43" t="s">
        <v>3536</v>
      </c>
      <c r="G1031" s="43" t="s">
        <v>170</v>
      </c>
      <c r="H1031" s="42" t="s">
        <v>3646</v>
      </c>
      <c r="I1031" s="18">
        <f t="shared" si="9"/>
        <v>45943</v>
      </c>
      <c r="J1031" s="19" t="s">
        <v>28</v>
      </c>
      <c r="K1031" s="19" t="s">
        <v>325</v>
      </c>
      <c r="L1031" s="40"/>
    </row>
    <row r="1032" ht="22.5" customHeight="1">
      <c r="C1032" s="19" t="s">
        <v>1296</v>
      </c>
      <c r="D1032" s="39" t="s">
        <v>3647</v>
      </c>
      <c r="E1032" s="43" t="s">
        <v>3648</v>
      </c>
      <c r="F1032" s="43" t="s">
        <v>2191</v>
      </c>
      <c r="G1032" s="43" t="s">
        <v>126</v>
      </c>
      <c r="H1032" s="42" t="s">
        <v>3649</v>
      </c>
      <c r="I1032" s="18">
        <f t="shared" si="9"/>
        <v>45943</v>
      </c>
      <c r="J1032" s="19" t="s">
        <v>28</v>
      </c>
      <c r="K1032" s="19" t="s">
        <v>325</v>
      </c>
      <c r="L1032" s="40"/>
    </row>
    <row r="1033" ht="22.5" customHeight="1">
      <c r="C1033" s="19" t="s">
        <v>1296</v>
      </c>
      <c r="D1033" s="39" t="s">
        <v>3650</v>
      </c>
      <c r="E1033" s="43" t="s">
        <v>3651</v>
      </c>
      <c r="F1033" s="43" t="s">
        <v>3652</v>
      </c>
      <c r="G1033" s="43" t="s">
        <v>118</v>
      </c>
      <c r="H1033" s="44">
        <v>7.742577785E9</v>
      </c>
      <c r="I1033" s="18">
        <f t="shared" si="9"/>
        <v>45943</v>
      </c>
      <c r="J1033" s="19" t="s">
        <v>28</v>
      </c>
      <c r="K1033" s="19" t="s">
        <v>325</v>
      </c>
      <c r="L1033" s="40"/>
    </row>
    <row r="1034" ht="22.5" customHeight="1">
      <c r="C1034" s="19" t="s">
        <v>1296</v>
      </c>
      <c r="D1034" s="39" t="s">
        <v>3653</v>
      </c>
      <c r="E1034" s="43" t="s">
        <v>3654</v>
      </c>
      <c r="F1034" s="43" t="s">
        <v>3655</v>
      </c>
      <c r="G1034" s="43" t="s">
        <v>377</v>
      </c>
      <c r="H1034" s="42" t="s">
        <v>3656</v>
      </c>
      <c r="I1034" s="18">
        <f t="shared" si="9"/>
        <v>45943</v>
      </c>
      <c r="J1034" s="19" t="s">
        <v>28</v>
      </c>
      <c r="K1034" s="19" t="s">
        <v>325</v>
      </c>
      <c r="L1034" s="40"/>
    </row>
    <row r="1035" ht="22.5" customHeight="1">
      <c r="C1035" s="19" t="s">
        <v>3657</v>
      </c>
      <c r="D1035" s="39" t="s">
        <v>3658</v>
      </c>
      <c r="E1035" s="43" t="s">
        <v>3659</v>
      </c>
      <c r="F1035" s="43" t="s">
        <v>3660</v>
      </c>
      <c r="G1035" s="43" t="s">
        <v>582</v>
      </c>
      <c r="H1035" s="44">
        <v>9.543614535E9</v>
      </c>
      <c r="I1035" s="18">
        <f t="shared" si="9"/>
        <v>45943</v>
      </c>
      <c r="J1035" s="19" t="s">
        <v>28</v>
      </c>
      <c r="K1035" s="19" t="s">
        <v>325</v>
      </c>
      <c r="L1035" s="40"/>
    </row>
    <row r="1036" ht="22.5" customHeight="1">
      <c r="C1036" s="19" t="s">
        <v>3657</v>
      </c>
      <c r="D1036" s="39" t="s">
        <v>3661</v>
      </c>
      <c r="E1036" s="43" t="s">
        <v>3662</v>
      </c>
      <c r="F1036" s="43" t="s">
        <v>3663</v>
      </c>
      <c r="G1036" s="43" t="s">
        <v>26</v>
      </c>
      <c r="H1036" s="42" t="s">
        <v>3664</v>
      </c>
      <c r="I1036" s="18">
        <f t="shared" si="9"/>
        <v>45943</v>
      </c>
      <c r="J1036" s="19" t="s">
        <v>28</v>
      </c>
      <c r="K1036" s="19" t="s">
        <v>325</v>
      </c>
      <c r="L1036" s="40"/>
    </row>
    <row r="1037" ht="22.5" customHeight="1">
      <c r="C1037" s="19" t="s">
        <v>3657</v>
      </c>
      <c r="D1037" s="39" t="s">
        <v>3665</v>
      </c>
      <c r="E1037" s="43" t="s">
        <v>3666</v>
      </c>
      <c r="F1037" s="43" t="s">
        <v>3667</v>
      </c>
      <c r="G1037" s="43" t="s">
        <v>118</v>
      </c>
      <c r="H1037" s="44">
        <v>9.54991354E9</v>
      </c>
      <c r="I1037" s="18">
        <f t="shared" si="9"/>
        <v>45943</v>
      </c>
      <c r="J1037" s="19" t="s">
        <v>28</v>
      </c>
      <c r="K1037" s="19" t="s">
        <v>325</v>
      </c>
      <c r="L1037" s="40"/>
    </row>
    <row r="1038" ht="22.5" customHeight="1">
      <c r="C1038" s="19" t="s">
        <v>3657</v>
      </c>
      <c r="D1038" s="39" t="s">
        <v>3668</v>
      </c>
      <c r="E1038" s="43" t="s">
        <v>3669</v>
      </c>
      <c r="F1038" s="43" t="s">
        <v>3670</v>
      </c>
      <c r="G1038" s="43" t="s">
        <v>377</v>
      </c>
      <c r="H1038" s="44">
        <v>9.54687762E9</v>
      </c>
      <c r="I1038" s="18">
        <f t="shared" si="9"/>
        <v>45943</v>
      </c>
      <c r="J1038" s="19" t="s">
        <v>28</v>
      </c>
      <c r="K1038" s="19" t="s">
        <v>325</v>
      </c>
      <c r="L1038" s="40"/>
    </row>
    <row r="1039" ht="22.5" customHeight="1">
      <c r="C1039" s="19" t="s">
        <v>3657</v>
      </c>
      <c r="D1039" s="39" t="s">
        <v>3671</v>
      </c>
      <c r="E1039" s="43" t="s">
        <v>3672</v>
      </c>
      <c r="F1039" s="43" t="s">
        <v>3673</v>
      </c>
      <c r="G1039" s="43" t="s">
        <v>47</v>
      </c>
      <c r="H1039" s="42" t="s">
        <v>3674</v>
      </c>
      <c r="I1039" s="18">
        <f t="shared" si="9"/>
        <v>45943</v>
      </c>
      <c r="J1039" s="19" t="s">
        <v>28</v>
      </c>
      <c r="K1039" s="19" t="s">
        <v>325</v>
      </c>
      <c r="L1039" s="40"/>
    </row>
    <row r="1040" ht="22.5" customHeight="1">
      <c r="C1040" s="19" t="s">
        <v>3657</v>
      </c>
      <c r="D1040" s="39" t="s">
        <v>3675</v>
      </c>
      <c r="E1040" s="43" t="s">
        <v>3676</v>
      </c>
      <c r="F1040" s="43" t="s">
        <v>3677</v>
      </c>
      <c r="G1040" s="43" t="s">
        <v>915</v>
      </c>
      <c r="H1040" s="44">
        <v>9.545790815E9</v>
      </c>
      <c r="I1040" s="18">
        <f t="shared" si="9"/>
        <v>45943</v>
      </c>
      <c r="J1040" s="19" t="s">
        <v>28</v>
      </c>
      <c r="K1040" s="19" t="s">
        <v>325</v>
      </c>
      <c r="L1040" s="4" t="s">
        <v>99</v>
      </c>
    </row>
    <row r="1041" ht="22.5" customHeight="1">
      <c r="C1041" s="19" t="s">
        <v>3657</v>
      </c>
      <c r="D1041" s="39" t="s">
        <v>3678</v>
      </c>
      <c r="E1041" s="43" t="s">
        <v>3679</v>
      </c>
      <c r="F1041" s="43" t="s">
        <v>3680</v>
      </c>
      <c r="G1041" s="43" t="s">
        <v>3681</v>
      </c>
      <c r="H1041" s="44">
        <v>5.612525897E9</v>
      </c>
      <c r="I1041" s="18">
        <f t="shared" si="9"/>
        <v>45943</v>
      </c>
      <c r="J1041" s="19" t="s">
        <v>28</v>
      </c>
      <c r="K1041" s="19" t="s">
        <v>325</v>
      </c>
      <c r="L1041" s="40"/>
    </row>
    <row r="1042" ht="22.5" customHeight="1">
      <c r="C1042" s="19" t="s">
        <v>3657</v>
      </c>
      <c r="D1042" s="39" t="s">
        <v>3682</v>
      </c>
      <c r="E1042" s="43" t="s">
        <v>3683</v>
      </c>
      <c r="F1042" s="43" t="s">
        <v>3684</v>
      </c>
      <c r="G1042" s="43" t="s">
        <v>67</v>
      </c>
      <c r="H1042" s="42" t="s">
        <v>3685</v>
      </c>
      <c r="I1042" s="18">
        <f t="shared" si="9"/>
        <v>45943</v>
      </c>
      <c r="J1042" s="19" t="s">
        <v>28</v>
      </c>
      <c r="K1042" s="19" t="s">
        <v>325</v>
      </c>
      <c r="L1042" s="40"/>
    </row>
    <row r="1043" ht="22.5" customHeight="1">
      <c r="C1043" s="19" t="s">
        <v>3657</v>
      </c>
      <c r="D1043" s="39" t="s">
        <v>3686</v>
      </c>
      <c r="E1043" s="43" t="s">
        <v>3687</v>
      </c>
      <c r="F1043" s="43" t="s">
        <v>3688</v>
      </c>
      <c r="G1043" s="43" t="s">
        <v>126</v>
      </c>
      <c r="H1043" s="44">
        <v>9.549070582E9</v>
      </c>
      <c r="I1043" s="18">
        <f t="shared" si="9"/>
        <v>45943</v>
      </c>
      <c r="J1043" s="19" t="s">
        <v>28</v>
      </c>
      <c r="K1043" s="19" t="s">
        <v>325</v>
      </c>
      <c r="L1043" s="40"/>
    </row>
    <row r="1044" ht="22.5" customHeight="1">
      <c r="C1044" s="19" t="s">
        <v>3657</v>
      </c>
      <c r="D1044" s="39" t="s">
        <v>3689</v>
      </c>
      <c r="E1044" s="43" t="s">
        <v>3690</v>
      </c>
      <c r="F1044" s="43" t="s">
        <v>3691</v>
      </c>
      <c r="G1044" s="43" t="s">
        <v>72</v>
      </c>
      <c r="H1044" s="42" t="s">
        <v>1096</v>
      </c>
      <c r="I1044" s="18">
        <f t="shared" si="9"/>
        <v>45943</v>
      </c>
      <c r="J1044" s="19" t="s">
        <v>28</v>
      </c>
      <c r="K1044" s="19" t="s">
        <v>325</v>
      </c>
      <c r="L1044" s="40"/>
    </row>
    <row r="1045" ht="22.5" customHeight="1">
      <c r="C1045" s="19" t="s">
        <v>3657</v>
      </c>
      <c r="D1045" s="39" t="s">
        <v>3692</v>
      </c>
      <c r="E1045" s="43" t="s">
        <v>3693</v>
      </c>
      <c r="F1045" s="43" t="s">
        <v>3694</v>
      </c>
      <c r="G1045" s="43" t="s">
        <v>346</v>
      </c>
      <c r="H1045" s="44">
        <v>1.262894604E10</v>
      </c>
      <c r="I1045" s="18">
        <f t="shared" si="9"/>
        <v>45943</v>
      </c>
      <c r="J1045" s="19" t="s">
        <v>28</v>
      </c>
      <c r="K1045" s="19" t="s">
        <v>325</v>
      </c>
      <c r="L1045" s="40"/>
    </row>
    <row r="1046" ht="22.5" customHeight="1">
      <c r="C1046" s="19" t="s">
        <v>3657</v>
      </c>
      <c r="D1046" s="39" t="s">
        <v>3695</v>
      </c>
      <c r="E1046" s="43" t="s">
        <v>3696</v>
      </c>
      <c r="F1046" s="43" t="s">
        <v>3697</v>
      </c>
      <c r="G1046" s="43" t="s">
        <v>301</v>
      </c>
      <c r="H1046" s="42" t="s">
        <v>3698</v>
      </c>
      <c r="I1046" s="18">
        <f t="shared" si="9"/>
        <v>45943</v>
      </c>
      <c r="J1046" s="19" t="s">
        <v>28</v>
      </c>
      <c r="K1046" s="19" t="s">
        <v>325</v>
      </c>
      <c r="L1046" s="4" t="s">
        <v>3699</v>
      </c>
    </row>
    <row r="1047" ht="22.5" customHeight="1">
      <c r="C1047" s="19" t="s">
        <v>3657</v>
      </c>
      <c r="D1047" s="39" t="s">
        <v>3700</v>
      </c>
      <c r="E1047" s="43" t="s">
        <v>3701</v>
      </c>
      <c r="F1047" s="43" t="s">
        <v>3702</v>
      </c>
      <c r="G1047" s="43" t="s">
        <v>77</v>
      </c>
      <c r="H1047" s="42" t="s">
        <v>3703</v>
      </c>
      <c r="I1047" s="18">
        <f t="shared" si="9"/>
        <v>45943</v>
      </c>
      <c r="J1047" s="19" t="s">
        <v>28</v>
      </c>
      <c r="K1047" s="19" t="s">
        <v>325</v>
      </c>
      <c r="L1047" s="40"/>
    </row>
    <row r="1048" ht="22.5" customHeight="1">
      <c r="C1048" s="19" t="s">
        <v>3657</v>
      </c>
      <c r="D1048" s="39" t="s">
        <v>3704</v>
      </c>
      <c r="E1048" s="43" t="s">
        <v>3705</v>
      </c>
      <c r="F1048" s="43" t="s">
        <v>3706</v>
      </c>
      <c r="G1048" s="43" t="s">
        <v>224</v>
      </c>
      <c r="H1048" s="44">
        <v>9.545946394E9</v>
      </c>
      <c r="I1048" s="18">
        <f t="shared" si="9"/>
        <v>45943</v>
      </c>
      <c r="J1048" s="19" t="s">
        <v>28</v>
      </c>
      <c r="K1048" s="19" t="s">
        <v>325</v>
      </c>
      <c r="L1048" s="40"/>
    </row>
    <row r="1049" ht="22.5" customHeight="1">
      <c r="C1049" s="19" t="s">
        <v>3657</v>
      </c>
      <c r="D1049" s="39" t="s">
        <v>3707</v>
      </c>
      <c r="E1049" s="43" t="s">
        <v>3708</v>
      </c>
      <c r="F1049" s="43" t="s">
        <v>759</v>
      </c>
      <c r="G1049" s="43" t="s">
        <v>57</v>
      </c>
      <c r="H1049" s="42" t="s">
        <v>3709</v>
      </c>
      <c r="I1049" s="18">
        <f t="shared" si="9"/>
        <v>45943</v>
      </c>
      <c r="J1049" s="19" t="s">
        <v>28</v>
      </c>
      <c r="K1049" s="19" t="s">
        <v>325</v>
      </c>
      <c r="L1049" s="40"/>
    </row>
    <row r="1050" ht="22.5" customHeight="1">
      <c r="C1050" s="19" t="s">
        <v>3657</v>
      </c>
      <c r="D1050" s="39" t="s">
        <v>3710</v>
      </c>
      <c r="E1050" s="43" t="s">
        <v>3711</v>
      </c>
      <c r="F1050" s="43" t="s">
        <v>3080</v>
      </c>
      <c r="G1050" s="43" t="s">
        <v>360</v>
      </c>
      <c r="H1050" s="44">
        <v>9.54872402E9</v>
      </c>
      <c r="I1050" s="18">
        <f t="shared" si="9"/>
        <v>45943</v>
      </c>
      <c r="J1050" s="19" t="s">
        <v>28</v>
      </c>
      <c r="K1050" s="19" t="s">
        <v>325</v>
      </c>
      <c r="L1050" s="40"/>
    </row>
    <row r="1051" ht="22.5" customHeight="1">
      <c r="C1051" s="19" t="s">
        <v>3712</v>
      </c>
      <c r="D1051" s="39" t="s">
        <v>3713</v>
      </c>
      <c r="E1051" s="43" t="s">
        <v>3714</v>
      </c>
      <c r="F1051" s="43" t="s">
        <v>3715</v>
      </c>
      <c r="G1051" s="43" t="s">
        <v>540</v>
      </c>
      <c r="H1051" s="44">
        <v>3.059818889E9</v>
      </c>
      <c r="I1051" s="18">
        <f t="shared" si="9"/>
        <v>45943</v>
      </c>
      <c r="J1051" s="19" t="s">
        <v>28</v>
      </c>
      <c r="K1051" s="19" t="s">
        <v>325</v>
      </c>
      <c r="L1051" s="40"/>
    </row>
    <row r="1052" ht="22.5" customHeight="1">
      <c r="C1052" s="19" t="s">
        <v>3712</v>
      </c>
      <c r="D1052" s="39" t="s">
        <v>3716</v>
      </c>
      <c r="E1052" s="43" t="s">
        <v>3717</v>
      </c>
      <c r="F1052" s="43" t="s">
        <v>3718</v>
      </c>
      <c r="G1052" s="43" t="s">
        <v>67</v>
      </c>
      <c r="H1052" s="42" t="s">
        <v>3719</v>
      </c>
      <c r="I1052" s="18">
        <f t="shared" si="9"/>
        <v>45943</v>
      </c>
      <c r="J1052" s="19" t="s">
        <v>28</v>
      </c>
      <c r="K1052" s="19" t="s">
        <v>325</v>
      </c>
      <c r="L1052" s="40"/>
    </row>
    <row r="1053" ht="22.5" customHeight="1">
      <c r="C1053" s="19" t="s">
        <v>3712</v>
      </c>
      <c r="D1053" s="39" t="s">
        <v>3720</v>
      </c>
      <c r="E1053" s="43" t="s">
        <v>3721</v>
      </c>
      <c r="F1053" s="28" t="s">
        <v>182</v>
      </c>
      <c r="G1053" s="43" t="s">
        <v>1781</v>
      </c>
      <c r="H1053" s="42" t="s">
        <v>3722</v>
      </c>
      <c r="I1053" s="18">
        <f t="shared" si="9"/>
        <v>45943</v>
      </c>
      <c r="J1053" s="19" t="s">
        <v>28</v>
      </c>
      <c r="K1053" s="19" t="s">
        <v>325</v>
      </c>
      <c r="L1053" s="40"/>
    </row>
    <row r="1054" ht="22.5" customHeight="1">
      <c r="C1054" s="19" t="s">
        <v>3712</v>
      </c>
      <c r="D1054" s="39" t="s">
        <v>3723</v>
      </c>
      <c r="E1054" s="43" t="s">
        <v>3724</v>
      </c>
      <c r="F1054" s="43" t="s">
        <v>3725</v>
      </c>
      <c r="G1054" s="43" t="s">
        <v>103</v>
      </c>
      <c r="H1054" s="44">
        <v>9.548651529E9</v>
      </c>
      <c r="I1054" s="18">
        <f t="shared" si="9"/>
        <v>45943</v>
      </c>
      <c r="J1054" s="19" t="s">
        <v>28</v>
      </c>
      <c r="K1054" s="19" t="s">
        <v>325</v>
      </c>
      <c r="L1054" s="40"/>
    </row>
    <row r="1055" ht="22.5" customHeight="1">
      <c r="C1055" s="19" t="s">
        <v>3712</v>
      </c>
      <c r="D1055" s="39" t="s">
        <v>3726</v>
      </c>
      <c r="E1055" s="43" t="s">
        <v>3727</v>
      </c>
      <c r="F1055" s="43" t="s">
        <v>2580</v>
      </c>
      <c r="G1055" s="43" t="s">
        <v>346</v>
      </c>
      <c r="H1055" s="42" t="s">
        <v>3728</v>
      </c>
      <c r="I1055" s="18">
        <f t="shared" si="9"/>
        <v>45943</v>
      </c>
      <c r="J1055" s="19" t="s">
        <v>28</v>
      </c>
      <c r="K1055" s="19" t="s">
        <v>325</v>
      </c>
      <c r="L1055" s="40"/>
    </row>
    <row r="1056" ht="22.5" customHeight="1">
      <c r="C1056" s="19" t="s">
        <v>3712</v>
      </c>
      <c r="D1056" s="39" t="s">
        <v>3729</v>
      </c>
      <c r="E1056" s="43" t="s">
        <v>3730</v>
      </c>
      <c r="F1056" s="43" t="s">
        <v>3731</v>
      </c>
      <c r="G1056" s="43" t="s">
        <v>636</v>
      </c>
      <c r="H1056" s="42" t="s">
        <v>3732</v>
      </c>
      <c r="I1056" s="18">
        <f t="shared" si="9"/>
        <v>45943</v>
      </c>
      <c r="J1056" s="19" t="s">
        <v>28</v>
      </c>
      <c r="K1056" s="19" t="s">
        <v>325</v>
      </c>
      <c r="L1056" s="40"/>
    </row>
    <row r="1057" ht="22.5" customHeight="1">
      <c r="C1057" s="19" t="s">
        <v>3712</v>
      </c>
      <c r="D1057" s="39" t="s">
        <v>3733</v>
      </c>
      <c r="E1057" s="43" t="s">
        <v>3734</v>
      </c>
      <c r="F1057" s="43" t="s">
        <v>3735</v>
      </c>
      <c r="G1057" s="43" t="s">
        <v>2914</v>
      </c>
      <c r="H1057" s="44">
        <v>9.549409442E9</v>
      </c>
      <c r="I1057" s="18">
        <f t="shared" si="9"/>
        <v>45943</v>
      </c>
      <c r="J1057" s="19" t="s">
        <v>28</v>
      </c>
      <c r="K1057" s="19" t="s">
        <v>325</v>
      </c>
      <c r="L1057" s="40"/>
    </row>
    <row r="1058" ht="22.5" customHeight="1">
      <c r="C1058" s="19" t="s">
        <v>3712</v>
      </c>
      <c r="D1058" s="39" t="s">
        <v>3736</v>
      </c>
      <c r="E1058" s="43" t="s">
        <v>3737</v>
      </c>
      <c r="F1058" s="43" t="s">
        <v>3738</v>
      </c>
      <c r="G1058" s="43" t="s">
        <v>577</v>
      </c>
      <c r="H1058" s="44">
        <v>9.546609E9</v>
      </c>
      <c r="I1058" s="18">
        <f t="shared" si="9"/>
        <v>45943</v>
      </c>
      <c r="J1058" s="19" t="s">
        <v>28</v>
      </c>
      <c r="K1058" s="19" t="s">
        <v>325</v>
      </c>
      <c r="L1058" s="40"/>
    </row>
    <row r="1059" ht="22.5" customHeight="1">
      <c r="C1059" s="19" t="s">
        <v>3712</v>
      </c>
      <c r="D1059" s="39" t="s">
        <v>3739</v>
      </c>
      <c r="E1059" s="43" t="s">
        <v>3740</v>
      </c>
      <c r="F1059" s="43" t="s">
        <v>3741</v>
      </c>
      <c r="G1059" s="43" t="s">
        <v>3742</v>
      </c>
      <c r="H1059" s="42" t="s">
        <v>3743</v>
      </c>
      <c r="I1059" s="18">
        <f t="shared" si="9"/>
        <v>45943</v>
      </c>
      <c r="J1059" s="19" t="s">
        <v>28</v>
      </c>
      <c r="K1059" s="19" t="s">
        <v>325</v>
      </c>
      <c r="L1059" s="40"/>
    </row>
    <row r="1060" ht="22.5" customHeight="1">
      <c r="C1060" s="19" t="s">
        <v>3712</v>
      </c>
      <c r="D1060" s="39" t="s">
        <v>3744</v>
      </c>
      <c r="E1060" s="43" t="s">
        <v>3745</v>
      </c>
      <c r="F1060" s="43" t="s">
        <v>3746</v>
      </c>
      <c r="G1060" s="43" t="s">
        <v>57</v>
      </c>
      <c r="H1060" s="42" t="s">
        <v>3747</v>
      </c>
      <c r="I1060" s="18">
        <f t="shared" si="9"/>
        <v>45943</v>
      </c>
      <c r="J1060" s="19" t="s">
        <v>28</v>
      </c>
      <c r="K1060" s="19" t="s">
        <v>325</v>
      </c>
      <c r="L1060" s="40"/>
    </row>
    <row r="1061" ht="22.5" customHeight="1">
      <c r="C1061" s="19" t="s">
        <v>3712</v>
      </c>
      <c r="D1061" s="39" t="s">
        <v>3748</v>
      </c>
      <c r="E1061" s="43" t="s">
        <v>3749</v>
      </c>
      <c r="F1061" s="43" t="s">
        <v>3750</v>
      </c>
      <c r="G1061" s="43" t="s">
        <v>3751</v>
      </c>
      <c r="H1061" s="42" t="s">
        <v>3752</v>
      </c>
      <c r="I1061" s="18">
        <f t="shared" si="9"/>
        <v>45943</v>
      </c>
      <c r="J1061" s="19" t="s">
        <v>28</v>
      </c>
      <c r="K1061" s="19" t="s">
        <v>325</v>
      </c>
      <c r="L1061" s="40"/>
    </row>
    <row r="1062" ht="22.5" customHeight="1">
      <c r="C1062" s="19" t="s">
        <v>3712</v>
      </c>
      <c r="D1062" s="39" t="s">
        <v>3753</v>
      </c>
      <c r="E1062" s="43" t="s">
        <v>3754</v>
      </c>
      <c r="F1062" s="43" t="s">
        <v>3755</v>
      </c>
      <c r="G1062" s="43" t="s">
        <v>136</v>
      </c>
      <c r="H1062" s="44">
        <v>5.615310492E9</v>
      </c>
      <c r="I1062" s="18">
        <f t="shared" si="9"/>
        <v>45943</v>
      </c>
      <c r="J1062" s="19" t="s">
        <v>28</v>
      </c>
      <c r="K1062" s="19" t="s">
        <v>325</v>
      </c>
      <c r="L1062" s="40"/>
    </row>
    <row r="1063" ht="22.5" customHeight="1">
      <c r="C1063" s="19" t="s">
        <v>3712</v>
      </c>
      <c r="D1063" s="39" t="s">
        <v>3756</v>
      </c>
      <c r="E1063" s="43" t="s">
        <v>3757</v>
      </c>
      <c r="F1063" s="43" t="s">
        <v>3758</v>
      </c>
      <c r="G1063" s="43" t="s">
        <v>170</v>
      </c>
      <c r="H1063" s="44">
        <v>5.127893459E9</v>
      </c>
      <c r="I1063" s="18">
        <f t="shared" si="9"/>
        <v>45943</v>
      </c>
      <c r="J1063" s="19" t="s">
        <v>28</v>
      </c>
      <c r="K1063" s="19" t="s">
        <v>325</v>
      </c>
      <c r="L1063" s="40"/>
    </row>
    <row r="1064" ht="22.5" customHeight="1">
      <c r="C1064" s="19" t="s">
        <v>3712</v>
      </c>
      <c r="D1064" s="39" t="s">
        <v>3759</v>
      </c>
      <c r="E1064" s="43" t="s">
        <v>3760</v>
      </c>
      <c r="F1064" s="43" t="s">
        <v>3761</v>
      </c>
      <c r="G1064" s="43" t="s">
        <v>126</v>
      </c>
      <c r="H1064" s="42" t="s">
        <v>3762</v>
      </c>
      <c r="I1064" s="18">
        <f t="shared" si="9"/>
        <v>45943</v>
      </c>
      <c r="J1064" s="19" t="s">
        <v>28</v>
      </c>
      <c r="K1064" s="19" t="s">
        <v>325</v>
      </c>
      <c r="L1064" s="40"/>
    </row>
    <row r="1065" ht="22.5" customHeight="1">
      <c r="C1065" s="19" t="s">
        <v>3712</v>
      </c>
      <c r="D1065" s="39" t="s">
        <v>3763</v>
      </c>
      <c r="E1065" s="43" t="s">
        <v>3764</v>
      </c>
      <c r="F1065" s="43" t="s">
        <v>3765</v>
      </c>
      <c r="G1065" s="43" t="s">
        <v>847</v>
      </c>
      <c r="H1065" s="44">
        <v>9.544884279E9</v>
      </c>
      <c r="I1065" s="18">
        <f t="shared" si="9"/>
        <v>45943</v>
      </c>
      <c r="J1065" s="19" t="s">
        <v>28</v>
      </c>
      <c r="K1065" s="19" t="s">
        <v>325</v>
      </c>
      <c r="L1065" s="4" t="s">
        <v>99</v>
      </c>
    </row>
    <row r="1066" ht="22.5" customHeight="1">
      <c r="C1066" s="19" t="s">
        <v>3712</v>
      </c>
      <c r="D1066" s="39" t="s">
        <v>3766</v>
      </c>
      <c r="E1066" s="43" t="s">
        <v>3767</v>
      </c>
      <c r="F1066" s="43" t="s">
        <v>3768</v>
      </c>
      <c r="G1066" s="43" t="s">
        <v>1605</v>
      </c>
      <c r="H1066" s="44">
        <v>7.864237547E9</v>
      </c>
      <c r="I1066" s="18">
        <f t="shared" si="9"/>
        <v>45943</v>
      </c>
      <c r="J1066" s="19" t="s">
        <v>28</v>
      </c>
      <c r="K1066" s="19" t="s">
        <v>325</v>
      </c>
      <c r="L1066" s="40"/>
    </row>
    <row r="1067" ht="22.5" customHeight="1">
      <c r="C1067" s="19" t="s">
        <v>3712</v>
      </c>
      <c r="D1067" s="39" t="s">
        <v>3769</v>
      </c>
      <c r="E1067" s="43" t="s">
        <v>3770</v>
      </c>
      <c r="F1067" s="43" t="s">
        <v>2974</v>
      </c>
      <c r="G1067" s="43" t="s">
        <v>2975</v>
      </c>
      <c r="H1067" s="42" t="s">
        <v>3771</v>
      </c>
      <c r="I1067" s="18">
        <f t="shared" si="9"/>
        <v>45943</v>
      </c>
      <c r="J1067" s="19" t="s">
        <v>28</v>
      </c>
      <c r="K1067" s="19" t="s">
        <v>325</v>
      </c>
      <c r="L1067" s="40"/>
    </row>
    <row r="1068" ht="22.5" customHeight="1">
      <c r="C1068" s="19" t="s">
        <v>3712</v>
      </c>
      <c r="D1068" s="39" t="s">
        <v>3772</v>
      </c>
      <c r="E1068" s="43" t="s">
        <v>3773</v>
      </c>
      <c r="F1068" s="43" t="s">
        <v>3774</v>
      </c>
      <c r="G1068" s="43" t="s">
        <v>946</v>
      </c>
      <c r="H1068" s="44">
        <v>3.055604467E9</v>
      </c>
      <c r="I1068" s="18">
        <f t="shared" si="9"/>
        <v>45943</v>
      </c>
      <c r="J1068" s="19" t="s">
        <v>28</v>
      </c>
      <c r="K1068" s="19" t="s">
        <v>325</v>
      </c>
      <c r="L1068" s="40"/>
    </row>
    <row r="1069" ht="22.5" customHeight="1">
      <c r="C1069" s="19" t="s">
        <v>3712</v>
      </c>
      <c r="D1069" s="39" t="s">
        <v>3775</v>
      </c>
      <c r="E1069" s="43" t="s">
        <v>3776</v>
      </c>
      <c r="F1069" s="28" t="s">
        <v>182</v>
      </c>
      <c r="G1069" s="43" t="s">
        <v>77</v>
      </c>
      <c r="H1069" s="42" t="s">
        <v>3777</v>
      </c>
      <c r="I1069" s="18">
        <f t="shared" si="9"/>
        <v>45943</v>
      </c>
      <c r="J1069" s="19" t="s">
        <v>28</v>
      </c>
      <c r="K1069" s="19" t="s">
        <v>325</v>
      </c>
      <c r="L1069" s="40"/>
    </row>
    <row r="1070" ht="22.5" customHeight="1">
      <c r="C1070" s="19" t="s">
        <v>3712</v>
      </c>
      <c r="D1070" s="39" t="s">
        <v>3778</v>
      </c>
      <c r="E1070" s="43" t="s">
        <v>3779</v>
      </c>
      <c r="F1070" s="43" t="s">
        <v>3780</v>
      </c>
      <c r="G1070" s="43" t="s">
        <v>247</v>
      </c>
      <c r="H1070" s="44">
        <v>9.547729819E9</v>
      </c>
      <c r="I1070" s="18">
        <f t="shared" si="9"/>
        <v>45943</v>
      </c>
      <c r="J1070" s="19" t="s">
        <v>28</v>
      </c>
      <c r="K1070" s="19" t="s">
        <v>325</v>
      </c>
      <c r="L1070" s="40"/>
    </row>
    <row r="1071" ht="22.5" customHeight="1">
      <c r="C1071" s="19" t="s">
        <v>3712</v>
      </c>
      <c r="D1071" s="39" t="s">
        <v>3781</v>
      </c>
      <c r="E1071" s="43" t="s">
        <v>3782</v>
      </c>
      <c r="F1071" s="43" t="s">
        <v>3783</v>
      </c>
      <c r="G1071" s="43" t="s">
        <v>3784</v>
      </c>
      <c r="H1071" s="44">
        <v>3.059783194E9</v>
      </c>
      <c r="I1071" s="18">
        <f t="shared" si="9"/>
        <v>45943</v>
      </c>
      <c r="J1071" s="19" t="s">
        <v>28</v>
      </c>
      <c r="K1071" s="19" t="s">
        <v>325</v>
      </c>
      <c r="L1071" s="40"/>
    </row>
    <row r="1072" ht="22.5" customHeight="1">
      <c r="C1072" s="19" t="s">
        <v>3712</v>
      </c>
      <c r="D1072" s="39" t="s">
        <v>3785</v>
      </c>
      <c r="E1072" s="43" t="s">
        <v>3786</v>
      </c>
      <c r="F1072" s="43" t="s">
        <v>3787</v>
      </c>
      <c r="G1072" s="43" t="s">
        <v>72</v>
      </c>
      <c r="H1072" s="44">
        <v>9.544442715E9</v>
      </c>
      <c r="I1072" s="18">
        <f t="shared" si="9"/>
        <v>45943</v>
      </c>
      <c r="J1072" s="19" t="s">
        <v>28</v>
      </c>
      <c r="K1072" s="19" t="s">
        <v>325</v>
      </c>
      <c r="L1072" s="40"/>
    </row>
    <row r="1073" ht="22.5" customHeight="1">
      <c r="C1073" s="19" t="s">
        <v>3712</v>
      </c>
      <c r="D1073" s="39" t="s">
        <v>3788</v>
      </c>
      <c r="E1073" s="43" t="s">
        <v>3789</v>
      </c>
      <c r="F1073" s="43" t="s">
        <v>3790</v>
      </c>
      <c r="G1073" s="43" t="s">
        <v>118</v>
      </c>
      <c r="H1073" s="44">
        <v>9.545917499E9</v>
      </c>
      <c r="I1073" s="18">
        <f t="shared" si="9"/>
        <v>45943</v>
      </c>
      <c r="J1073" s="19" t="s">
        <v>28</v>
      </c>
      <c r="K1073" s="19" t="s">
        <v>325</v>
      </c>
      <c r="L1073" s="40"/>
    </row>
    <row r="1074" ht="22.5" customHeight="1">
      <c r="C1074" s="19" t="s">
        <v>3712</v>
      </c>
      <c r="D1074" s="39" t="s">
        <v>3791</v>
      </c>
      <c r="E1074" s="43" t="s">
        <v>3792</v>
      </c>
      <c r="F1074" s="43" t="s">
        <v>3793</v>
      </c>
      <c r="G1074" s="43" t="s">
        <v>142</v>
      </c>
      <c r="H1074" s="44">
        <v>9.547891701E9</v>
      </c>
      <c r="I1074" s="18">
        <f t="shared" si="9"/>
        <v>45943</v>
      </c>
      <c r="J1074" s="19" t="s">
        <v>28</v>
      </c>
      <c r="K1074" s="19" t="s">
        <v>325</v>
      </c>
      <c r="L1074" s="40"/>
    </row>
    <row r="1075" ht="22.5" customHeight="1">
      <c r="C1075" s="19" t="s">
        <v>3712</v>
      </c>
      <c r="D1075" s="39" t="s">
        <v>3794</v>
      </c>
      <c r="E1075" s="43" t="s">
        <v>3795</v>
      </c>
      <c r="F1075" s="43" t="s">
        <v>3796</v>
      </c>
      <c r="G1075" s="43" t="s">
        <v>360</v>
      </c>
      <c r="H1075" s="44">
        <v>3.058341882E9</v>
      </c>
      <c r="I1075" s="18">
        <f t="shared" si="9"/>
        <v>45943</v>
      </c>
      <c r="J1075" s="19" t="s">
        <v>28</v>
      </c>
      <c r="K1075" s="19" t="s">
        <v>325</v>
      </c>
      <c r="L1075" s="40"/>
    </row>
    <row r="1076" ht="22.5" customHeight="1">
      <c r="C1076" s="19" t="s">
        <v>3712</v>
      </c>
      <c r="D1076" s="39" t="s">
        <v>3797</v>
      </c>
      <c r="E1076" s="43" t="s">
        <v>3798</v>
      </c>
      <c r="F1076" s="43" t="s">
        <v>3799</v>
      </c>
      <c r="G1076" s="43" t="s">
        <v>301</v>
      </c>
      <c r="H1076" s="42" t="s">
        <v>3800</v>
      </c>
      <c r="I1076" s="18">
        <f t="shared" si="9"/>
        <v>45943</v>
      </c>
      <c r="J1076" s="19" t="s">
        <v>28</v>
      </c>
      <c r="K1076" s="19" t="s">
        <v>325</v>
      </c>
      <c r="L1076" s="40"/>
    </row>
    <row r="1077" ht="22.5" customHeight="1">
      <c r="C1077" s="19" t="s">
        <v>3712</v>
      </c>
      <c r="D1077" s="39" t="s">
        <v>3801</v>
      </c>
      <c r="E1077" s="43" t="s">
        <v>3802</v>
      </c>
      <c r="F1077" s="43" t="s">
        <v>182</v>
      </c>
      <c r="G1077" s="43" t="s">
        <v>82</v>
      </c>
      <c r="H1077" s="44">
        <v>4.019651354E9</v>
      </c>
      <c r="I1077" s="18">
        <f t="shared" si="9"/>
        <v>45943</v>
      </c>
      <c r="J1077" s="19" t="s">
        <v>28</v>
      </c>
      <c r="K1077" s="19" t="s">
        <v>325</v>
      </c>
      <c r="L1077" s="40"/>
    </row>
    <row r="1078" ht="22.5" customHeight="1">
      <c r="C1078" s="19" t="s">
        <v>3712</v>
      </c>
      <c r="D1078" s="39" t="s">
        <v>3803</v>
      </c>
      <c r="E1078" s="43" t="s">
        <v>3804</v>
      </c>
      <c r="F1078" s="43" t="s">
        <v>3805</v>
      </c>
      <c r="G1078" s="43" t="s">
        <v>3806</v>
      </c>
      <c r="H1078" s="44">
        <v>9.54214693E9</v>
      </c>
      <c r="I1078" s="18">
        <f t="shared" si="9"/>
        <v>45943</v>
      </c>
      <c r="J1078" s="19" t="s">
        <v>28</v>
      </c>
      <c r="K1078" s="19" t="s">
        <v>325</v>
      </c>
      <c r="L1078" s="40"/>
    </row>
    <row r="1079" ht="22.5" customHeight="1">
      <c r="C1079" s="19" t="s">
        <v>3712</v>
      </c>
      <c r="D1079" s="39" t="s">
        <v>3807</v>
      </c>
      <c r="E1079" s="43" t="s">
        <v>3808</v>
      </c>
      <c r="F1079" s="43" t="s">
        <v>3809</v>
      </c>
      <c r="G1079" s="43" t="s">
        <v>3810</v>
      </c>
      <c r="H1079" s="44">
        <v>9.545404404E9</v>
      </c>
      <c r="I1079" s="18">
        <f t="shared" si="9"/>
        <v>45943</v>
      </c>
      <c r="J1079" s="19" t="s">
        <v>28</v>
      </c>
      <c r="K1079" s="19" t="s">
        <v>325</v>
      </c>
      <c r="L1079" s="40"/>
    </row>
    <row r="1080" ht="22.5" customHeight="1">
      <c r="C1080" s="19" t="s">
        <v>3712</v>
      </c>
      <c r="D1080" s="39" t="s">
        <v>3811</v>
      </c>
      <c r="E1080" s="43" t="s">
        <v>3812</v>
      </c>
      <c r="F1080" s="43" t="s">
        <v>3813</v>
      </c>
      <c r="G1080" s="43" t="s">
        <v>3814</v>
      </c>
      <c r="H1080" s="44">
        <v>9.542149033E9</v>
      </c>
      <c r="I1080" s="18">
        <f t="shared" si="9"/>
        <v>45943</v>
      </c>
      <c r="J1080" s="19" t="s">
        <v>28</v>
      </c>
      <c r="K1080" s="19" t="s">
        <v>325</v>
      </c>
      <c r="L1080" s="40"/>
    </row>
    <row r="1081" ht="22.5" customHeight="1">
      <c r="C1081" s="19" t="s">
        <v>3815</v>
      </c>
      <c r="D1081" s="39" t="s">
        <v>3816</v>
      </c>
      <c r="E1081" s="43" t="s">
        <v>3817</v>
      </c>
      <c r="F1081" s="43" t="s">
        <v>2951</v>
      </c>
      <c r="G1081" s="43" t="s">
        <v>77</v>
      </c>
      <c r="H1081" s="42" t="s">
        <v>3818</v>
      </c>
      <c r="I1081" s="18">
        <f t="shared" si="9"/>
        <v>45943</v>
      </c>
      <c r="J1081" s="19" t="s">
        <v>28</v>
      </c>
      <c r="K1081" s="19" t="s">
        <v>325</v>
      </c>
      <c r="L1081" s="40"/>
    </row>
    <row r="1082" ht="22.5" customHeight="1">
      <c r="C1082" s="19" t="s">
        <v>3815</v>
      </c>
      <c r="D1082" s="39" t="s">
        <v>3819</v>
      </c>
      <c r="E1082" s="43" t="s">
        <v>3820</v>
      </c>
      <c r="F1082" s="43" t="s">
        <v>2524</v>
      </c>
      <c r="G1082" s="43" t="s">
        <v>126</v>
      </c>
      <c r="H1082" s="44">
        <v>9.548733839E9</v>
      </c>
      <c r="I1082" s="18">
        <f t="shared" si="9"/>
        <v>45943</v>
      </c>
      <c r="J1082" s="19" t="s">
        <v>28</v>
      </c>
      <c r="K1082" s="19" t="s">
        <v>325</v>
      </c>
      <c r="L1082" s="40"/>
    </row>
    <row r="1083" ht="22.5" customHeight="1">
      <c r="C1083" s="19" t="s">
        <v>3815</v>
      </c>
      <c r="D1083" s="39" t="s">
        <v>3821</v>
      </c>
      <c r="E1083" s="43" t="s">
        <v>3822</v>
      </c>
      <c r="F1083" s="43" t="s">
        <v>3823</v>
      </c>
      <c r="G1083" s="43" t="s">
        <v>72</v>
      </c>
      <c r="H1083" s="44">
        <v>9.546822355E9</v>
      </c>
      <c r="I1083" s="18">
        <f t="shared" si="9"/>
        <v>45943</v>
      </c>
      <c r="J1083" s="19" t="s">
        <v>28</v>
      </c>
      <c r="K1083" s="19" t="s">
        <v>325</v>
      </c>
      <c r="L1083" s="40"/>
    </row>
    <row r="1084" ht="22.5" customHeight="1">
      <c r="C1084" s="19" t="s">
        <v>3815</v>
      </c>
      <c r="D1084" s="39" t="s">
        <v>3824</v>
      </c>
      <c r="E1084" s="43" t="s">
        <v>3825</v>
      </c>
      <c r="F1084" s="43" t="s">
        <v>3826</v>
      </c>
      <c r="G1084" s="43" t="s">
        <v>57</v>
      </c>
      <c r="H1084" s="42" t="s">
        <v>3827</v>
      </c>
      <c r="I1084" s="18">
        <f t="shared" si="9"/>
        <v>45943</v>
      </c>
      <c r="J1084" s="19" t="s">
        <v>28</v>
      </c>
      <c r="K1084" s="19" t="s">
        <v>325</v>
      </c>
      <c r="L1084" s="40"/>
    </row>
    <row r="1085" ht="22.5" customHeight="1">
      <c r="C1085" s="19" t="s">
        <v>3815</v>
      </c>
      <c r="D1085" s="39" t="s">
        <v>3828</v>
      </c>
      <c r="E1085" s="43" t="s">
        <v>3829</v>
      </c>
      <c r="F1085" s="43" t="s">
        <v>1419</v>
      </c>
      <c r="G1085" s="43" t="s">
        <v>67</v>
      </c>
      <c r="H1085" s="42" t="s">
        <v>3830</v>
      </c>
      <c r="I1085" s="18">
        <f t="shared" si="9"/>
        <v>45943</v>
      </c>
      <c r="J1085" s="19" t="s">
        <v>28</v>
      </c>
      <c r="K1085" s="19" t="s">
        <v>325</v>
      </c>
      <c r="L1085" s="40"/>
    </row>
    <row r="1086" ht="22.5" customHeight="1">
      <c r="C1086" s="19" t="s">
        <v>3815</v>
      </c>
      <c r="D1086" s="39" t="s">
        <v>3831</v>
      </c>
      <c r="E1086" s="43" t="s">
        <v>3832</v>
      </c>
      <c r="F1086" s="43" t="s">
        <v>3833</v>
      </c>
      <c r="G1086" s="43" t="s">
        <v>377</v>
      </c>
      <c r="H1086" s="44">
        <v>9.543177454E9</v>
      </c>
      <c r="I1086" s="18">
        <f t="shared" si="9"/>
        <v>45943</v>
      </c>
      <c r="J1086" s="19" t="s">
        <v>28</v>
      </c>
      <c r="K1086" s="19" t="s">
        <v>325</v>
      </c>
      <c r="L1086" s="40"/>
    </row>
    <row r="1087" ht="22.5" customHeight="1">
      <c r="C1087" s="19" t="s">
        <v>3815</v>
      </c>
      <c r="D1087" s="39" t="s">
        <v>3834</v>
      </c>
      <c r="E1087" s="43" t="s">
        <v>3835</v>
      </c>
      <c r="F1087" s="43" t="s">
        <v>767</v>
      </c>
      <c r="G1087" s="43" t="s">
        <v>768</v>
      </c>
      <c r="H1087" s="44">
        <v>4.107250344E9</v>
      </c>
      <c r="I1087" s="18">
        <f t="shared" si="9"/>
        <v>45943</v>
      </c>
      <c r="J1087" s="19" t="s">
        <v>28</v>
      </c>
      <c r="K1087" s="19" t="s">
        <v>325</v>
      </c>
      <c r="L1087" s="40"/>
    </row>
    <row r="1088" ht="22.5" customHeight="1">
      <c r="C1088" s="19" t="s">
        <v>3815</v>
      </c>
      <c r="D1088" s="39" t="s">
        <v>3836</v>
      </c>
      <c r="E1088" s="43" t="s">
        <v>3837</v>
      </c>
      <c r="F1088" s="43" t="s">
        <v>3838</v>
      </c>
      <c r="G1088" s="43" t="s">
        <v>118</v>
      </c>
      <c r="H1088" s="44">
        <v>9.549809801E9</v>
      </c>
      <c r="I1088" s="18">
        <f t="shared" si="9"/>
        <v>45943</v>
      </c>
      <c r="J1088" s="19" t="s">
        <v>28</v>
      </c>
      <c r="K1088" s="19" t="s">
        <v>325</v>
      </c>
      <c r="L1088" s="40"/>
    </row>
    <row r="1089" ht="22.5" customHeight="1">
      <c r="C1089" s="19" t="s">
        <v>3815</v>
      </c>
      <c r="D1089" s="39" t="s">
        <v>3839</v>
      </c>
      <c r="E1089" s="43" t="s">
        <v>3840</v>
      </c>
      <c r="F1089" s="43" t="s">
        <v>3841</v>
      </c>
      <c r="G1089" s="43" t="s">
        <v>333</v>
      </c>
      <c r="H1089" s="42" t="s">
        <v>3842</v>
      </c>
      <c r="I1089" s="18">
        <f t="shared" si="9"/>
        <v>45943</v>
      </c>
      <c r="J1089" s="19" t="s">
        <v>28</v>
      </c>
      <c r="K1089" s="19" t="s">
        <v>325</v>
      </c>
      <c r="L1089" s="40"/>
    </row>
    <row r="1090" ht="22.5" customHeight="1">
      <c r="C1090" s="19" t="s">
        <v>3815</v>
      </c>
      <c r="D1090" s="39" t="s">
        <v>3843</v>
      </c>
      <c r="E1090" s="43" t="s">
        <v>3844</v>
      </c>
      <c r="F1090" s="28" t="s">
        <v>182</v>
      </c>
      <c r="G1090" s="43" t="s">
        <v>1199</v>
      </c>
      <c r="H1090" s="44">
        <v>9.544782867E9</v>
      </c>
      <c r="I1090" s="18">
        <f t="shared" si="9"/>
        <v>45943</v>
      </c>
      <c r="J1090" s="19" t="s">
        <v>28</v>
      </c>
      <c r="K1090" s="19" t="s">
        <v>325</v>
      </c>
      <c r="L1090" s="40"/>
    </row>
    <row r="1091" ht="22.5" customHeight="1">
      <c r="C1091" s="19" t="s">
        <v>3815</v>
      </c>
      <c r="D1091" s="39" t="s">
        <v>3845</v>
      </c>
      <c r="E1091" s="43" t="s">
        <v>3846</v>
      </c>
      <c r="F1091" s="43" t="s">
        <v>3847</v>
      </c>
      <c r="G1091" s="43" t="s">
        <v>301</v>
      </c>
      <c r="H1091" s="42" t="s">
        <v>3848</v>
      </c>
      <c r="I1091" s="18">
        <f t="shared" si="9"/>
        <v>45943</v>
      </c>
      <c r="J1091" s="19" t="s">
        <v>28</v>
      </c>
      <c r="K1091" s="19" t="s">
        <v>325</v>
      </c>
      <c r="L1091" s="40"/>
    </row>
    <row r="1092" ht="22.5" customHeight="1">
      <c r="C1092" s="19" t="s">
        <v>3815</v>
      </c>
      <c r="D1092" s="39" t="s">
        <v>3849</v>
      </c>
      <c r="E1092" s="43" t="s">
        <v>3850</v>
      </c>
      <c r="F1092" s="43" t="s">
        <v>3851</v>
      </c>
      <c r="G1092" s="43" t="s">
        <v>3852</v>
      </c>
      <c r="H1092" s="44">
        <v>3.053185735E9</v>
      </c>
      <c r="I1092" s="18">
        <f t="shared" si="9"/>
        <v>45943</v>
      </c>
      <c r="J1092" s="19" t="s">
        <v>28</v>
      </c>
      <c r="K1092" s="19" t="s">
        <v>325</v>
      </c>
      <c r="L1092" s="40"/>
    </row>
    <row r="1093" ht="22.5" customHeight="1">
      <c r="C1093" s="19" t="s">
        <v>3815</v>
      </c>
      <c r="D1093" s="39" t="s">
        <v>3853</v>
      </c>
      <c r="E1093" s="43" t="s">
        <v>3854</v>
      </c>
      <c r="F1093" s="43" t="s">
        <v>3855</v>
      </c>
      <c r="G1093" s="43" t="s">
        <v>346</v>
      </c>
      <c r="H1093" s="44">
        <v>7.542761569E9</v>
      </c>
      <c r="I1093" s="18">
        <f t="shared" si="9"/>
        <v>45943</v>
      </c>
      <c r="J1093" s="19" t="s">
        <v>28</v>
      </c>
      <c r="K1093" s="19" t="s">
        <v>325</v>
      </c>
      <c r="L1093" s="40"/>
    </row>
    <row r="1094" ht="22.5" customHeight="1">
      <c r="C1094" s="19" t="s">
        <v>3815</v>
      </c>
      <c r="D1094" s="39" t="s">
        <v>3856</v>
      </c>
      <c r="E1094" s="43" t="s">
        <v>3857</v>
      </c>
      <c r="F1094" s="43" t="s">
        <v>3858</v>
      </c>
      <c r="G1094" s="43" t="s">
        <v>152</v>
      </c>
      <c r="H1094" s="42" t="s">
        <v>3859</v>
      </c>
      <c r="I1094" s="18">
        <f t="shared" si="9"/>
        <v>45943</v>
      </c>
      <c r="J1094" s="19" t="s">
        <v>28</v>
      </c>
      <c r="K1094" s="19" t="s">
        <v>325</v>
      </c>
      <c r="L1094" s="4" t="s">
        <v>148</v>
      </c>
    </row>
    <row r="1095" ht="22.5" customHeight="1">
      <c r="C1095" s="19" t="s">
        <v>3860</v>
      </c>
      <c r="D1095" s="39" t="s">
        <v>2339</v>
      </c>
      <c r="E1095" s="43" t="s">
        <v>3861</v>
      </c>
      <c r="F1095" s="43" t="s">
        <v>3862</v>
      </c>
      <c r="G1095" s="43" t="s">
        <v>108</v>
      </c>
      <c r="H1095" s="44">
        <v>5.612100806E9</v>
      </c>
      <c r="I1095" s="18">
        <f t="shared" si="9"/>
        <v>45943</v>
      </c>
      <c r="J1095" s="19" t="s">
        <v>28</v>
      </c>
      <c r="K1095" s="19" t="s">
        <v>325</v>
      </c>
      <c r="L1095" s="40"/>
    </row>
    <row r="1096" ht="22.5" customHeight="1">
      <c r="C1096" s="19" t="s">
        <v>3860</v>
      </c>
      <c r="D1096" s="39" t="s">
        <v>2339</v>
      </c>
      <c r="E1096" s="43" t="s">
        <v>3863</v>
      </c>
      <c r="F1096" s="43" t="s">
        <v>3864</v>
      </c>
      <c r="G1096" s="43" t="s">
        <v>126</v>
      </c>
      <c r="H1096" s="44">
        <v>7.86340555E9</v>
      </c>
      <c r="I1096" s="18">
        <f t="shared" si="9"/>
        <v>45943</v>
      </c>
      <c r="J1096" s="19" t="s">
        <v>28</v>
      </c>
      <c r="K1096" s="19" t="s">
        <v>325</v>
      </c>
      <c r="L1096" s="40"/>
    </row>
    <row r="1097" ht="22.5" customHeight="1">
      <c r="C1097" s="19" t="s">
        <v>3860</v>
      </c>
      <c r="D1097" s="39" t="s">
        <v>2339</v>
      </c>
      <c r="E1097" s="43" t="s">
        <v>3865</v>
      </c>
      <c r="F1097" s="43" t="s">
        <v>3866</v>
      </c>
      <c r="G1097" s="43" t="s">
        <v>152</v>
      </c>
      <c r="H1097" s="42" t="s">
        <v>3867</v>
      </c>
      <c r="I1097" s="18">
        <f t="shared" si="9"/>
        <v>45943</v>
      </c>
      <c r="J1097" s="19" t="s">
        <v>28</v>
      </c>
      <c r="K1097" s="19" t="s">
        <v>325</v>
      </c>
      <c r="L1097" s="40"/>
    </row>
    <row r="1098" ht="22.5" customHeight="1">
      <c r="C1098" s="19" t="s">
        <v>3860</v>
      </c>
      <c r="D1098" s="39" t="s">
        <v>2339</v>
      </c>
      <c r="E1098" s="43" t="s">
        <v>3868</v>
      </c>
      <c r="F1098" s="43" t="s">
        <v>3869</v>
      </c>
      <c r="G1098" s="43" t="s">
        <v>72</v>
      </c>
      <c r="H1098" s="44">
        <v>9.543820533E9</v>
      </c>
      <c r="I1098" s="18">
        <f t="shared" si="9"/>
        <v>45943</v>
      </c>
      <c r="J1098" s="19" t="s">
        <v>28</v>
      </c>
      <c r="K1098" s="19" t="s">
        <v>325</v>
      </c>
      <c r="L1098" s="40"/>
    </row>
    <row r="1099" ht="22.5" customHeight="1">
      <c r="C1099" s="19" t="s">
        <v>3860</v>
      </c>
      <c r="D1099" s="39" t="s">
        <v>2339</v>
      </c>
      <c r="E1099" s="43" t="s">
        <v>3870</v>
      </c>
      <c r="F1099" s="43" t="s">
        <v>872</v>
      </c>
      <c r="G1099" s="43" t="s">
        <v>346</v>
      </c>
      <c r="H1099" s="44">
        <v>9.545523244E9</v>
      </c>
      <c r="I1099" s="18">
        <f t="shared" si="9"/>
        <v>45943</v>
      </c>
      <c r="J1099" s="19" t="s">
        <v>28</v>
      </c>
      <c r="K1099" s="19" t="s">
        <v>325</v>
      </c>
      <c r="L1099" s="40"/>
    </row>
    <row r="1100" ht="22.5" customHeight="1">
      <c r="C1100" s="19" t="s">
        <v>3860</v>
      </c>
      <c r="D1100" s="39" t="s">
        <v>2339</v>
      </c>
      <c r="E1100" s="43" t="s">
        <v>3871</v>
      </c>
      <c r="F1100" s="43" t="s">
        <v>3872</v>
      </c>
      <c r="G1100" s="43" t="s">
        <v>67</v>
      </c>
      <c r="H1100" s="44">
        <v>1.9546557653E10</v>
      </c>
      <c r="I1100" s="18">
        <f t="shared" si="9"/>
        <v>45943</v>
      </c>
      <c r="J1100" s="19" t="s">
        <v>28</v>
      </c>
      <c r="K1100" s="19" t="s">
        <v>325</v>
      </c>
      <c r="L1100" s="40"/>
    </row>
    <row r="1101" ht="22.5" customHeight="1">
      <c r="C1101" s="19" t="s">
        <v>3860</v>
      </c>
      <c r="D1101" s="39" t="s">
        <v>2339</v>
      </c>
      <c r="E1101" s="43" t="s">
        <v>3873</v>
      </c>
      <c r="F1101" s="43" t="s">
        <v>3874</v>
      </c>
      <c r="G1101" s="43" t="s">
        <v>301</v>
      </c>
      <c r="H1101" s="44">
        <v>8.185770828E9</v>
      </c>
      <c r="I1101" s="18">
        <f t="shared" si="9"/>
        <v>45943</v>
      </c>
      <c r="J1101" s="19" t="s">
        <v>28</v>
      </c>
      <c r="K1101" s="19" t="s">
        <v>325</v>
      </c>
      <c r="L1101" s="40"/>
    </row>
    <row r="1102" ht="22.5" customHeight="1">
      <c r="C1102" s="19" t="s">
        <v>3860</v>
      </c>
      <c r="D1102" s="39" t="s">
        <v>2339</v>
      </c>
      <c r="E1102" s="43" t="s">
        <v>3875</v>
      </c>
      <c r="F1102" s="43" t="s">
        <v>3876</v>
      </c>
      <c r="G1102" s="43" t="s">
        <v>1199</v>
      </c>
      <c r="H1102" s="42" t="s">
        <v>3877</v>
      </c>
      <c r="I1102" s="18">
        <f t="shared" si="9"/>
        <v>45943</v>
      </c>
      <c r="J1102" s="19" t="s">
        <v>28</v>
      </c>
      <c r="K1102" s="19" t="s">
        <v>325</v>
      </c>
      <c r="L1102" s="40"/>
    </row>
    <row r="1103" ht="22.5" customHeight="1">
      <c r="C1103" s="19" t="s">
        <v>3860</v>
      </c>
      <c r="D1103" s="39" t="s">
        <v>2339</v>
      </c>
      <c r="E1103" s="43" t="s">
        <v>3878</v>
      </c>
      <c r="F1103" s="43" t="s">
        <v>3879</v>
      </c>
      <c r="G1103" s="43" t="s">
        <v>113</v>
      </c>
      <c r="H1103" s="44">
        <v>7.544651149E9</v>
      </c>
      <c r="I1103" s="18">
        <f t="shared" si="9"/>
        <v>45943</v>
      </c>
      <c r="J1103" s="19" t="s">
        <v>28</v>
      </c>
      <c r="K1103" s="19" t="s">
        <v>325</v>
      </c>
      <c r="L1103" s="40"/>
    </row>
    <row r="1104" ht="22.5" customHeight="1">
      <c r="C1104" s="19" t="s">
        <v>3860</v>
      </c>
      <c r="D1104" s="39" t="s">
        <v>2339</v>
      </c>
      <c r="E1104" s="43" t="s">
        <v>3880</v>
      </c>
      <c r="F1104" s="43" t="s">
        <v>3619</v>
      </c>
      <c r="G1104" s="43" t="s">
        <v>57</v>
      </c>
      <c r="H1104" s="44">
        <v>9.54628403E9</v>
      </c>
      <c r="I1104" s="18">
        <f t="shared" si="9"/>
        <v>45943</v>
      </c>
      <c r="J1104" s="19" t="s">
        <v>28</v>
      </c>
      <c r="K1104" s="19" t="s">
        <v>325</v>
      </c>
      <c r="L1104" s="40"/>
    </row>
    <row r="1105" ht="22.5" customHeight="1">
      <c r="C1105" s="19" t="s">
        <v>3860</v>
      </c>
      <c r="D1105" s="39" t="s">
        <v>2339</v>
      </c>
      <c r="E1105" s="43" t="s">
        <v>3881</v>
      </c>
      <c r="F1105" s="43" t="s">
        <v>2823</v>
      </c>
      <c r="G1105" s="43" t="s">
        <v>224</v>
      </c>
      <c r="H1105" s="44">
        <v>7.543663E9</v>
      </c>
      <c r="I1105" s="18">
        <f t="shared" si="9"/>
        <v>45943</v>
      </c>
      <c r="J1105" s="19" t="s">
        <v>28</v>
      </c>
      <c r="K1105" s="19" t="s">
        <v>325</v>
      </c>
      <c r="L1105" s="40"/>
    </row>
    <row r="1106" ht="22.5" customHeight="1">
      <c r="C1106" s="19" t="s">
        <v>3882</v>
      </c>
      <c r="D1106" s="39" t="s">
        <v>2339</v>
      </c>
      <c r="E1106" s="43" t="s">
        <v>3883</v>
      </c>
      <c r="F1106" s="43" t="s">
        <v>3884</v>
      </c>
      <c r="G1106" s="43" t="s">
        <v>126</v>
      </c>
      <c r="H1106" s="42" t="s">
        <v>3885</v>
      </c>
      <c r="I1106" s="18">
        <f t="shared" ref="I1106:I1172" si="10">DATE(2025, 10, 14)</f>
        <v>45944</v>
      </c>
      <c r="J1106" s="19" t="s">
        <v>28</v>
      </c>
      <c r="K1106" s="19" t="s">
        <v>325</v>
      </c>
      <c r="L1106" s="40"/>
    </row>
    <row r="1107" ht="22.5" customHeight="1">
      <c r="C1107" s="19" t="s">
        <v>3882</v>
      </c>
      <c r="D1107" s="39" t="s">
        <v>2339</v>
      </c>
      <c r="E1107" s="43" t="s">
        <v>3886</v>
      </c>
      <c r="F1107" s="43" t="s">
        <v>3887</v>
      </c>
      <c r="G1107" s="43" t="s">
        <v>387</v>
      </c>
      <c r="H1107" s="44">
        <v>9.542889765E9</v>
      </c>
      <c r="I1107" s="18">
        <f t="shared" si="10"/>
        <v>45944</v>
      </c>
      <c r="J1107" s="19" t="s">
        <v>28</v>
      </c>
      <c r="K1107" s="19" t="s">
        <v>325</v>
      </c>
      <c r="L1107" s="40"/>
    </row>
    <row r="1108" ht="22.5" customHeight="1">
      <c r="C1108" s="19" t="s">
        <v>3882</v>
      </c>
      <c r="D1108" s="39" t="s">
        <v>2339</v>
      </c>
      <c r="E1108" s="43" t="s">
        <v>3888</v>
      </c>
      <c r="F1108" s="43" t="s">
        <v>3889</v>
      </c>
      <c r="G1108" s="43" t="s">
        <v>346</v>
      </c>
      <c r="H1108" s="42" t="s">
        <v>3890</v>
      </c>
      <c r="I1108" s="18">
        <f t="shared" si="10"/>
        <v>45944</v>
      </c>
      <c r="J1108" s="19" t="s">
        <v>28</v>
      </c>
      <c r="K1108" s="19" t="s">
        <v>325</v>
      </c>
      <c r="L1108" s="40"/>
    </row>
    <row r="1109" ht="22.5" customHeight="1">
      <c r="C1109" s="19" t="s">
        <v>3882</v>
      </c>
      <c r="D1109" s="39" t="s">
        <v>2339</v>
      </c>
      <c r="E1109" s="43" t="s">
        <v>3891</v>
      </c>
      <c r="F1109" s="43" t="s">
        <v>3892</v>
      </c>
      <c r="G1109" s="43" t="s">
        <v>26</v>
      </c>
      <c r="H1109" s="44">
        <v>3.052160312E9</v>
      </c>
      <c r="I1109" s="18">
        <f t="shared" si="10"/>
        <v>45944</v>
      </c>
      <c r="J1109" s="19" t="s">
        <v>28</v>
      </c>
      <c r="K1109" s="19" t="s">
        <v>325</v>
      </c>
      <c r="L1109" s="40"/>
    </row>
    <row r="1110" ht="22.5" customHeight="1">
      <c r="C1110" s="19" t="s">
        <v>3882</v>
      </c>
      <c r="D1110" s="39" t="s">
        <v>2339</v>
      </c>
      <c r="E1110" s="43" t="s">
        <v>3893</v>
      </c>
      <c r="F1110" s="43" t="s">
        <v>3894</v>
      </c>
      <c r="G1110" s="43" t="s">
        <v>82</v>
      </c>
      <c r="H1110" s="44">
        <v>7.273354081E9</v>
      </c>
      <c r="I1110" s="18">
        <f t="shared" si="10"/>
        <v>45944</v>
      </c>
      <c r="J1110" s="19" t="s">
        <v>28</v>
      </c>
      <c r="K1110" s="19" t="s">
        <v>325</v>
      </c>
      <c r="L1110" s="40"/>
    </row>
    <row r="1111" ht="22.5" customHeight="1">
      <c r="C1111" s="19" t="s">
        <v>3882</v>
      </c>
      <c r="D1111" s="39" t="s">
        <v>2339</v>
      </c>
      <c r="E1111" s="43" t="s">
        <v>3895</v>
      </c>
      <c r="F1111" s="43" t="s">
        <v>3896</v>
      </c>
      <c r="G1111" s="43" t="s">
        <v>67</v>
      </c>
      <c r="H1111" s="42" t="s">
        <v>3897</v>
      </c>
      <c r="I1111" s="18">
        <f t="shared" si="10"/>
        <v>45944</v>
      </c>
      <c r="J1111" s="19" t="s">
        <v>28</v>
      </c>
      <c r="K1111" s="19" t="s">
        <v>325</v>
      </c>
      <c r="L1111" s="4" t="s">
        <v>148</v>
      </c>
    </row>
    <row r="1112" ht="22.5" customHeight="1">
      <c r="C1112" s="19" t="s">
        <v>3882</v>
      </c>
      <c r="D1112" s="39" t="s">
        <v>2339</v>
      </c>
      <c r="E1112" s="43" t="s">
        <v>3898</v>
      </c>
      <c r="F1112" s="43" t="s">
        <v>3899</v>
      </c>
      <c r="G1112" s="43" t="s">
        <v>636</v>
      </c>
      <c r="H1112" s="42" t="s">
        <v>3900</v>
      </c>
      <c r="I1112" s="18">
        <f t="shared" si="10"/>
        <v>45944</v>
      </c>
      <c r="J1112" s="19" t="s">
        <v>28</v>
      </c>
      <c r="K1112" s="19" t="s">
        <v>325</v>
      </c>
      <c r="L1112" s="40"/>
    </row>
    <row r="1113" ht="22.5" customHeight="1">
      <c r="C1113" s="19" t="s">
        <v>3882</v>
      </c>
      <c r="D1113" s="39" t="s">
        <v>2339</v>
      </c>
      <c r="E1113" s="43" t="s">
        <v>3901</v>
      </c>
      <c r="F1113" s="43" t="s">
        <v>3902</v>
      </c>
      <c r="G1113" s="43" t="s">
        <v>113</v>
      </c>
      <c r="H1113" s="42" t="s">
        <v>3903</v>
      </c>
      <c r="I1113" s="18">
        <f t="shared" si="10"/>
        <v>45944</v>
      </c>
      <c r="J1113" s="19" t="s">
        <v>28</v>
      </c>
      <c r="K1113" s="19" t="s">
        <v>325</v>
      </c>
      <c r="L1113" s="4" t="s">
        <v>99</v>
      </c>
    </row>
    <row r="1114" ht="22.5" customHeight="1">
      <c r="C1114" s="19" t="s">
        <v>3904</v>
      </c>
      <c r="D1114" s="39" t="s">
        <v>3905</v>
      </c>
      <c r="E1114" s="43" t="s">
        <v>3906</v>
      </c>
      <c r="F1114" s="43" t="s">
        <v>3907</v>
      </c>
      <c r="G1114" s="43" t="s">
        <v>67</v>
      </c>
      <c r="H1114" s="42" t="s">
        <v>3908</v>
      </c>
      <c r="I1114" s="18">
        <f t="shared" si="10"/>
        <v>45944</v>
      </c>
      <c r="J1114" s="19" t="s">
        <v>28</v>
      </c>
      <c r="K1114" s="19" t="s">
        <v>325</v>
      </c>
      <c r="L1114" s="40"/>
    </row>
    <row r="1115" ht="22.5" customHeight="1">
      <c r="C1115" s="19" t="s">
        <v>3904</v>
      </c>
      <c r="D1115" s="39" t="s">
        <v>3909</v>
      </c>
      <c r="E1115" s="43" t="s">
        <v>3910</v>
      </c>
      <c r="F1115" s="43" t="s">
        <v>3911</v>
      </c>
      <c r="G1115" s="43" t="s">
        <v>152</v>
      </c>
      <c r="H1115" s="42" t="s">
        <v>3912</v>
      </c>
      <c r="I1115" s="18">
        <f t="shared" si="10"/>
        <v>45944</v>
      </c>
      <c r="J1115" s="19" t="s">
        <v>28</v>
      </c>
      <c r="K1115" s="19" t="s">
        <v>325</v>
      </c>
      <c r="L1115" s="40"/>
    </row>
    <row r="1116" ht="22.5" customHeight="1">
      <c r="C1116" s="19" t="s">
        <v>3904</v>
      </c>
      <c r="D1116" s="39" t="s">
        <v>3913</v>
      </c>
      <c r="E1116" s="43" t="s">
        <v>3914</v>
      </c>
      <c r="F1116" s="43" t="s">
        <v>3915</v>
      </c>
      <c r="G1116" s="43" t="s">
        <v>786</v>
      </c>
      <c r="H1116" s="44">
        <v>9.177332362E9</v>
      </c>
      <c r="I1116" s="18">
        <f t="shared" si="10"/>
        <v>45944</v>
      </c>
      <c r="J1116" s="19" t="s">
        <v>28</v>
      </c>
      <c r="K1116" s="19" t="s">
        <v>325</v>
      </c>
      <c r="L1116" s="40"/>
    </row>
    <row r="1117" ht="22.5" customHeight="1">
      <c r="C1117" s="19" t="s">
        <v>3904</v>
      </c>
      <c r="D1117" s="39" t="s">
        <v>3916</v>
      </c>
      <c r="E1117" s="43" t="s">
        <v>3917</v>
      </c>
      <c r="F1117" s="43" t="s">
        <v>2487</v>
      </c>
      <c r="G1117" s="43" t="s">
        <v>62</v>
      </c>
      <c r="H1117" s="42" t="s">
        <v>3188</v>
      </c>
      <c r="I1117" s="18">
        <f t="shared" si="10"/>
        <v>45944</v>
      </c>
      <c r="J1117" s="19" t="s">
        <v>28</v>
      </c>
      <c r="K1117" s="19" t="s">
        <v>325</v>
      </c>
      <c r="L1117" s="40"/>
    </row>
    <row r="1118" ht="22.5" customHeight="1">
      <c r="C1118" s="19" t="s">
        <v>3904</v>
      </c>
      <c r="D1118" s="39" t="s">
        <v>3918</v>
      </c>
      <c r="E1118" s="43" t="s">
        <v>3919</v>
      </c>
      <c r="F1118" s="43" t="s">
        <v>767</v>
      </c>
      <c r="G1118" s="43" t="s">
        <v>768</v>
      </c>
      <c r="H1118" s="44">
        <v>7.652127733E9</v>
      </c>
      <c r="I1118" s="18">
        <f t="shared" si="10"/>
        <v>45944</v>
      </c>
      <c r="J1118" s="19" t="s">
        <v>28</v>
      </c>
      <c r="K1118" s="19" t="s">
        <v>325</v>
      </c>
      <c r="L1118" s="4" t="s">
        <v>148</v>
      </c>
    </row>
    <row r="1119" ht="22.5" customHeight="1">
      <c r="C1119" s="19" t="s">
        <v>3904</v>
      </c>
      <c r="D1119" s="39" t="s">
        <v>3920</v>
      </c>
      <c r="E1119" s="43" t="s">
        <v>3921</v>
      </c>
      <c r="F1119" s="43" t="s">
        <v>3922</v>
      </c>
      <c r="G1119" s="43" t="s">
        <v>126</v>
      </c>
      <c r="H1119" s="42" t="s">
        <v>3923</v>
      </c>
      <c r="I1119" s="18">
        <f t="shared" si="10"/>
        <v>45944</v>
      </c>
      <c r="J1119" s="19" t="s">
        <v>28</v>
      </c>
      <c r="K1119" s="19" t="s">
        <v>325</v>
      </c>
      <c r="L1119" s="40"/>
    </row>
    <row r="1120" ht="22.5" customHeight="1">
      <c r="C1120" s="19" t="s">
        <v>3904</v>
      </c>
      <c r="D1120" s="39" t="s">
        <v>3924</v>
      </c>
      <c r="E1120" s="43" t="s">
        <v>3925</v>
      </c>
      <c r="F1120" s="43" t="s">
        <v>3926</v>
      </c>
      <c r="G1120" s="43" t="s">
        <v>97</v>
      </c>
      <c r="H1120" s="44">
        <v>9.172504808E9</v>
      </c>
      <c r="I1120" s="18">
        <f t="shared" si="10"/>
        <v>45944</v>
      </c>
      <c r="J1120" s="19" t="s">
        <v>28</v>
      </c>
      <c r="K1120" s="19" t="s">
        <v>325</v>
      </c>
      <c r="L1120" s="40"/>
    </row>
    <row r="1121" ht="22.5" customHeight="1">
      <c r="C1121" s="19" t="s">
        <v>3904</v>
      </c>
      <c r="D1121" s="39" t="s">
        <v>3927</v>
      </c>
      <c r="E1121" s="43" t="s">
        <v>3928</v>
      </c>
      <c r="F1121" s="43" t="s">
        <v>3929</v>
      </c>
      <c r="G1121" s="43" t="s">
        <v>717</v>
      </c>
      <c r="H1121" s="42" t="s">
        <v>3930</v>
      </c>
      <c r="I1121" s="18">
        <f t="shared" si="10"/>
        <v>45944</v>
      </c>
      <c r="J1121" s="19" t="s">
        <v>28</v>
      </c>
      <c r="K1121" s="19" t="s">
        <v>325</v>
      </c>
      <c r="L1121" s="40"/>
    </row>
    <row r="1122" ht="22.5" customHeight="1">
      <c r="C1122" s="19" t="s">
        <v>3904</v>
      </c>
      <c r="D1122" s="39" t="s">
        <v>3931</v>
      </c>
      <c r="E1122" s="43" t="s">
        <v>3932</v>
      </c>
      <c r="F1122" s="43" t="s">
        <v>3933</v>
      </c>
      <c r="G1122" s="43" t="s">
        <v>217</v>
      </c>
      <c r="H1122" s="44">
        <v>9.543047826E9</v>
      </c>
      <c r="I1122" s="18">
        <f t="shared" si="10"/>
        <v>45944</v>
      </c>
      <c r="J1122" s="19" t="s">
        <v>28</v>
      </c>
      <c r="K1122" s="19" t="s">
        <v>325</v>
      </c>
      <c r="L1122" s="40"/>
    </row>
    <row r="1123" ht="22.5" customHeight="1">
      <c r="C1123" s="19" t="s">
        <v>3904</v>
      </c>
      <c r="D1123" s="39" t="s">
        <v>3934</v>
      </c>
      <c r="E1123" s="43" t="s">
        <v>3935</v>
      </c>
      <c r="F1123" s="43" t="s">
        <v>3936</v>
      </c>
      <c r="G1123" s="43" t="s">
        <v>108</v>
      </c>
      <c r="H1123" s="44">
        <v>9.54306955E9</v>
      </c>
      <c r="I1123" s="18">
        <f t="shared" si="10"/>
        <v>45944</v>
      </c>
      <c r="J1123" s="19" t="s">
        <v>28</v>
      </c>
      <c r="K1123" s="19" t="s">
        <v>325</v>
      </c>
      <c r="L1123" s="40"/>
    </row>
    <row r="1124" ht="22.5" customHeight="1">
      <c r="C1124" s="19" t="s">
        <v>3904</v>
      </c>
      <c r="D1124" s="39" t="s">
        <v>3937</v>
      </c>
      <c r="E1124" s="43" t="s">
        <v>3938</v>
      </c>
      <c r="F1124" s="43" t="s">
        <v>3939</v>
      </c>
      <c r="G1124" s="43" t="s">
        <v>3940</v>
      </c>
      <c r="H1124" s="44">
        <v>7.865998461E9</v>
      </c>
      <c r="I1124" s="18">
        <f t="shared" si="10"/>
        <v>45944</v>
      </c>
      <c r="J1124" s="19" t="s">
        <v>28</v>
      </c>
      <c r="K1124" s="19" t="s">
        <v>325</v>
      </c>
      <c r="L1124" s="40"/>
    </row>
    <row r="1125" ht="22.5" customHeight="1">
      <c r="C1125" s="19" t="s">
        <v>3904</v>
      </c>
      <c r="D1125" s="39" t="s">
        <v>3941</v>
      </c>
      <c r="E1125" s="43" t="s">
        <v>3942</v>
      </c>
      <c r="F1125" s="43" t="s">
        <v>3943</v>
      </c>
      <c r="G1125" s="43" t="s">
        <v>1819</v>
      </c>
      <c r="H1125" s="44">
        <v>6.072228794E9</v>
      </c>
      <c r="I1125" s="18">
        <f t="shared" si="10"/>
        <v>45944</v>
      </c>
      <c r="J1125" s="19" t="s">
        <v>28</v>
      </c>
      <c r="K1125" s="19" t="s">
        <v>325</v>
      </c>
      <c r="L1125" s="40"/>
    </row>
    <row r="1126" ht="22.5" customHeight="1">
      <c r="C1126" s="19" t="s">
        <v>3904</v>
      </c>
      <c r="D1126" s="39" t="s">
        <v>3944</v>
      </c>
      <c r="E1126" s="43" t="s">
        <v>3945</v>
      </c>
      <c r="F1126" s="43" t="s">
        <v>3946</v>
      </c>
      <c r="G1126" s="43" t="s">
        <v>57</v>
      </c>
      <c r="H1126" s="44">
        <v>9.546144595E9</v>
      </c>
      <c r="I1126" s="18">
        <f t="shared" si="10"/>
        <v>45944</v>
      </c>
      <c r="J1126" s="19" t="s">
        <v>28</v>
      </c>
      <c r="K1126" s="19" t="s">
        <v>325</v>
      </c>
      <c r="L1126" s="40"/>
    </row>
    <row r="1127" ht="22.5" customHeight="1">
      <c r="C1127" s="19" t="s">
        <v>3904</v>
      </c>
      <c r="D1127" s="39" t="s">
        <v>3947</v>
      </c>
      <c r="E1127" s="43" t="s">
        <v>3948</v>
      </c>
      <c r="F1127" s="43" t="s">
        <v>3949</v>
      </c>
      <c r="G1127" s="43" t="s">
        <v>3008</v>
      </c>
      <c r="H1127" s="44">
        <v>9.543980031E9</v>
      </c>
      <c r="I1127" s="18">
        <f t="shared" si="10"/>
        <v>45944</v>
      </c>
      <c r="J1127" s="19" t="s">
        <v>28</v>
      </c>
      <c r="K1127" s="19" t="s">
        <v>325</v>
      </c>
      <c r="L1127" s="40"/>
    </row>
    <row r="1128" ht="22.5" customHeight="1">
      <c r="C1128" s="19" t="s">
        <v>3904</v>
      </c>
      <c r="D1128" s="39" t="s">
        <v>3950</v>
      </c>
      <c r="E1128" s="43" t="s">
        <v>3951</v>
      </c>
      <c r="F1128" s="43" t="s">
        <v>3952</v>
      </c>
      <c r="G1128" s="43" t="s">
        <v>26</v>
      </c>
      <c r="H1128" s="44">
        <v>9.548543867E9</v>
      </c>
      <c r="I1128" s="18">
        <f t="shared" si="10"/>
        <v>45944</v>
      </c>
      <c r="J1128" s="19" t="s">
        <v>28</v>
      </c>
      <c r="K1128" s="19" t="s">
        <v>325</v>
      </c>
      <c r="L1128" s="40"/>
    </row>
    <row r="1129" ht="22.5" customHeight="1">
      <c r="C1129" s="19" t="s">
        <v>3904</v>
      </c>
      <c r="D1129" s="39" t="s">
        <v>3953</v>
      </c>
      <c r="E1129" s="43" t="s">
        <v>3954</v>
      </c>
      <c r="F1129" s="43" t="s">
        <v>3955</v>
      </c>
      <c r="G1129" s="43" t="s">
        <v>3956</v>
      </c>
      <c r="H1129" s="42" t="s">
        <v>3957</v>
      </c>
      <c r="I1129" s="18">
        <f t="shared" si="10"/>
        <v>45944</v>
      </c>
      <c r="J1129" s="19" t="s">
        <v>28</v>
      </c>
      <c r="K1129" s="19" t="s">
        <v>325</v>
      </c>
      <c r="L1129" s="40"/>
    </row>
    <row r="1130" ht="22.5" customHeight="1">
      <c r="C1130" s="19" t="s">
        <v>3904</v>
      </c>
      <c r="D1130" s="39" t="s">
        <v>3958</v>
      </c>
      <c r="E1130" s="43" t="s">
        <v>3959</v>
      </c>
      <c r="F1130" s="43" t="s">
        <v>3960</v>
      </c>
      <c r="G1130" s="43" t="s">
        <v>360</v>
      </c>
      <c r="H1130" s="42" t="s">
        <v>3961</v>
      </c>
      <c r="I1130" s="18">
        <f t="shared" si="10"/>
        <v>45944</v>
      </c>
      <c r="J1130" s="19" t="s">
        <v>28</v>
      </c>
      <c r="K1130" s="19" t="s">
        <v>325</v>
      </c>
      <c r="L1130" s="4" t="s">
        <v>148</v>
      </c>
    </row>
    <row r="1131" ht="22.5" customHeight="1">
      <c r="C1131" s="19" t="s">
        <v>3904</v>
      </c>
      <c r="D1131" s="39" t="s">
        <v>3962</v>
      </c>
      <c r="E1131" s="43" t="s">
        <v>3963</v>
      </c>
      <c r="F1131" s="43" t="s">
        <v>122</v>
      </c>
      <c r="G1131" s="43" t="s">
        <v>72</v>
      </c>
      <c r="H1131" s="42" t="s">
        <v>3964</v>
      </c>
      <c r="I1131" s="18">
        <f t="shared" si="10"/>
        <v>45944</v>
      </c>
      <c r="J1131" s="19" t="s">
        <v>28</v>
      </c>
      <c r="K1131" s="19" t="s">
        <v>325</v>
      </c>
      <c r="L1131" s="40"/>
    </row>
    <row r="1132" ht="22.5" customHeight="1">
      <c r="C1132" s="19" t="s">
        <v>3904</v>
      </c>
      <c r="D1132" s="39" t="s">
        <v>3965</v>
      </c>
      <c r="E1132" s="43" t="s">
        <v>3966</v>
      </c>
      <c r="F1132" s="43" t="s">
        <v>3967</v>
      </c>
      <c r="G1132" s="43" t="s">
        <v>915</v>
      </c>
      <c r="H1132" s="42" t="s">
        <v>3968</v>
      </c>
      <c r="I1132" s="18">
        <f t="shared" si="10"/>
        <v>45944</v>
      </c>
      <c r="J1132" s="19" t="s">
        <v>28</v>
      </c>
      <c r="K1132" s="19" t="s">
        <v>325</v>
      </c>
      <c r="L1132" s="40"/>
    </row>
    <row r="1133" ht="22.5" customHeight="1">
      <c r="C1133" s="19" t="s">
        <v>3904</v>
      </c>
      <c r="D1133" s="39" t="s">
        <v>3969</v>
      </c>
      <c r="E1133" s="43" t="s">
        <v>3970</v>
      </c>
      <c r="F1133" s="43" t="s">
        <v>3971</v>
      </c>
      <c r="G1133" s="43" t="s">
        <v>136</v>
      </c>
      <c r="H1133" s="44">
        <v>3.054649804E9</v>
      </c>
      <c r="I1133" s="18">
        <f t="shared" si="10"/>
        <v>45944</v>
      </c>
      <c r="J1133" s="19" t="s">
        <v>28</v>
      </c>
      <c r="K1133" s="19" t="s">
        <v>325</v>
      </c>
      <c r="L1133" s="40"/>
    </row>
    <row r="1134" ht="22.5" customHeight="1">
      <c r="C1134" s="19" t="s">
        <v>3904</v>
      </c>
      <c r="D1134" s="39" t="s">
        <v>3972</v>
      </c>
      <c r="E1134" s="43" t="s">
        <v>3973</v>
      </c>
      <c r="F1134" s="43" t="s">
        <v>3974</v>
      </c>
      <c r="G1134" s="43" t="s">
        <v>2210</v>
      </c>
      <c r="H1134" s="42" t="s">
        <v>3975</v>
      </c>
      <c r="I1134" s="18">
        <f t="shared" si="10"/>
        <v>45944</v>
      </c>
      <c r="J1134" s="19" t="s">
        <v>28</v>
      </c>
      <c r="K1134" s="19" t="s">
        <v>325</v>
      </c>
      <c r="L1134" s="40"/>
    </row>
    <row r="1135" ht="22.5" customHeight="1">
      <c r="C1135" s="19" t="s">
        <v>3904</v>
      </c>
      <c r="D1135" s="39" t="s">
        <v>3976</v>
      </c>
      <c r="E1135" s="43" t="s">
        <v>3977</v>
      </c>
      <c r="F1135" s="43" t="s">
        <v>3978</v>
      </c>
      <c r="G1135" s="43" t="s">
        <v>421</v>
      </c>
      <c r="H1135" s="42" t="s">
        <v>3979</v>
      </c>
      <c r="I1135" s="18">
        <f t="shared" si="10"/>
        <v>45944</v>
      </c>
      <c r="J1135" s="19" t="s">
        <v>28</v>
      </c>
      <c r="K1135" s="19" t="s">
        <v>325</v>
      </c>
      <c r="L1135" s="40"/>
    </row>
    <row r="1136" ht="22.5" customHeight="1">
      <c r="C1136" s="19" t="s">
        <v>3904</v>
      </c>
      <c r="D1136" s="39" t="s">
        <v>3980</v>
      </c>
      <c r="E1136" s="43" t="s">
        <v>3981</v>
      </c>
      <c r="F1136" s="43" t="s">
        <v>3982</v>
      </c>
      <c r="G1136" s="43" t="s">
        <v>52</v>
      </c>
      <c r="H1136" s="44">
        <v>5.613063691E9</v>
      </c>
      <c r="I1136" s="18">
        <f t="shared" si="10"/>
        <v>45944</v>
      </c>
      <c r="J1136" s="19" t="s">
        <v>28</v>
      </c>
      <c r="K1136" s="19" t="s">
        <v>325</v>
      </c>
      <c r="L1136" s="40"/>
    </row>
    <row r="1137" ht="22.5" customHeight="1">
      <c r="C1137" s="19" t="s">
        <v>3904</v>
      </c>
      <c r="D1137" s="39" t="s">
        <v>3983</v>
      </c>
      <c r="E1137" s="43" t="s">
        <v>3984</v>
      </c>
      <c r="F1137" s="43" t="s">
        <v>3985</v>
      </c>
      <c r="G1137" s="43" t="s">
        <v>103</v>
      </c>
      <c r="H1137" s="44">
        <v>8.134949642E9</v>
      </c>
      <c r="I1137" s="18">
        <f t="shared" si="10"/>
        <v>45944</v>
      </c>
      <c r="J1137" s="19" t="s">
        <v>28</v>
      </c>
      <c r="K1137" s="19" t="s">
        <v>325</v>
      </c>
      <c r="L1137" s="40"/>
    </row>
    <row r="1138" ht="22.5" customHeight="1">
      <c r="C1138" s="19" t="s">
        <v>3904</v>
      </c>
      <c r="D1138" s="39" t="s">
        <v>3986</v>
      </c>
      <c r="E1138" s="43" t="s">
        <v>3987</v>
      </c>
      <c r="F1138" s="43" t="s">
        <v>872</v>
      </c>
      <c r="G1138" s="43" t="s">
        <v>3988</v>
      </c>
      <c r="H1138" s="42" t="s">
        <v>3989</v>
      </c>
      <c r="I1138" s="18">
        <f t="shared" si="10"/>
        <v>45944</v>
      </c>
      <c r="J1138" s="19" t="s">
        <v>28</v>
      </c>
      <c r="K1138" s="19" t="s">
        <v>325</v>
      </c>
      <c r="L1138" s="40"/>
    </row>
    <row r="1139" ht="22.5" customHeight="1">
      <c r="C1139" s="19" t="s">
        <v>3990</v>
      </c>
      <c r="D1139" s="39" t="s">
        <v>3905</v>
      </c>
      <c r="E1139" s="43" t="s">
        <v>3991</v>
      </c>
      <c r="F1139" s="43" t="s">
        <v>3992</v>
      </c>
      <c r="G1139" s="43" t="s">
        <v>136</v>
      </c>
      <c r="H1139" s="42" t="s">
        <v>3993</v>
      </c>
      <c r="I1139" s="18">
        <f t="shared" si="10"/>
        <v>45944</v>
      </c>
      <c r="J1139" s="19" t="s">
        <v>28</v>
      </c>
      <c r="K1139" s="19" t="s">
        <v>325</v>
      </c>
      <c r="L1139" s="40"/>
    </row>
    <row r="1140" ht="22.5" customHeight="1">
      <c r="C1140" s="19" t="s">
        <v>3990</v>
      </c>
      <c r="D1140" s="39" t="s">
        <v>3909</v>
      </c>
      <c r="E1140" s="43" t="s">
        <v>3994</v>
      </c>
      <c r="F1140" s="43" t="s">
        <v>3995</v>
      </c>
      <c r="G1140" s="43" t="s">
        <v>57</v>
      </c>
      <c r="H1140" s="42" t="s">
        <v>3996</v>
      </c>
      <c r="I1140" s="18">
        <f t="shared" si="10"/>
        <v>45944</v>
      </c>
      <c r="J1140" s="19" t="s">
        <v>28</v>
      </c>
      <c r="K1140" s="19" t="s">
        <v>325</v>
      </c>
      <c r="L1140" s="40"/>
    </row>
    <row r="1141" ht="22.5" customHeight="1">
      <c r="C1141" s="19" t="s">
        <v>3990</v>
      </c>
      <c r="D1141" s="39" t="s">
        <v>3913</v>
      </c>
      <c r="E1141" s="43" t="s">
        <v>3997</v>
      </c>
      <c r="F1141" s="43" t="s">
        <v>3998</v>
      </c>
      <c r="G1141" s="43" t="s">
        <v>62</v>
      </c>
      <c r="H1141" s="42" t="s">
        <v>3999</v>
      </c>
      <c r="I1141" s="18">
        <f t="shared" si="10"/>
        <v>45944</v>
      </c>
      <c r="J1141" s="19" t="s">
        <v>28</v>
      </c>
      <c r="K1141" s="19" t="s">
        <v>325</v>
      </c>
      <c r="L1141" s="40"/>
    </row>
    <row r="1142" ht="22.5" customHeight="1">
      <c r="C1142" s="19" t="s">
        <v>3990</v>
      </c>
      <c r="D1142" s="39" t="s">
        <v>3916</v>
      </c>
      <c r="E1142" s="43" t="s">
        <v>4000</v>
      </c>
      <c r="F1142" s="43" t="s">
        <v>4001</v>
      </c>
      <c r="G1142" s="43" t="s">
        <v>3129</v>
      </c>
      <c r="H1142" s="44">
        <v>5.712770975E9</v>
      </c>
      <c r="I1142" s="18">
        <f t="shared" si="10"/>
        <v>45944</v>
      </c>
      <c r="J1142" s="19" t="s">
        <v>28</v>
      </c>
      <c r="K1142" s="19" t="s">
        <v>325</v>
      </c>
      <c r="L1142" s="40"/>
    </row>
    <row r="1143" ht="22.5" customHeight="1">
      <c r="C1143" s="19" t="s">
        <v>3990</v>
      </c>
      <c r="D1143" s="39" t="s">
        <v>3918</v>
      </c>
      <c r="E1143" s="43" t="s">
        <v>4002</v>
      </c>
      <c r="F1143" s="43" t="s">
        <v>4003</v>
      </c>
      <c r="G1143" s="43" t="s">
        <v>165</v>
      </c>
      <c r="H1143" s="44">
        <v>3.522132775E9</v>
      </c>
      <c r="I1143" s="18">
        <f t="shared" si="10"/>
        <v>45944</v>
      </c>
      <c r="J1143" s="19" t="s">
        <v>28</v>
      </c>
      <c r="K1143" s="19" t="s">
        <v>325</v>
      </c>
      <c r="L1143" s="40"/>
    </row>
    <row r="1144" ht="22.5" customHeight="1">
      <c r="C1144" s="19" t="s">
        <v>3990</v>
      </c>
      <c r="D1144" s="39" t="s">
        <v>3920</v>
      </c>
      <c r="E1144" s="43" t="s">
        <v>4004</v>
      </c>
      <c r="F1144" s="43" t="s">
        <v>4005</v>
      </c>
      <c r="G1144" s="43" t="s">
        <v>421</v>
      </c>
      <c r="H1144" s="44">
        <v>9.54884003E9</v>
      </c>
      <c r="I1144" s="18">
        <f t="shared" si="10"/>
        <v>45944</v>
      </c>
      <c r="J1144" s="19" t="s">
        <v>28</v>
      </c>
      <c r="K1144" s="19" t="s">
        <v>325</v>
      </c>
      <c r="L1144" s="40"/>
    </row>
    <row r="1145" ht="22.5" customHeight="1">
      <c r="C1145" s="19" t="s">
        <v>3990</v>
      </c>
      <c r="D1145" s="39" t="s">
        <v>3924</v>
      </c>
      <c r="E1145" s="43" t="s">
        <v>4006</v>
      </c>
      <c r="F1145" s="43" t="s">
        <v>4007</v>
      </c>
      <c r="G1145" s="43" t="s">
        <v>2100</v>
      </c>
      <c r="H1145" s="44">
        <v>9.143802355E9</v>
      </c>
      <c r="I1145" s="18">
        <f t="shared" si="10"/>
        <v>45944</v>
      </c>
      <c r="J1145" s="19" t="s">
        <v>28</v>
      </c>
      <c r="K1145" s="19" t="s">
        <v>325</v>
      </c>
      <c r="L1145" s="40"/>
    </row>
    <row r="1146" ht="22.5" customHeight="1">
      <c r="C1146" s="19" t="s">
        <v>3990</v>
      </c>
      <c r="D1146" s="39" t="s">
        <v>3927</v>
      </c>
      <c r="E1146" s="43" t="s">
        <v>4008</v>
      </c>
      <c r="F1146" s="28" t="s">
        <v>182</v>
      </c>
      <c r="G1146" s="43" t="s">
        <v>1134</v>
      </c>
      <c r="H1146" s="44">
        <v>9.136539424E9</v>
      </c>
      <c r="I1146" s="18">
        <f t="shared" si="10"/>
        <v>45944</v>
      </c>
      <c r="J1146" s="19" t="s">
        <v>28</v>
      </c>
      <c r="K1146" s="19" t="s">
        <v>325</v>
      </c>
      <c r="L1146" s="40"/>
    </row>
    <row r="1147" ht="22.5" customHeight="1">
      <c r="C1147" s="19" t="s">
        <v>3990</v>
      </c>
      <c r="D1147" s="39" t="s">
        <v>3931</v>
      </c>
      <c r="E1147" s="43" t="s">
        <v>4009</v>
      </c>
      <c r="F1147" s="43" t="s">
        <v>4010</v>
      </c>
      <c r="G1147" s="43" t="s">
        <v>346</v>
      </c>
      <c r="H1147" s="44">
        <v>9.548051255E9</v>
      </c>
      <c r="I1147" s="18">
        <f t="shared" si="10"/>
        <v>45944</v>
      </c>
      <c r="J1147" s="19" t="s">
        <v>28</v>
      </c>
      <c r="K1147" s="19" t="s">
        <v>325</v>
      </c>
      <c r="L1147" s="40"/>
    </row>
    <row r="1148" ht="22.5" customHeight="1">
      <c r="C1148" s="19" t="s">
        <v>3990</v>
      </c>
      <c r="D1148" s="39" t="s">
        <v>3934</v>
      </c>
      <c r="E1148" s="43" t="s">
        <v>4011</v>
      </c>
      <c r="F1148" s="43" t="s">
        <v>4012</v>
      </c>
      <c r="G1148" s="43" t="s">
        <v>2336</v>
      </c>
      <c r="H1148" s="44">
        <v>9.734764224E9</v>
      </c>
      <c r="I1148" s="18">
        <f t="shared" si="10"/>
        <v>45944</v>
      </c>
      <c r="J1148" s="19" t="s">
        <v>28</v>
      </c>
      <c r="K1148" s="19" t="s">
        <v>325</v>
      </c>
      <c r="L1148" s="4" t="s">
        <v>99</v>
      </c>
    </row>
    <row r="1149" ht="22.5" customHeight="1">
      <c r="C1149" s="19" t="s">
        <v>3990</v>
      </c>
      <c r="D1149" s="39" t="s">
        <v>3937</v>
      </c>
      <c r="E1149" s="43" t="s">
        <v>4013</v>
      </c>
      <c r="F1149" s="43" t="s">
        <v>4014</v>
      </c>
      <c r="G1149" s="43" t="s">
        <v>636</v>
      </c>
      <c r="H1149" s="44">
        <v>9.54821099E9</v>
      </c>
      <c r="I1149" s="18">
        <f t="shared" si="10"/>
        <v>45944</v>
      </c>
      <c r="J1149" s="19" t="s">
        <v>28</v>
      </c>
      <c r="K1149" s="19" t="s">
        <v>325</v>
      </c>
      <c r="L1149" s="40"/>
    </row>
    <row r="1150" ht="22.5" customHeight="1">
      <c r="C1150" s="19" t="s">
        <v>3990</v>
      </c>
      <c r="D1150" s="39" t="s">
        <v>3941</v>
      </c>
      <c r="E1150" s="43" t="s">
        <v>4015</v>
      </c>
      <c r="F1150" s="43" t="s">
        <v>4016</v>
      </c>
      <c r="G1150" s="43" t="s">
        <v>1843</v>
      </c>
      <c r="H1150" s="44">
        <v>9.549992233E9</v>
      </c>
      <c r="I1150" s="18">
        <f t="shared" si="10"/>
        <v>45944</v>
      </c>
      <c r="J1150" s="19" t="s">
        <v>28</v>
      </c>
      <c r="K1150" s="19" t="s">
        <v>325</v>
      </c>
      <c r="L1150" s="40"/>
    </row>
    <row r="1151" ht="22.5" customHeight="1">
      <c r="C1151" s="19" t="s">
        <v>3990</v>
      </c>
      <c r="D1151" s="39" t="s">
        <v>3944</v>
      </c>
      <c r="E1151" s="43" t="s">
        <v>4017</v>
      </c>
      <c r="F1151" s="43" t="s">
        <v>4018</v>
      </c>
      <c r="G1151" s="43" t="s">
        <v>131</v>
      </c>
      <c r="H1151" s="44">
        <v>9.543480235E9</v>
      </c>
      <c r="I1151" s="18">
        <f t="shared" si="10"/>
        <v>45944</v>
      </c>
      <c r="J1151" s="19" t="s">
        <v>28</v>
      </c>
      <c r="K1151" s="19" t="s">
        <v>325</v>
      </c>
      <c r="L1151" s="40"/>
    </row>
    <row r="1152" ht="22.5" customHeight="1">
      <c r="C1152" s="19" t="s">
        <v>3990</v>
      </c>
      <c r="D1152" s="39" t="s">
        <v>3947</v>
      </c>
      <c r="E1152" s="43" t="s">
        <v>4019</v>
      </c>
      <c r="F1152" s="43" t="s">
        <v>4020</v>
      </c>
      <c r="G1152" s="43" t="s">
        <v>126</v>
      </c>
      <c r="H1152" s="44">
        <v>8.133104074E9</v>
      </c>
      <c r="I1152" s="18">
        <f t="shared" si="10"/>
        <v>45944</v>
      </c>
      <c r="J1152" s="19" t="s">
        <v>28</v>
      </c>
      <c r="K1152" s="19" t="s">
        <v>325</v>
      </c>
      <c r="L1152" s="40"/>
    </row>
    <row r="1153" ht="22.5" customHeight="1">
      <c r="C1153" s="19" t="s">
        <v>3990</v>
      </c>
      <c r="D1153" s="39" t="s">
        <v>3950</v>
      </c>
      <c r="E1153" s="43" t="s">
        <v>4021</v>
      </c>
      <c r="F1153" s="43" t="s">
        <v>4022</v>
      </c>
      <c r="G1153" s="43" t="s">
        <v>72</v>
      </c>
      <c r="H1153" s="44">
        <v>6.155794987E9</v>
      </c>
      <c r="I1153" s="18">
        <f t="shared" si="10"/>
        <v>45944</v>
      </c>
      <c r="J1153" s="19" t="s">
        <v>28</v>
      </c>
      <c r="K1153" s="19" t="s">
        <v>325</v>
      </c>
      <c r="L1153" s="40"/>
    </row>
    <row r="1154" ht="22.5" customHeight="1">
      <c r="C1154" s="19" t="s">
        <v>3990</v>
      </c>
      <c r="D1154" s="39" t="s">
        <v>3953</v>
      </c>
      <c r="E1154" s="43" t="s">
        <v>4023</v>
      </c>
      <c r="F1154" s="43" t="s">
        <v>4024</v>
      </c>
      <c r="G1154" s="43" t="s">
        <v>108</v>
      </c>
      <c r="H1154" s="44">
        <v>9.544156522E9</v>
      </c>
      <c r="I1154" s="18">
        <f t="shared" si="10"/>
        <v>45944</v>
      </c>
      <c r="J1154" s="19" t="s">
        <v>28</v>
      </c>
      <c r="K1154" s="19" t="s">
        <v>325</v>
      </c>
      <c r="L1154" s="40"/>
    </row>
    <row r="1155" ht="22.5" customHeight="1">
      <c r="C1155" s="19" t="s">
        <v>3990</v>
      </c>
      <c r="D1155" s="39" t="s">
        <v>3958</v>
      </c>
      <c r="E1155" s="43" t="s">
        <v>4025</v>
      </c>
      <c r="F1155" s="43" t="s">
        <v>4026</v>
      </c>
      <c r="G1155" s="43" t="s">
        <v>4027</v>
      </c>
      <c r="H1155" s="42" t="s">
        <v>4028</v>
      </c>
      <c r="I1155" s="18">
        <f t="shared" si="10"/>
        <v>45944</v>
      </c>
      <c r="J1155" s="19" t="s">
        <v>28</v>
      </c>
      <c r="K1155" s="19" t="s">
        <v>325</v>
      </c>
      <c r="L1155" s="40"/>
    </row>
    <row r="1156" ht="22.5" customHeight="1">
      <c r="C1156" s="19" t="s">
        <v>3990</v>
      </c>
      <c r="D1156" s="39" t="s">
        <v>3962</v>
      </c>
      <c r="E1156" s="43" t="s">
        <v>4029</v>
      </c>
      <c r="F1156" s="43" t="s">
        <v>4030</v>
      </c>
      <c r="G1156" s="43" t="s">
        <v>67</v>
      </c>
      <c r="H1156" s="44">
        <v>9.547368644E9</v>
      </c>
      <c r="I1156" s="18">
        <f t="shared" si="10"/>
        <v>45944</v>
      </c>
      <c r="J1156" s="19" t="s">
        <v>28</v>
      </c>
      <c r="K1156" s="19" t="s">
        <v>325</v>
      </c>
      <c r="L1156" s="40"/>
    </row>
    <row r="1157" ht="22.5" customHeight="1">
      <c r="C1157" s="19" t="s">
        <v>3990</v>
      </c>
      <c r="D1157" s="39" t="s">
        <v>3965</v>
      </c>
      <c r="E1157" s="43" t="s">
        <v>4031</v>
      </c>
      <c r="F1157" s="43" t="s">
        <v>4032</v>
      </c>
      <c r="G1157" s="43" t="s">
        <v>301</v>
      </c>
      <c r="H1157" s="44">
        <v>9.543907654E9</v>
      </c>
      <c r="I1157" s="18">
        <f t="shared" si="10"/>
        <v>45944</v>
      </c>
      <c r="J1157" s="19" t="s">
        <v>28</v>
      </c>
      <c r="K1157" s="19" t="s">
        <v>325</v>
      </c>
      <c r="L1157" s="40"/>
    </row>
    <row r="1158" ht="22.5" customHeight="1">
      <c r="C1158" s="19" t="s">
        <v>3990</v>
      </c>
      <c r="D1158" s="39" t="s">
        <v>3969</v>
      </c>
      <c r="E1158" s="43" t="s">
        <v>4033</v>
      </c>
      <c r="F1158" s="43" t="s">
        <v>4034</v>
      </c>
      <c r="G1158" s="43" t="s">
        <v>1781</v>
      </c>
      <c r="H1158" s="42" t="s">
        <v>4035</v>
      </c>
      <c r="I1158" s="18">
        <f t="shared" si="10"/>
        <v>45944</v>
      </c>
      <c r="J1158" s="19" t="s">
        <v>28</v>
      </c>
      <c r="K1158" s="19" t="s">
        <v>325</v>
      </c>
      <c r="L1158" s="40"/>
    </row>
    <row r="1159" ht="22.5" customHeight="1">
      <c r="C1159" s="19" t="s">
        <v>3990</v>
      </c>
      <c r="D1159" s="39" t="s">
        <v>3972</v>
      </c>
      <c r="E1159" s="43" t="s">
        <v>4036</v>
      </c>
      <c r="F1159" s="43" t="s">
        <v>4037</v>
      </c>
      <c r="G1159" s="43" t="s">
        <v>113</v>
      </c>
      <c r="H1159" s="44">
        <v>5.614632555E9</v>
      </c>
      <c r="I1159" s="18">
        <f t="shared" si="10"/>
        <v>45944</v>
      </c>
      <c r="J1159" s="19" t="s">
        <v>28</v>
      </c>
      <c r="K1159" s="19" t="s">
        <v>325</v>
      </c>
      <c r="L1159" s="40"/>
    </row>
    <row r="1160" ht="22.5" customHeight="1">
      <c r="C1160" s="19" t="s">
        <v>3990</v>
      </c>
      <c r="D1160" s="39" t="s">
        <v>3976</v>
      </c>
      <c r="E1160" s="43" t="s">
        <v>4038</v>
      </c>
      <c r="F1160" s="43" t="s">
        <v>4039</v>
      </c>
      <c r="G1160" s="43" t="s">
        <v>847</v>
      </c>
      <c r="H1160" s="44">
        <v>9.542246868E9</v>
      </c>
      <c r="I1160" s="18">
        <f t="shared" si="10"/>
        <v>45944</v>
      </c>
      <c r="J1160" s="19" t="s">
        <v>28</v>
      </c>
      <c r="K1160" s="19" t="s">
        <v>325</v>
      </c>
      <c r="L1160" s="40"/>
    </row>
    <row r="1161" ht="22.5" customHeight="1">
      <c r="C1161" s="19" t="s">
        <v>3990</v>
      </c>
      <c r="D1161" s="39" t="s">
        <v>3980</v>
      </c>
      <c r="E1161" s="43" t="s">
        <v>4040</v>
      </c>
      <c r="F1161" s="43" t="s">
        <v>4041</v>
      </c>
      <c r="G1161" s="43" t="s">
        <v>77</v>
      </c>
      <c r="H1161" s="44">
        <v>9.54800208E9</v>
      </c>
      <c r="I1161" s="18">
        <f t="shared" si="10"/>
        <v>45944</v>
      </c>
      <c r="J1161" s="19" t="s">
        <v>28</v>
      </c>
      <c r="K1161" s="19" t="s">
        <v>325</v>
      </c>
      <c r="L1161" s="40"/>
    </row>
    <row r="1162" ht="22.5" customHeight="1">
      <c r="C1162" s="19" t="s">
        <v>3990</v>
      </c>
      <c r="D1162" s="39" t="s">
        <v>3983</v>
      </c>
      <c r="E1162" s="43" t="s">
        <v>4042</v>
      </c>
      <c r="F1162" s="28" t="s">
        <v>182</v>
      </c>
      <c r="G1162" s="43" t="s">
        <v>1050</v>
      </c>
      <c r="H1162" s="42" t="s">
        <v>4043</v>
      </c>
      <c r="I1162" s="18">
        <f t="shared" si="10"/>
        <v>45944</v>
      </c>
      <c r="J1162" s="19" t="s">
        <v>28</v>
      </c>
      <c r="K1162" s="19" t="s">
        <v>325</v>
      </c>
      <c r="L1162" s="40"/>
    </row>
    <row r="1163" ht="22.5" customHeight="1">
      <c r="C1163" s="19" t="s">
        <v>3990</v>
      </c>
      <c r="D1163" s="39" t="s">
        <v>3986</v>
      </c>
      <c r="E1163" s="43" t="s">
        <v>4044</v>
      </c>
      <c r="F1163" s="43" t="s">
        <v>4045</v>
      </c>
      <c r="G1163" s="43" t="s">
        <v>680</v>
      </c>
      <c r="H1163" s="42" t="s">
        <v>4046</v>
      </c>
      <c r="I1163" s="18">
        <f t="shared" si="10"/>
        <v>45944</v>
      </c>
      <c r="J1163" s="19" t="s">
        <v>28</v>
      </c>
      <c r="K1163" s="19" t="s">
        <v>325</v>
      </c>
      <c r="L1163" s="40"/>
    </row>
    <row r="1164" ht="22.5" customHeight="1">
      <c r="C1164" s="19" t="s">
        <v>3990</v>
      </c>
      <c r="D1164" s="39" t="s">
        <v>4047</v>
      </c>
      <c r="E1164" s="43" t="s">
        <v>4048</v>
      </c>
      <c r="F1164" s="43" t="s">
        <v>4049</v>
      </c>
      <c r="G1164" s="43" t="s">
        <v>42</v>
      </c>
      <c r="H1164" s="42" t="s">
        <v>4050</v>
      </c>
      <c r="I1164" s="18">
        <f t="shared" si="10"/>
        <v>45944</v>
      </c>
      <c r="J1164" s="19" t="s">
        <v>28</v>
      </c>
      <c r="K1164" s="19" t="s">
        <v>325</v>
      </c>
      <c r="L1164" s="40"/>
    </row>
    <row r="1165" ht="22.5" customHeight="1">
      <c r="C1165" s="19" t="s">
        <v>3990</v>
      </c>
      <c r="D1165" s="39" t="s">
        <v>4051</v>
      </c>
      <c r="E1165" s="43" t="s">
        <v>4052</v>
      </c>
      <c r="F1165" s="43" t="s">
        <v>4053</v>
      </c>
      <c r="G1165" s="43" t="s">
        <v>438</v>
      </c>
      <c r="H1165" s="44">
        <v>9.543517474E9</v>
      </c>
      <c r="I1165" s="18">
        <f t="shared" si="10"/>
        <v>45944</v>
      </c>
      <c r="J1165" s="19" t="s">
        <v>28</v>
      </c>
      <c r="K1165" s="19" t="s">
        <v>325</v>
      </c>
      <c r="L1165" s="40"/>
    </row>
    <row r="1166" ht="22.5" customHeight="1">
      <c r="C1166" s="19" t="s">
        <v>3990</v>
      </c>
      <c r="D1166" s="39" t="s">
        <v>4054</v>
      </c>
      <c r="E1166" s="43" t="s">
        <v>4055</v>
      </c>
      <c r="F1166" s="43" t="s">
        <v>4056</v>
      </c>
      <c r="G1166" s="43" t="s">
        <v>118</v>
      </c>
      <c r="H1166" s="44">
        <v>9.542429824E9</v>
      </c>
      <c r="I1166" s="18">
        <f t="shared" si="10"/>
        <v>45944</v>
      </c>
      <c r="J1166" s="19" t="s">
        <v>28</v>
      </c>
      <c r="K1166" s="19" t="s">
        <v>325</v>
      </c>
      <c r="L1166" s="40"/>
    </row>
    <row r="1167" ht="22.5" customHeight="1">
      <c r="C1167" s="19" t="s">
        <v>3990</v>
      </c>
      <c r="D1167" s="39" t="s">
        <v>4057</v>
      </c>
      <c r="E1167" s="43" t="s">
        <v>4058</v>
      </c>
      <c r="F1167" s="43" t="s">
        <v>4059</v>
      </c>
      <c r="G1167" s="43" t="s">
        <v>247</v>
      </c>
      <c r="H1167" s="42" t="s">
        <v>4060</v>
      </c>
      <c r="I1167" s="18">
        <f t="shared" si="10"/>
        <v>45944</v>
      </c>
      <c r="J1167" s="19" t="s">
        <v>28</v>
      </c>
      <c r="K1167" s="19" t="s">
        <v>325</v>
      </c>
      <c r="L1167" s="40"/>
    </row>
    <row r="1168" ht="22.5" customHeight="1">
      <c r="C1168" s="19" t="s">
        <v>3990</v>
      </c>
      <c r="D1168" s="39" t="s">
        <v>4061</v>
      </c>
      <c r="E1168" s="43" t="s">
        <v>4062</v>
      </c>
      <c r="F1168" s="43" t="s">
        <v>4063</v>
      </c>
      <c r="G1168" s="43" t="s">
        <v>360</v>
      </c>
      <c r="H1168" s="42" t="s">
        <v>4064</v>
      </c>
      <c r="I1168" s="18">
        <f t="shared" si="10"/>
        <v>45944</v>
      </c>
      <c r="J1168" s="19" t="s">
        <v>28</v>
      </c>
      <c r="K1168" s="19" t="s">
        <v>325</v>
      </c>
      <c r="L1168" s="40"/>
    </row>
    <row r="1169" ht="22.5" customHeight="1">
      <c r="C1169" s="19" t="s">
        <v>3990</v>
      </c>
      <c r="D1169" s="39" t="s">
        <v>4065</v>
      </c>
      <c r="E1169" s="43" t="s">
        <v>4066</v>
      </c>
      <c r="F1169" s="43" t="s">
        <v>4067</v>
      </c>
      <c r="G1169" s="43" t="s">
        <v>577</v>
      </c>
      <c r="H1169" s="42" t="s">
        <v>4068</v>
      </c>
      <c r="I1169" s="18">
        <f t="shared" si="10"/>
        <v>45944</v>
      </c>
      <c r="J1169" s="19" t="s">
        <v>28</v>
      </c>
      <c r="K1169" s="19" t="s">
        <v>325</v>
      </c>
      <c r="L1169" s="40"/>
    </row>
    <row r="1170" ht="22.5" customHeight="1">
      <c r="C1170" s="19" t="s">
        <v>3990</v>
      </c>
      <c r="D1170" s="39" t="s">
        <v>4069</v>
      </c>
      <c r="E1170" s="43" t="s">
        <v>4070</v>
      </c>
      <c r="F1170" s="43" t="s">
        <v>4071</v>
      </c>
      <c r="G1170" s="43" t="s">
        <v>915</v>
      </c>
      <c r="H1170" s="44">
        <v>5.612534993E9</v>
      </c>
      <c r="I1170" s="18">
        <f t="shared" si="10"/>
        <v>45944</v>
      </c>
      <c r="J1170" s="19" t="s">
        <v>28</v>
      </c>
      <c r="K1170" s="19" t="s">
        <v>325</v>
      </c>
      <c r="L1170" s="40"/>
    </row>
    <row r="1171" ht="22.5" customHeight="1">
      <c r="C1171" s="19" t="s">
        <v>3990</v>
      </c>
      <c r="D1171" s="39" t="s">
        <v>4072</v>
      </c>
      <c r="E1171" s="43" t="s">
        <v>4073</v>
      </c>
      <c r="F1171" s="43" t="s">
        <v>4074</v>
      </c>
      <c r="G1171" s="43" t="s">
        <v>52</v>
      </c>
      <c r="H1171" s="44">
        <v>7.544231176E9</v>
      </c>
      <c r="I1171" s="18">
        <f t="shared" si="10"/>
        <v>45944</v>
      </c>
      <c r="J1171" s="19" t="s">
        <v>28</v>
      </c>
      <c r="K1171" s="19" t="s">
        <v>325</v>
      </c>
      <c r="L1171" s="40"/>
    </row>
    <row r="1172" ht="22.5" customHeight="1">
      <c r="C1172" s="19" t="s">
        <v>3990</v>
      </c>
      <c r="D1172" s="39" t="s">
        <v>4075</v>
      </c>
      <c r="E1172" s="43" t="s">
        <v>4076</v>
      </c>
      <c r="F1172" s="43" t="s">
        <v>4077</v>
      </c>
      <c r="G1172" s="43" t="s">
        <v>727</v>
      </c>
      <c r="H1172" s="44">
        <v>7.868325102E9</v>
      </c>
      <c r="I1172" s="18">
        <f t="shared" si="10"/>
        <v>45944</v>
      </c>
      <c r="J1172" s="19" t="s">
        <v>28</v>
      </c>
      <c r="K1172" s="19" t="s">
        <v>325</v>
      </c>
      <c r="L1172" s="40"/>
    </row>
    <row r="1173" ht="22.5" customHeight="1">
      <c r="C1173" s="19" t="s">
        <v>4078</v>
      </c>
      <c r="D1173" s="39" t="s">
        <v>4079</v>
      </c>
      <c r="E1173" s="43" t="s">
        <v>4080</v>
      </c>
      <c r="F1173" s="43" t="s">
        <v>4081</v>
      </c>
      <c r="G1173" s="43" t="s">
        <v>136</v>
      </c>
      <c r="H1173" s="44">
        <v>7.862699843E9</v>
      </c>
      <c r="I1173" s="18">
        <f t="shared" ref="I1173:I1226" si="11">DATE(2025, 10, 15)</f>
        <v>45945</v>
      </c>
      <c r="J1173" s="19" t="s">
        <v>28</v>
      </c>
      <c r="K1173" s="19" t="s">
        <v>325</v>
      </c>
      <c r="L1173" s="40"/>
    </row>
    <row r="1174" ht="22.5" customHeight="1">
      <c r="C1174" s="19" t="s">
        <v>4078</v>
      </c>
      <c r="D1174" s="39" t="s">
        <v>4082</v>
      </c>
      <c r="E1174" s="43" t="s">
        <v>4083</v>
      </c>
      <c r="F1174" s="43" t="s">
        <v>2449</v>
      </c>
      <c r="G1174" s="43" t="s">
        <v>269</v>
      </c>
      <c r="H1174" s="44">
        <v>9.542147999E9</v>
      </c>
      <c r="I1174" s="18">
        <f t="shared" si="11"/>
        <v>45945</v>
      </c>
      <c r="J1174" s="19" t="s">
        <v>28</v>
      </c>
      <c r="K1174" s="19" t="s">
        <v>325</v>
      </c>
      <c r="L1174" s="40"/>
    </row>
    <row r="1175" ht="22.5" customHeight="1">
      <c r="C1175" s="19" t="s">
        <v>4078</v>
      </c>
      <c r="D1175" s="39" t="s">
        <v>4084</v>
      </c>
      <c r="E1175" s="43" t="s">
        <v>4085</v>
      </c>
      <c r="F1175" s="43" t="s">
        <v>4086</v>
      </c>
      <c r="G1175" s="43" t="s">
        <v>42</v>
      </c>
      <c r="H1175" s="44">
        <v>9.547430069E9</v>
      </c>
      <c r="I1175" s="18">
        <f t="shared" si="11"/>
        <v>45945</v>
      </c>
      <c r="J1175" s="19" t="s">
        <v>28</v>
      </c>
      <c r="K1175" s="19" t="s">
        <v>325</v>
      </c>
      <c r="L1175" s="40"/>
    </row>
    <row r="1176" ht="22.5" customHeight="1">
      <c r="C1176" s="19" t="s">
        <v>4078</v>
      </c>
      <c r="D1176" s="39" t="s">
        <v>4087</v>
      </c>
      <c r="E1176" s="43" t="s">
        <v>4088</v>
      </c>
      <c r="F1176" s="43" t="s">
        <v>4089</v>
      </c>
      <c r="G1176" s="43" t="s">
        <v>77</v>
      </c>
      <c r="H1176" s="42" t="s">
        <v>4090</v>
      </c>
      <c r="I1176" s="18">
        <f t="shared" si="11"/>
        <v>45945</v>
      </c>
      <c r="J1176" s="19" t="s">
        <v>28</v>
      </c>
      <c r="K1176" s="19" t="s">
        <v>325</v>
      </c>
      <c r="L1176" s="40"/>
    </row>
    <row r="1177" ht="22.5" customHeight="1">
      <c r="C1177" s="19" t="s">
        <v>4078</v>
      </c>
      <c r="D1177" s="39" t="s">
        <v>4091</v>
      </c>
      <c r="E1177" s="43" t="s">
        <v>4092</v>
      </c>
      <c r="F1177" s="43" t="s">
        <v>4093</v>
      </c>
      <c r="G1177" s="43" t="s">
        <v>67</v>
      </c>
      <c r="H1177" s="42" t="s">
        <v>4094</v>
      </c>
      <c r="I1177" s="18">
        <f t="shared" si="11"/>
        <v>45945</v>
      </c>
      <c r="J1177" s="19" t="s">
        <v>28</v>
      </c>
      <c r="K1177" s="19" t="s">
        <v>325</v>
      </c>
      <c r="L1177" s="40"/>
    </row>
    <row r="1178" ht="22.5" customHeight="1">
      <c r="C1178" s="19" t="s">
        <v>4078</v>
      </c>
      <c r="D1178" s="39" t="s">
        <v>4095</v>
      </c>
      <c r="E1178" s="43" t="s">
        <v>4096</v>
      </c>
      <c r="F1178" s="43" t="s">
        <v>4097</v>
      </c>
      <c r="G1178" s="43" t="s">
        <v>717</v>
      </c>
      <c r="H1178" s="42" t="s">
        <v>4098</v>
      </c>
      <c r="I1178" s="18">
        <f t="shared" si="11"/>
        <v>45945</v>
      </c>
      <c r="J1178" s="19" t="s">
        <v>28</v>
      </c>
      <c r="K1178" s="19" t="s">
        <v>325</v>
      </c>
      <c r="L1178" s="40"/>
    </row>
    <row r="1179" ht="22.5" customHeight="1">
      <c r="C1179" s="19" t="s">
        <v>4078</v>
      </c>
      <c r="D1179" s="39" t="s">
        <v>4099</v>
      </c>
      <c r="E1179" s="43" t="s">
        <v>4100</v>
      </c>
      <c r="F1179" s="43" t="s">
        <v>4101</v>
      </c>
      <c r="G1179" s="43" t="s">
        <v>82</v>
      </c>
      <c r="H1179" s="42" t="s">
        <v>4102</v>
      </c>
      <c r="I1179" s="18">
        <f t="shared" si="11"/>
        <v>45945</v>
      </c>
      <c r="J1179" s="19" t="s">
        <v>28</v>
      </c>
      <c r="K1179" s="19" t="s">
        <v>325</v>
      </c>
      <c r="L1179" s="40"/>
    </row>
    <row r="1180" ht="22.5" customHeight="1">
      <c r="C1180" s="19" t="s">
        <v>4078</v>
      </c>
      <c r="D1180" s="39" t="s">
        <v>4103</v>
      </c>
      <c r="E1180" s="43" t="s">
        <v>4104</v>
      </c>
      <c r="F1180" s="43" t="s">
        <v>548</v>
      </c>
      <c r="G1180" s="43" t="s">
        <v>224</v>
      </c>
      <c r="H1180" s="44">
        <v>5.616669476E9</v>
      </c>
      <c r="I1180" s="18">
        <f t="shared" si="11"/>
        <v>45945</v>
      </c>
      <c r="J1180" s="19" t="s">
        <v>28</v>
      </c>
      <c r="K1180" s="19" t="s">
        <v>325</v>
      </c>
      <c r="L1180" s="4" t="s">
        <v>99</v>
      </c>
    </row>
    <row r="1181" ht="22.5" customHeight="1">
      <c r="C1181" s="19" t="s">
        <v>4078</v>
      </c>
      <c r="D1181" s="39" t="s">
        <v>4105</v>
      </c>
      <c r="E1181" s="43" t="s">
        <v>4106</v>
      </c>
      <c r="F1181" s="43" t="s">
        <v>4107</v>
      </c>
      <c r="G1181" s="43" t="s">
        <v>126</v>
      </c>
      <c r="H1181" s="42" t="s">
        <v>4108</v>
      </c>
      <c r="I1181" s="18">
        <f t="shared" si="11"/>
        <v>45945</v>
      </c>
      <c r="J1181" s="19" t="s">
        <v>28</v>
      </c>
      <c r="K1181" s="19" t="s">
        <v>325</v>
      </c>
      <c r="L1181" s="40"/>
    </row>
    <row r="1182" ht="22.5" customHeight="1">
      <c r="C1182" s="19" t="s">
        <v>4078</v>
      </c>
      <c r="D1182" s="39" t="s">
        <v>4109</v>
      </c>
      <c r="E1182" s="43" t="s">
        <v>4110</v>
      </c>
      <c r="F1182" s="43" t="s">
        <v>4111</v>
      </c>
      <c r="G1182" s="43" t="s">
        <v>230</v>
      </c>
      <c r="H1182" s="44">
        <v>9.54251347E9</v>
      </c>
      <c r="I1182" s="18">
        <f t="shared" si="11"/>
        <v>45945</v>
      </c>
      <c r="J1182" s="19" t="s">
        <v>28</v>
      </c>
      <c r="K1182" s="19" t="s">
        <v>325</v>
      </c>
      <c r="L1182" s="40"/>
    </row>
    <row r="1183" ht="22.5" customHeight="1">
      <c r="C1183" s="19" t="s">
        <v>4078</v>
      </c>
      <c r="D1183" s="39" t="s">
        <v>4112</v>
      </c>
      <c r="E1183" s="43" t="s">
        <v>4113</v>
      </c>
      <c r="F1183" s="43" t="s">
        <v>4114</v>
      </c>
      <c r="G1183" s="43" t="s">
        <v>52</v>
      </c>
      <c r="H1183" s="44">
        <v>7.5479944E9</v>
      </c>
      <c r="I1183" s="18">
        <f t="shared" si="11"/>
        <v>45945</v>
      </c>
      <c r="J1183" s="19" t="s">
        <v>28</v>
      </c>
      <c r="K1183" s="19" t="s">
        <v>325</v>
      </c>
      <c r="L1183" s="40"/>
    </row>
    <row r="1184" ht="22.5" customHeight="1">
      <c r="C1184" s="19" t="s">
        <v>4078</v>
      </c>
      <c r="D1184" s="39" t="s">
        <v>4115</v>
      </c>
      <c r="E1184" s="43" t="s">
        <v>4116</v>
      </c>
      <c r="F1184" s="43" t="s">
        <v>4117</v>
      </c>
      <c r="G1184" s="43" t="s">
        <v>915</v>
      </c>
      <c r="H1184" s="42" t="s">
        <v>4118</v>
      </c>
      <c r="I1184" s="18">
        <f t="shared" si="11"/>
        <v>45945</v>
      </c>
      <c r="J1184" s="19" t="s">
        <v>28</v>
      </c>
      <c r="K1184" s="19" t="s">
        <v>325</v>
      </c>
      <c r="L1184" s="40"/>
    </row>
    <row r="1185" ht="22.5" customHeight="1">
      <c r="C1185" s="19" t="s">
        <v>4078</v>
      </c>
      <c r="D1185" s="39" t="s">
        <v>4119</v>
      </c>
      <c r="E1185" s="43" t="s">
        <v>4120</v>
      </c>
      <c r="F1185" s="43" t="s">
        <v>4121</v>
      </c>
      <c r="G1185" s="43" t="s">
        <v>301</v>
      </c>
      <c r="H1185" s="44">
        <v>9.543281069E9</v>
      </c>
      <c r="I1185" s="18">
        <f t="shared" si="11"/>
        <v>45945</v>
      </c>
      <c r="J1185" s="19" t="s">
        <v>28</v>
      </c>
      <c r="K1185" s="19" t="s">
        <v>325</v>
      </c>
      <c r="L1185" s="40"/>
    </row>
    <row r="1186" ht="22.5" customHeight="1">
      <c r="C1186" s="19" t="s">
        <v>4078</v>
      </c>
      <c r="D1186" s="39" t="s">
        <v>4122</v>
      </c>
      <c r="E1186" s="43" t="s">
        <v>4123</v>
      </c>
      <c r="F1186" s="43" t="s">
        <v>4124</v>
      </c>
      <c r="G1186" s="43" t="s">
        <v>2013</v>
      </c>
      <c r="H1186" s="44">
        <v>7.5427093E9</v>
      </c>
      <c r="I1186" s="18">
        <f t="shared" si="11"/>
        <v>45945</v>
      </c>
      <c r="J1186" s="19" t="s">
        <v>28</v>
      </c>
      <c r="K1186" s="19" t="s">
        <v>325</v>
      </c>
      <c r="L1186" s="40"/>
    </row>
    <row r="1187" ht="22.5" customHeight="1">
      <c r="C1187" s="19" t="s">
        <v>4078</v>
      </c>
      <c r="D1187" s="39" t="s">
        <v>4125</v>
      </c>
      <c r="E1187" s="43" t="s">
        <v>4126</v>
      </c>
      <c r="F1187" s="43" t="s">
        <v>4127</v>
      </c>
      <c r="G1187" s="43" t="s">
        <v>32</v>
      </c>
      <c r="H1187" s="44">
        <v>7.866123961E9</v>
      </c>
      <c r="I1187" s="18">
        <f t="shared" si="11"/>
        <v>45945</v>
      </c>
      <c r="J1187" s="19" t="s">
        <v>28</v>
      </c>
      <c r="K1187" s="19" t="s">
        <v>325</v>
      </c>
      <c r="L1187" s="40"/>
    </row>
    <row r="1188" ht="22.5" customHeight="1">
      <c r="C1188" s="19" t="s">
        <v>4078</v>
      </c>
      <c r="D1188" s="39" t="s">
        <v>4128</v>
      </c>
      <c r="E1188" s="43" t="s">
        <v>4129</v>
      </c>
      <c r="F1188" s="43" t="s">
        <v>4130</v>
      </c>
      <c r="G1188" s="43" t="s">
        <v>103</v>
      </c>
      <c r="H1188" s="44">
        <v>9.546358026E9</v>
      </c>
      <c r="I1188" s="18">
        <f t="shared" si="11"/>
        <v>45945</v>
      </c>
      <c r="J1188" s="19" t="s">
        <v>28</v>
      </c>
      <c r="K1188" s="19" t="s">
        <v>325</v>
      </c>
      <c r="L1188" s="40"/>
    </row>
    <row r="1189" ht="22.5" customHeight="1">
      <c r="C1189" s="19" t="s">
        <v>4078</v>
      </c>
      <c r="D1189" s="39" t="s">
        <v>4131</v>
      </c>
      <c r="E1189" s="43" t="s">
        <v>4132</v>
      </c>
      <c r="F1189" s="43" t="s">
        <v>4133</v>
      </c>
      <c r="G1189" s="43" t="s">
        <v>387</v>
      </c>
      <c r="H1189" s="44">
        <v>9.548520208E9</v>
      </c>
      <c r="I1189" s="18">
        <f t="shared" si="11"/>
        <v>45945</v>
      </c>
      <c r="J1189" s="19" t="s">
        <v>28</v>
      </c>
      <c r="K1189" s="19" t="s">
        <v>325</v>
      </c>
      <c r="L1189" s="40"/>
    </row>
    <row r="1190" ht="22.5" customHeight="1">
      <c r="C1190" s="19" t="s">
        <v>4078</v>
      </c>
      <c r="D1190" s="39" t="s">
        <v>4134</v>
      </c>
      <c r="E1190" s="43" t="s">
        <v>4135</v>
      </c>
      <c r="F1190" s="43" t="s">
        <v>4136</v>
      </c>
      <c r="G1190" s="43" t="s">
        <v>360</v>
      </c>
      <c r="H1190" s="42" t="s">
        <v>4137</v>
      </c>
      <c r="I1190" s="18">
        <f t="shared" si="11"/>
        <v>45945</v>
      </c>
      <c r="J1190" s="19" t="s">
        <v>28</v>
      </c>
      <c r="K1190" s="19" t="s">
        <v>325</v>
      </c>
      <c r="L1190" s="40"/>
    </row>
    <row r="1191" ht="22.5" customHeight="1">
      <c r="C1191" s="19" t="s">
        <v>4078</v>
      </c>
      <c r="D1191" s="39" t="s">
        <v>4138</v>
      </c>
      <c r="E1191" s="43" t="s">
        <v>4139</v>
      </c>
      <c r="F1191" s="43" t="s">
        <v>4140</v>
      </c>
      <c r="G1191" s="43" t="s">
        <v>4141</v>
      </c>
      <c r="H1191" s="42" t="s">
        <v>4142</v>
      </c>
      <c r="I1191" s="18">
        <f t="shared" si="11"/>
        <v>45945</v>
      </c>
      <c r="J1191" s="19" t="s">
        <v>28</v>
      </c>
      <c r="K1191" s="19" t="s">
        <v>325</v>
      </c>
      <c r="L1191" s="40"/>
    </row>
    <row r="1192" ht="22.5" customHeight="1">
      <c r="C1192" s="19" t="s">
        <v>4078</v>
      </c>
      <c r="D1192" s="39" t="s">
        <v>4143</v>
      </c>
      <c r="E1192" s="43" t="s">
        <v>4144</v>
      </c>
      <c r="F1192" s="43" t="s">
        <v>4145</v>
      </c>
      <c r="G1192" s="43" t="s">
        <v>2596</v>
      </c>
      <c r="H1192" s="44">
        <v>9.549822903E9</v>
      </c>
      <c r="I1192" s="18">
        <f t="shared" si="11"/>
        <v>45945</v>
      </c>
      <c r="J1192" s="19" t="s">
        <v>28</v>
      </c>
      <c r="K1192" s="19" t="s">
        <v>325</v>
      </c>
      <c r="L1192" s="40"/>
    </row>
    <row r="1193" ht="22.5" customHeight="1">
      <c r="C1193" s="19" t="s">
        <v>4078</v>
      </c>
      <c r="D1193" s="39" t="s">
        <v>4146</v>
      </c>
      <c r="E1193" s="43" t="s">
        <v>4147</v>
      </c>
      <c r="F1193" s="43" t="s">
        <v>4148</v>
      </c>
      <c r="G1193" s="43" t="s">
        <v>62</v>
      </c>
      <c r="H1193" s="42" t="s">
        <v>4149</v>
      </c>
      <c r="I1193" s="18">
        <f t="shared" si="11"/>
        <v>45945</v>
      </c>
      <c r="J1193" s="19" t="s">
        <v>28</v>
      </c>
      <c r="K1193" s="19" t="s">
        <v>325</v>
      </c>
      <c r="L1193" s="4" t="s">
        <v>99</v>
      </c>
    </row>
    <row r="1194" ht="22.5" customHeight="1">
      <c r="C1194" s="19" t="s">
        <v>4078</v>
      </c>
      <c r="D1194" s="39" t="s">
        <v>4150</v>
      </c>
      <c r="E1194" s="43" t="s">
        <v>925</v>
      </c>
      <c r="F1194" s="43" t="s">
        <v>4151</v>
      </c>
      <c r="G1194" s="43" t="s">
        <v>57</v>
      </c>
      <c r="H1194" s="42" t="s">
        <v>4152</v>
      </c>
      <c r="I1194" s="18">
        <f t="shared" si="11"/>
        <v>45945</v>
      </c>
      <c r="J1194" s="19" t="s">
        <v>28</v>
      </c>
      <c r="K1194" s="19" t="s">
        <v>325</v>
      </c>
      <c r="L1194" s="40"/>
    </row>
    <row r="1195" ht="22.5" customHeight="1">
      <c r="C1195" s="19" t="s">
        <v>4078</v>
      </c>
      <c r="D1195" s="39" t="s">
        <v>4153</v>
      </c>
      <c r="E1195" s="43" t="s">
        <v>4154</v>
      </c>
      <c r="F1195" s="43" t="s">
        <v>4155</v>
      </c>
      <c r="G1195" s="43" t="s">
        <v>72</v>
      </c>
      <c r="H1195" s="42" t="s">
        <v>4156</v>
      </c>
      <c r="I1195" s="18">
        <f t="shared" si="11"/>
        <v>45945</v>
      </c>
      <c r="J1195" s="19" t="s">
        <v>28</v>
      </c>
      <c r="K1195" s="19" t="s">
        <v>325</v>
      </c>
      <c r="L1195" s="40"/>
    </row>
    <row r="1196" ht="22.5" customHeight="1">
      <c r="C1196" s="19" t="s">
        <v>4157</v>
      </c>
      <c r="D1196" s="39" t="s">
        <v>4158</v>
      </c>
      <c r="E1196" s="43" t="s">
        <v>4159</v>
      </c>
      <c r="F1196" s="43" t="s">
        <v>4160</v>
      </c>
      <c r="G1196" s="43" t="s">
        <v>77</v>
      </c>
      <c r="H1196" s="44">
        <v>9.545373937E9</v>
      </c>
      <c r="I1196" s="18">
        <f t="shared" si="11"/>
        <v>45945</v>
      </c>
      <c r="J1196" s="19" t="s">
        <v>28</v>
      </c>
      <c r="K1196" s="19" t="s">
        <v>325</v>
      </c>
      <c r="L1196" s="40"/>
    </row>
    <row r="1197" ht="22.5" customHeight="1">
      <c r="C1197" s="19" t="s">
        <v>4157</v>
      </c>
      <c r="D1197" s="39" t="s">
        <v>4161</v>
      </c>
      <c r="E1197" s="43" t="s">
        <v>4162</v>
      </c>
      <c r="F1197" s="43" t="s">
        <v>3357</v>
      </c>
      <c r="G1197" s="43" t="s">
        <v>152</v>
      </c>
      <c r="H1197" s="44">
        <v>9.542529622E9</v>
      </c>
      <c r="I1197" s="18">
        <f t="shared" si="11"/>
        <v>45945</v>
      </c>
      <c r="J1197" s="19" t="s">
        <v>28</v>
      </c>
      <c r="K1197" s="19" t="s">
        <v>325</v>
      </c>
      <c r="L1197" s="40"/>
    </row>
    <row r="1198" ht="22.5" customHeight="1">
      <c r="C1198" s="19" t="s">
        <v>4157</v>
      </c>
      <c r="D1198" s="39" t="s">
        <v>4163</v>
      </c>
      <c r="E1198" s="43" t="s">
        <v>4164</v>
      </c>
      <c r="F1198" s="43" t="s">
        <v>4165</v>
      </c>
      <c r="G1198" s="43" t="s">
        <v>118</v>
      </c>
      <c r="H1198" s="44">
        <v>9.542781313E9</v>
      </c>
      <c r="I1198" s="18">
        <f t="shared" si="11"/>
        <v>45945</v>
      </c>
      <c r="J1198" s="19" t="s">
        <v>28</v>
      </c>
      <c r="K1198" s="19" t="s">
        <v>325</v>
      </c>
      <c r="L1198" s="40"/>
    </row>
    <row r="1199" ht="22.5" customHeight="1">
      <c r="C1199" s="19" t="s">
        <v>4157</v>
      </c>
      <c r="D1199" s="39" t="s">
        <v>4166</v>
      </c>
      <c r="E1199" s="43" t="s">
        <v>4167</v>
      </c>
      <c r="F1199" s="43" t="s">
        <v>4168</v>
      </c>
      <c r="G1199" s="43" t="s">
        <v>717</v>
      </c>
      <c r="H1199" s="42" t="s">
        <v>4169</v>
      </c>
      <c r="I1199" s="18">
        <f t="shared" si="11"/>
        <v>45945</v>
      </c>
      <c r="J1199" s="19" t="s">
        <v>28</v>
      </c>
      <c r="K1199" s="19" t="s">
        <v>325</v>
      </c>
      <c r="L1199" s="40"/>
    </row>
    <row r="1200" ht="22.5" customHeight="1">
      <c r="C1200" s="19" t="s">
        <v>4157</v>
      </c>
      <c r="D1200" s="39" t="s">
        <v>4170</v>
      </c>
      <c r="E1200" s="43" t="s">
        <v>4171</v>
      </c>
      <c r="F1200" s="43" t="s">
        <v>4172</v>
      </c>
      <c r="G1200" s="43" t="s">
        <v>67</v>
      </c>
      <c r="H1200" s="44">
        <v>9.544659804E9</v>
      </c>
      <c r="I1200" s="18">
        <f t="shared" si="11"/>
        <v>45945</v>
      </c>
      <c r="J1200" s="19" t="s">
        <v>28</v>
      </c>
      <c r="K1200" s="19" t="s">
        <v>325</v>
      </c>
      <c r="L1200" s="40"/>
    </row>
    <row r="1201" ht="22.5" customHeight="1">
      <c r="C1201" s="19" t="s">
        <v>4157</v>
      </c>
      <c r="D1201" s="39" t="s">
        <v>4173</v>
      </c>
      <c r="E1201" s="43" t="s">
        <v>4174</v>
      </c>
      <c r="F1201" s="43" t="s">
        <v>4175</v>
      </c>
      <c r="G1201" s="43" t="s">
        <v>97</v>
      </c>
      <c r="H1201" s="42" t="s">
        <v>4176</v>
      </c>
      <c r="I1201" s="18">
        <f t="shared" si="11"/>
        <v>45945</v>
      </c>
      <c r="J1201" s="19" t="s">
        <v>28</v>
      </c>
      <c r="K1201" s="19" t="s">
        <v>325</v>
      </c>
      <c r="L1201" s="40"/>
    </row>
    <row r="1202" ht="22.5" customHeight="1">
      <c r="C1202" s="19" t="s">
        <v>4157</v>
      </c>
      <c r="D1202" s="39" t="s">
        <v>4177</v>
      </c>
      <c r="E1202" s="43" t="s">
        <v>4178</v>
      </c>
      <c r="F1202" s="43" t="s">
        <v>3209</v>
      </c>
      <c r="G1202" s="43" t="s">
        <v>57</v>
      </c>
      <c r="H1202" s="44">
        <v>7.868388778E9</v>
      </c>
      <c r="I1202" s="18">
        <f t="shared" si="11"/>
        <v>45945</v>
      </c>
      <c r="J1202" s="19" t="s">
        <v>28</v>
      </c>
      <c r="K1202" s="19" t="s">
        <v>325</v>
      </c>
      <c r="L1202" s="40"/>
    </row>
    <row r="1203" ht="22.5" customHeight="1">
      <c r="C1203" s="19" t="s">
        <v>4157</v>
      </c>
      <c r="D1203" s="39" t="s">
        <v>4179</v>
      </c>
      <c r="E1203" s="43" t="s">
        <v>4180</v>
      </c>
      <c r="F1203" s="43" t="s">
        <v>4181</v>
      </c>
      <c r="G1203" s="43" t="s">
        <v>62</v>
      </c>
      <c r="H1203" s="44">
        <v>9.548881747E9</v>
      </c>
      <c r="I1203" s="18">
        <f t="shared" si="11"/>
        <v>45945</v>
      </c>
      <c r="J1203" s="19" t="s">
        <v>28</v>
      </c>
      <c r="K1203" s="19" t="s">
        <v>325</v>
      </c>
      <c r="L1203" s="40"/>
    </row>
    <row r="1204" ht="22.5" customHeight="1">
      <c r="C1204" s="19" t="s">
        <v>4157</v>
      </c>
      <c r="D1204" s="39" t="s">
        <v>4182</v>
      </c>
      <c r="E1204" s="43" t="s">
        <v>4183</v>
      </c>
      <c r="F1204" s="43" t="s">
        <v>4184</v>
      </c>
      <c r="G1204" s="43" t="s">
        <v>727</v>
      </c>
      <c r="H1204" s="42" t="s">
        <v>4185</v>
      </c>
      <c r="I1204" s="18">
        <f t="shared" si="11"/>
        <v>45945</v>
      </c>
      <c r="J1204" s="19" t="s">
        <v>28</v>
      </c>
      <c r="K1204" s="19" t="s">
        <v>325</v>
      </c>
      <c r="L1204" s="40"/>
    </row>
    <row r="1205" ht="22.5" customHeight="1">
      <c r="C1205" s="19" t="s">
        <v>4157</v>
      </c>
      <c r="D1205" s="39" t="s">
        <v>4186</v>
      </c>
      <c r="E1205" s="43" t="s">
        <v>4187</v>
      </c>
      <c r="F1205" s="43" t="s">
        <v>4188</v>
      </c>
      <c r="G1205" s="43" t="s">
        <v>360</v>
      </c>
      <c r="H1205" s="42" t="s">
        <v>4189</v>
      </c>
      <c r="I1205" s="18">
        <f t="shared" si="11"/>
        <v>45945</v>
      </c>
      <c r="J1205" s="19" t="s">
        <v>28</v>
      </c>
      <c r="K1205" s="19" t="s">
        <v>325</v>
      </c>
      <c r="L1205" s="40"/>
    </row>
    <row r="1206" ht="22.5" customHeight="1">
      <c r="C1206" s="19" t="s">
        <v>4157</v>
      </c>
      <c r="D1206" s="39" t="s">
        <v>4190</v>
      </c>
      <c r="E1206" s="43" t="s">
        <v>4191</v>
      </c>
      <c r="F1206" s="43" t="s">
        <v>4192</v>
      </c>
      <c r="G1206" s="43" t="s">
        <v>136</v>
      </c>
      <c r="H1206" s="42" t="s">
        <v>4193</v>
      </c>
      <c r="I1206" s="18">
        <f t="shared" si="11"/>
        <v>45945</v>
      </c>
      <c r="J1206" s="19" t="s">
        <v>28</v>
      </c>
      <c r="K1206" s="19" t="s">
        <v>325</v>
      </c>
      <c r="L1206" s="40"/>
    </row>
    <row r="1207" ht="22.5" customHeight="1">
      <c r="C1207" s="19" t="s">
        <v>4157</v>
      </c>
      <c r="D1207" s="39" t="s">
        <v>4194</v>
      </c>
      <c r="E1207" s="43" t="s">
        <v>4195</v>
      </c>
      <c r="F1207" s="43" t="s">
        <v>4196</v>
      </c>
      <c r="G1207" s="43" t="s">
        <v>52</v>
      </c>
      <c r="H1207" s="44">
        <v>9.542371777E9</v>
      </c>
      <c r="I1207" s="18">
        <f t="shared" si="11"/>
        <v>45945</v>
      </c>
      <c r="J1207" s="19" t="s">
        <v>28</v>
      </c>
      <c r="K1207" s="19" t="s">
        <v>325</v>
      </c>
      <c r="L1207" s="40"/>
    </row>
    <row r="1208" ht="22.5" customHeight="1">
      <c r="C1208" s="19" t="s">
        <v>4157</v>
      </c>
      <c r="D1208" s="39" t="s">
        <v>4197</v>
      </c>
      <c r="E1208" s="43" t="s">
        <v>4198</v>
      </c>
      <c r="F1208" s="43" t="s">
        <v>4199</v>
      </c>
      <c r="G1208" s="43" t="s">
        <v>1843</v>
      </c>
      <c r="H1208" s="42" t="s">
        <v>4200</v>
      </c>
      <c r="I1208" s="18">
        <f t="shared" si="11"/>
        <v>45945</v>
      </c>
      <c r="J1208" s="19" t="s">
        <v>28</v>
      </c>
      <c r="K1208" s="19" t="s">
        <v>325</v>
      </c>
      <c r="L1208" s="40"/>
    </row>
    <row r="1209" ht="22.5" customHeight="1">
      <c r="C1209" s="19" t="s">
        <v>4157</v>
      </c>
      <c r="D1209" s="39" t="s">
        <v>4201</v>
      </c>
      <c r="E1209" s="43" t="s">
        <v>4202</v>
      </c>
      <c r="F1209" s="43" t="s">
        <v>2449</v>
      </c>
      <c r="G1209" s="43" t="s">
        <v>346</v>
      </c>
      <c r="H1209" s="44">
        <v>7.862265384E9</v>
      </c>
      <c r="I1209" s="18">
        <f t="shared" si="11"/>
        <v>45945</v>
      </c>
      <c r="J1209" s="19" t="s">
        <v>28</v>
      </c>
      <c r="K1209" s="19" t="s">
        <v>325</v>
      </c>
      <c r="L1209" s="40"/>
    </row>
    <row r="1210" ht="22.5" customHeight="1">
      <c r="C1210" s="19" t="s">
        <v>4157</v>
      </c>
      <c r="D1210" s="39" t="s">
        <v>4203</v>
      </c>
      <c r="E1210" s="43" t="s">
        <v>4204</v>
      </c>
      <c r="F1210" s="43" t="s">
        <v>4205</v>
      </c>
      <c r="G1210" s="43" t="s">
        <v>387</v>
      </c>
      <c r="H1210" s="42" t="s">
        <v>4206</v>
      </c>
      <c r="I1210" s="18">
        <f t="shared" si="11"/>
        <v>45945</v>
      </c>
      <c r="J1210" s="19" t="s">
        <v>28</v>
      </c>
      <c r="K1210" s="19" t="s">
        <v>325</v>
      </c>
      <c r="L1210" s="40"/>
    </row>
    <row r="1211" ht="22.5" customHeight="1">
      <c r="C1211" s="19" t="s">
        <v>4157</v>
      </c>
      <c r="D1211" s="39" t="s">
        <v>4207</v>
      </c>
      <c r="E1211" s="43" t="s">
        <v>4208</v>
      </c>
      <c r="F1211" s="43" t="s">
        <v>4209</v>
      </c>
      <c r="G1211" s="43" t="s">
        <v>142</v>
      </c>
      <c r="H1211" s="42" t="s">
        <v>4210</v>
      </c>
      <c r="I1211" s="18">
        <f t="shared" si="11"/>
        <v>45945</v>
      </c>
      <c r="J1211" s="19" t="s">
        <v>28</v>
      </c>
      <c r="K1211" s="19" t="s">
        <v>325</v>
      </c>
      <c r="L1211" s="40"/>
    </row>
    <row r="1212" ht="22.5" customHeight="1">
      <c r="C1212" s="19" t="s">
        <v>4157</v>
      </c>
      <c r="D1212" s="39" t="s">
        <v>4211</v>
      </c>
      <c r="E1212" s="43" t="s">
        <v>4212</v>
      </c>
      <c r="F1212" s="43" t="s">
        <v>3761</v>
      </c>
      <c r="G1212" s="43" t="s">
        <v>126</v>
      </c>
      <c r="H1212" s="42" t="s">
        <v>1096</v>
      </c>
      <c r="I1212" s="18">
        <f t="shared" si="11"/>
        <v>45945</v>
      </c>
      <c r="J1212" s="19" t="s">
        <v>28</v>
      </c>
      <c r="K1212" s="19" t="s">
        <v>325</v>
      </c>
      <c r="L1212" s="40"/>
    </row>
    <row r="1213" ht="22.5" customHeight="1">
      <c r="C1213" s="19" t="s">
        <v>4157</v>
      </c>
      <c r="D1213" s="39" t="s">
        <v>4213</v>
      </c>
      <c r="E1213" s="43" t="s">
        <v>4214</v>
      </c>
      <c r="F1213" s="43" t="s">
        <v>4215</v>
      </c>
      <c r="G1213" s="43" t="s">
        <v>72</v>
      </c>
      <c r="H1213" s="42" t="s">
        <v>4216</v>
      </c>
      <c r="I1213" s="18">
        <f t="shared" si="11"/>
        <v>45945</v>
      </c>
      <c r="J1213" s="19" t="s">
        <v>28</v>
      </c>
      <c r="K1213" s="19" t="s">
        <v>325</v>
      </c>
      <c r="L1213" s="40"/>
    </row>
    <row r="1214" ht="22.5" customHeight="1">
      <c r="C1214" s="19" t="s">
        <v>4157</v>
      </c>
      <c r="D1214" s="39" t="s">
        <v>4217</v>
      </c>
      <c r="E1214" s="43" t="s">
        <v>4218</v>
      </c>
      <c r="F1214" s="43" t="s">
        <v>4219</v>
      </c>
      <c r="G1214" s="43" t="s">
        <v>279</v>
      </c>
      <c r="H1214" s="44">
        <v>9.547898963E9</v>
      </c>
      <c r="I1214" s="18">
        <f t="shared" si="11"/>
        <v>45945</v>
      </c>
      <c r="J1214" s="19" t="s">
        <v>28</v>
      </c>
      <c r="K1214" s="19" t="s">
        <v>325</v>
      </c>
      <c r="L1214" s="40"/>
    </row>
    <row r="1215" ht="22.5" customHeight="1">
      <c r="C1215" s="19" t="s">
        <v>4157</v>
      </c>
      <c r="D1215" s="39" t="s">
        <v>4220</v>
      </c>
      <c r="E1215" s="43" t="s">
        <v>4221</v>
      </c>
      <c r="F1215" s="43" t="s">
        <v>4222</v>
      </c>
      <c r="G1215" s="43" t="s">
        <v>377</v>
      </c>
      <c r="H1215" s="42" t="s">
        <v>4223</v>
      </c>
      <c r="I1215" s="18">
        <f t="shared" si="11"/>
        <v>45945</v>
      </c>
      <c r="J1215" s="19" t="s">
        <v>28</v>
      </c>
      <c r="K1215" s="19" t="s">
        <v>325</v>
      </c>
      <c r="L1215" s="40"/>
    </row>
    <row r="1216" ht="22.5" customHeight="1">
      <c r="C1216" s="19" t="s">
        <v>4157</v>
      </c>
      <c r="D1216" s="39" t="s">
        <v>4224</v>
      </c>
      <c r="E1216" s="43" t="s">
        <v>4225</v>
      </c>
      <c r="F1216" s="43" t="s">
        <v>4226</v>
      </c>
      <c r="G1216" s="43" t="s">
        <v>170</v>
      </c>
      <c r="H1216" s="44">
        <v>5.612027153E9</v>
      </c>
      <c r="I1216" s="18">
        <f t="shared" si="11"/>
        <v>45945</v>
      </c>
      <c r="J1216" s="19" t="s">
        <v>28</v>
      </c>
      <c r="K1216" s="19" t="s">
        <v>325</v>
      </c>
      <c r="L1216" s="40"/>
    </row>
    <row r="1217" ht="22.5" customHeight="1">
      <c r="C1217" s="19" t="s">
        <v>4157</v>
      </c>
      <c r="D1217" s="39" t="s">
        <v>4227</v>
      </c>
      <c r="E1217" s="43" t="s">
        <v>4228</v>
      </c>
      <c r="F1217" s="43" t="s">
        <v>4229</v>
      </c>
      <c r="G1217" s="43" t="s">
        <v>247</v>
      </c>
      <c r="H1217" s="42" t="s">
        <v>4230</v>
      </c>
      <c r="I1217" s="18">
        <f t="shared" si="11"/>
        <v>45945</v>
      </c>
      <c r="J1217" s="19" t="s">
        <v>28</v>
      </c>
      <c r="K1217" s="19" t="s">
        <v>325</v>
      </c>
      <c r="L1217" s="40"/>
    </row>
    <row r="1218" ht="22.5" customHeight="1">
      <c r="C1218" s="19" t="s">
        <v>4157</v>
      </c>
      <c r="D1218" s="39" t="s">
        <v>4231</v>
      </c>
      <c r="E1218" s="43" t="s">
        <v>4232</v>
      </c>
      <c r="F1218" s="43" t="s">
        <v>4233</v>
      </c>
      <c r="G1218" s="43" t="s">
        <v>1266</v>
      </c>
      <c r="H1218" s="42" t="s">
        <v>4234</v>
      </c>
      <c r="I1218" s="18">
        <f t="shared" si="11"/>
        <v>45945</v>
      </c>
      <c r="J1218" s="19" t="s">
        <v>28</v>
      </c>
      <c r="K1218" s="19" t="s">
        <v>325</v>
      </c>
      <c r="L1218" s="40"/>
    </row>
    <row r="1219" ht="22.5" customHeight="1">
      <c r="C1219" s="19" t="s">
        <v>4157</v>
      </c>
      <c r="D1219" s="39" t="s">
        <v>4235</v>
      </c>
      <c r="E1219" s="43" t="s">
        <v>4236</v>
      </c>
      <c r="F1219" s="43" t="s">
        <v>4237</v>
      </c>
      <c r="G1219" s="43" t="s">
        <v>42</v>
      </c>
      <c r="H1219" s="44">
        <v>9.549555969E9</v>
      </c>
      <c r="I1219" s="18">
        <f t="shared" si="11"/>
        <v>45945</v>
      </c>
      <c r="J1219" s="19" t="s">
        <v>28</v>
      </c>
      <c r="K1219" s="19" t="s">
        <v>325</v>
      </c>
      <c r="L1219" s="40"/>
    </row>
    <row r="1220" ht="22.5" customHeight="1">
      <c r="C1220" s="19" t="s">
        <v>4157</v>
      </c>
      <c r="D1220" s="39" t="s">
        <v>4238</v>
      </c>
      <c r="E1220" s="43" t="s">
        <v>4239</v>
      </c>
      <c r="F1220" s="43" t="s">
        <v>4240</v>
      </c>
      <c r="G1220" s="43" t="s">
        <v>4241</v>
      </c>
      <c r="H1220" s="44">
        <v>9.544484993E9</v>
      </c>
      <c r="I1220" s="18">
        <f t="shared" si="11"/>
        <v>45945</v>
      </c>
      <c r="J1220" s="19" t="s">
        <v>28</v>
      </c>
      <c r="K1220" s="19" t="s">
        <v>325</v>
      </c>
      <c r="L1220" s="40"/>
    </row>
    <row r="1221" ht="22.5" customHeight="1">
      <c r="C1221" s="19" t="s">
        <v>4157</v>
      </c>
      <c r="D1221" s="39" t="s">
        <v>4242</v>
      </c>
      <c r="E1221" s="43" t="s">
        <v>4243</v>
      </c>
      <c r="F1221" s="43" t="s">
        <v>4244</v>
      </c>
      <c r="G1221" s="43" t="s">
        <v>4245</v>
      </c>
      <c r="H1221" s="44">
        <v>7.869220998E9</v>
      </c>
      <c r="I1221" s="18">
        <f t="shared" si="11"/>
        <v>45945</v>
      </c>
      <c r="J1221" s="19" t="s">
        <v>28</v>
      </c>
      <c r="K1221" s="19" t="s">
        <v>325</v>
      </c>
      <c r="L1221" s="40"/>
    </row>
    <row r="1222" ht="22.5" customHeight="1">
      <c r="C1222" s="19" t="s">
        <v>4157</v>
      </c>
      <c r="D1222" s="39" t="s">
        <v>4246</v>
      </c>
      <c r="E1222" s="43" t="s">
        <v>4247</v>
      </c>
      <c r="F1222" s="43" t="s">
        <v>4248</v>
      </c>
      <c r="G1222" s="43" t="s">
        <v>438</v>
      </c>
      <c r="H1222" s="42" t="s">
        <v>4249</v>
      </c>
      <c r="I1222" s="18">
        <f t="shared" si="11"/>
        <v>45945</v>
      </c>
      <c r="J1222" s="19" t="s">
        <v>28</v>
      </c>
      <c r="K1222" s="19" t="s">
        <v>325</v>
      </c>
      <c r="L1222" s="40"/>
    </row>
    <row r="1223" ht="22.5" customHeight="1">
      <c r="C1223" s="19" t="s">
        <v>4157</v>
      </c>
      <c r="D1223" s="39" t="s">
        <v>4250</v>
      </c>
      <c r="E1223" s="43" t="s">
        <v>4251</v>
      </c>
      <c r="F1223" s="43" t="s">
        <v>4252</v>
      </c>
      <c r="G1223" s="43" t="s">
        <v>599</v>
      </c>
      <c r="H1223" s="44">
        <v>9.544007322E9</v>
      </c>
      <c r="I1223" s="18">
        <f t="shared" si="11"/>
        <v>45945</v>
      </c>
      <c r="J1223" s="19" t="s">
        <v>28</v>
      </c>
      <c r="K1223" s="19" t="s">
        <v>325</v>
      </c>
      <c r="L1223" s="40"/>
    </row>
    <row r="1224" ht="22.5" customHeight="1">
      <c r="C1224" s="19" t="s">
        <v>4157</v>
      </c>
      <c r="D1224" s="39" t="s">
        <v>4253</v>
      </c>
      <c r="E1224" s="43" t="s">
        <v>4254</v>
      </c>
      <c r="F1224" s="43" t="s">
        <v>4255</v>
      </c>
      <c r="G1224" s="43" t="s">
        <v>113</v>
      </c>
      <c r="H1224" s="42" t="s">
        <v>4256</v>
      </c>
      <c r="I1224" s="18">
        <f t="shared" si="11"/>
        <v>45945</v>
      </c>
      <c r="J1224" s="19" t="s">
        <v>28</v>
      </c>
      <c r="K1224" s="19" t="s">
        <v>325</v>
      </c>
      <c r="L1224" s="40"/>
    </row>
    <row r="1225" ht="22.5" customHeight="1">
      <c r="C1225" s="19" t="s">
        <v>4157</v>
      </c>
      <c r="D1225" s="39" t="s">
        <v>4257</v>
      </c>
      <c r="E1225" s="43" t="s">
        <v>4258</v>
      </c>
      <c r="F1225" s="43" t="s">
        <v>4259</v>
      </c>
      <c r="G1225" s="43" t="s">
        <v>387</v>
      </c>
      <c r="H1225" s="42" t="s">
        <v>4260</v>
      </c>
      <c r="I1225" s="18">
        <f t="shared" si="11"/>
        <v>45945</v>
      </c>
      <c r="J1225" s="19" t="s">
        <v>28</v>
      </c>
      <c r="K1225" s="19" t="s">
        <v>325</v>
      </c>
      <c r="L1225" s="40"/>
    </row>
    <row r="1226" ht="22.5" customHeight="1">
      <c r="C1226" s="19" t="s">
        <v>4157</v>
      </c>
      <c r="D1226" s="39" t="s">
        <v>4261</v>
      </c>
      <c r="E1226" s="43" t="s">
        <v>4262</v>
      </c>
      <c r="F1226" s="43" t="s">
        <v>4263</v>
      </c>
      <c r="G1226" s="43" t="s">
        <v>1318</v>
      </c>
      <c r="H1226" s="44">
        <v>9.5462994E9</v>
      </c>
      <c r="I1226" s="18">
        <f t="shared" si="11"/>
        <v>45945</v>
      </c>
      <c r="J1226" s="19" t="s">
        <v>28</v>
      </c>
      <c r="K1226" s="19" t="s">
        <v>325</v>
      </c>
      <c r="L1226" s="40"/>
    </row>
    <row r="1227" ht="22.5" customHeight="1">
      <c r="C1227" s="19" t="s">
        <v>4264</v>
      </c>
      <c r="D1227" s="39" t="s">
        <v>2339</v>
      </c>
      <c r="E1227" s="43" t="s">
        <v>4265</v>
      </c>
      <c r="F1227" s="43" t="s">
        <v>4266</v>
      </c>
      <c r="G1227" s="43" t="s">
        <v>3810</v>
      </c>
      <c r="H1227" s="42" t="s">
        <v>4267</v>
      </c>
      <c r="I1227" s="18">
        <f t="shared" ref="I1227:I1371" si="12">DATE(2025, 10, 16)</f>
        <v>45946</v>
      </c>
      <c r="J1227" s="19" t="s">
        <v>28</v>
      </c>
      <c r="K1227" s="19" t="s">
        <v>325</v>
      </c>
      <c r="L1227" s="12"/>
    </row>
    <row r="1228" ht="22.5" customHeight="1">
      <c r="C1228" s="19" t="s">
        <v>4264</v>
      </c>
      <c r="D1228" s="39" t="s">
        <v>2339</v>
      </c>
      <c r="E1228" s="43" t="s">
        <v>4268</v>
      </c>
      <c r="F1228" s="43" t="s">
        <v>4269</v>
      </c>
      <c r="G1228" s="43" t="s">
        <v>1773</v>
      </c>
      <c r="H1228" s="42" t="s">
        <v>4270</v>
      </c>
      <c r="I1228" s="18">
        <f t="shared" si="12"/>
        <v>45946</v>
      </c>
      <c r="J1228" s="19" t="s">
        <v>28</v>
      </c>
      <c r="K1228" s="19" t="s">
        <v>325</v>
      </c>
      <c r="L1228" s="40"/>
    </row>
    <row r="1229" ht="22.5" customHeight="1">
      <c r="C1229" s="19" t="s">
        <v>4264</v>
      </c>
      <c r="D1229" s="39" t="s">
        <v>2339</v>
      </c>
      <c r="E1229" s="43" t="s">
        <v>4271</v>
      </c>
      <c r="F1229" s="43" t="s">
        <v>4272</v>
      </c>
      <c r="G1229" s="43" t="s">
        <v>1777</v>
      </c>
      <c r="H1229" s="42" t="s">
        <v>4273</v>
      </c>
      <c r="I1229" s="18">
        <f t="shared" si="12"/>
        <v>45946</v>
      </c>
      <c r="J1229" s="19" t="s">
        <v>28</v>
      </c>
      <c r="K1229" s="19" t="s">
        <v>325</v>
      </c>
      <c r="L1229" s="40"/>
    </row>
    <row r="1230" ht="22.5" customHeight="1">
      <c r="C1230" s="19" t="s">
        <v>4264</v>
      </c>
      <c r="D1230" s="39" t="s">
        <v>2339</v>
      </c>
      <c r="E1230" s="43" t="s">
        <v>4274</v>
      </c>
      <c r="F1230" s="43" t="s">
        <v>4275</v>
      </c>
      <c r="G1230" s="43" t="s">
        <v>847</v>
      </c>
      <c r="H1230" s="42" t="s">
        <v>4276</v>
      </c>
      <c r="I1230" s="18">
        <f t="shared" si="12"/>
        <v>45946</v>
      </c>
      <c r="J1230" s="19" t="s">
        <v>28</v>
      </c>
      <c r="K1230" s="19" t="s">
        <v>325</v>
      </c>
      <c r="L1230" s="40"/>
    </row>
    <row r="1231" ht="22.5" customHeight="1">
      <c r="C1231" s="19" t="s">
        <v>4264</v>
      </c>
      <c r="D1231" s="39" t="s">
        <v>2339</v>
      </c>
      <c r="E1231" s="43" t="s">
        <v>4277</v>
      </c>
      <c r="F1231" s="43" t="s">
        <v>4278</v>
      </c>
      <c r="G1231" s="43" t="s">
        <v>1323</v>
      </c>
      <c r="H1231" s="42" t="s">
        <v>4279</v>
      </c>
      <c r="I1231" s="18">
        <f t="shared" si="12"/>
        <v>45946</v>
      </c>
      <c r="J1231" s="19" t="s">
        <v>28</v>
      </c>
      <c r="K1231" s="19" t="s">
        <v>325</v>
      </c>
      <c r="L1231" s="40"/>
    </row>
    <row r="1232" ht="22.5" customHeight="1">
      <c r="C1232" s="19" t="s">
        <v>4264</v>
      </c>
      <c r="D1232" s="39" t="s">
        <v>2339</v>
      </c>
      <c r="E1232" s="43" t="s">
        <v>4280</v>
      </c>
      <c r="F1232" s="43" t="s">
        <v>4281</v>
      </c>
      <c r="G1232" s="43" t="s">
        <v>301</v>
      </c>
      <c r="H1232" s="44">
        <v>3.478912754E9</v>
      </c>
      <c r="I1232" s="18">
        <f t="shared" si="12"/>
        <v>45946</v>
      </c>
      <c r="J1232" s="19" t="s">
        <v>28</v>
      </c>
      <c r="K1232" s="19" t="s">
        <v>325</v>
      </c>
      <c r="L1232" s="40"/>
    </row>
    <row r="1233" ht="22.5" customHeight="1">
      <c r="C1233" s="19" t="s">
        <v>4264</v>
      </c>
      <c r="D1233" s="39" t="s">
        <v>2339</v>
      </c>
      <c r="E1233" s="43" t="s">
        <v>4282</v>
      </c>
      <c r="F1233" s="43" t="s">
        <v>4283</v>
      </c>
      <c r="G1233" s="43" t="s">
        <v>1349</v>
      </c>
      <c r="H1233" s="42" t="s">
        <v>4284</v>
      </c>
      <c r="I1233" s="18">
        <f t="shared" si="12"/>
        <v>45946</v>
      </c>
      <c r="J1233" s="19" t="s">
        <v>28</v>
      </c>
      <c r="K1233" s="19" t="s">
        <v>325</v>
      </c>
      <c r="L1233" s="40"/>
    </row>
    <row r="1234" ht="22.5" customHeight="1">
      <c r="C1234" s="19" t="s">
        <v>4264</v>
      </c>
      <c r="D1234" s="39" t="s">
        <v>2339</v>
      </c>
      <c r="E1234" s="43" t="s">
        <v>4285</v>
      </c>
      <c r="F1234" s="43" t="s">
        <v>4286</v>
      </c>
      <c r="G1234" s="43" t="s">
        <v>77</v>
      </c>
      <c r="H1234" s="42" t="s">
        <v>4287</v>
      </c>
      <c r="I1234" s="18">
        <f t="shared" si="12"/>
        <v>45946</v>
      </c>
      <c r="J1234" s="19" t="s">
        <v>28</v>
      </c>
      <c r="K1234" s="19" t="s">
        <v>325</v>
      </c>
      <c r="L1234" s="40"/>
    </row>
    <row r="1235" ht="22.5" customHeight="1">
      <c r="C1235" s="19" t="s">
        <v>4264</v>
      </c>
      <c r="D1235" s="39" t="s">
        <v>2339</v>
      </c>
      <c r="E1235" s="43" t="s">
        <v>4288</v>
      </c>
      <c r="F1235" s="43" t="s">
        <v>4289</v>
      </c>
      <c r="G1235" s="43" t="s">
        <v>1832</v>
      </c>
      <c r="H1235" s="42" t="s">
        <v>4290</v>
      </c>
      <c r="I1235" s="18">
        <f t="shared" si="12"/>
        <v>45946</v>
      </c>
      <c r="J1235" s="19" t="s">
        <v>28</v>
      </c>
      <c r="K1235" s="19" t="s">
        <v>325</v>
      </c>
      <c r="L1235" s="40"/>
    </row>
    <row r="1236" ht="22.5" customHeight="1">
      <c r="C1236" s="19" t="s">
        <v>4264</v>
      </c>
      <c r="D1236" s="39" t="s">
        <v>2339</v>
      </c>
      <c r="E1236" s="43" t="s">
        <v>4291</v>
      </c>
      <c r="F1236" s="28" t="s">
        <v>182</v>
      </c>
      <c r="G1236" s="43" t="s">
        <v>42</v>
      </c>
      <c r="H1236" s="42" t="s">
        <v>4292</v>
      </c>
      <c r="I1236" s="18">
        <f t="shared" si="12"/>
        <v>45946</v>
      </c>
      <c r="J1236" s="19" t="s">
        <v>28</v>
      </c>
      <c r="K1236" s="19" t="s">
        <v>325</v>
      </c>
      <c r="L1236" s="40"/>
    </row>
    <row r="1237" ht="22.5" customHeight="1">
      <c r="C1237" s="19" t="s">
        <v>4264</v>
      </c>
      <c r="D1237" s="39" t="s">
        <v>2339</v>
      </c>
      <c r="E1237" s="43" t="s">
        <v>4293</v>
      </c>
      <c r="F1237" s="43" t="s">
        <v>4294</v>
      </c>
      <c r="G1237" s="43" t="s">
        <v>1795</v>
      </c>
      <c r="H1237" s="42" t="s">
        <v>4295</v>
      </c>
      <c r="I1237" s="18">
        <f t="shared" si="12"/>
        <v>45946</v>
      </c>
      <c r="J1237" s="19" t="s">
        <v>28</v>
      </c>
      <c r="K1237" s="19" t="s">
        <v>325</v>
      </c>
      <c r="L1237" s="40"/>
    </row>
    <row r="1238" ht="22.5" customHeight="1">
      <c r="C1238" s="19" t="s">
        <v>4264</v>
      </c>
      <c r="D1238" s="39" t="s">
        <v>2339</v>
      </c>
      <c r="E1238" s="43" t="s">
        <v>4296</v>
      </c>
      <c r="F1238" s="43" t="s">
        <v>4297</v>
      </c>
      <c r="G1238" s="43" t="s">
        <v>1781</v>
      </c>
      <c r="H1238" s="44">
        <v>8.137666262E9</v>
      </c>
      <c r="I1238" s="18">
        <f t="shared" si="12"/>
        <v>45946</v>
      </c>
      <c r="J1238" s="19" t="s">
        <v>28</v>
      </c>
      <c r="K1238" s="19" t="s">
        <v>325</v>
      </c>
      <c r="L1238" s="40"/>
    </row>
    <row r="1239" ht="22.5" customHeight="1">
      <c r="C1239" s="19" t="s">
        <v>4264</v>
      </c>
      <c r="D1239" s="39" t="s">
        <v>2339</v>
      </c>
      <c r="E1239" s="43" t="s">
        <v>4298</v>
      </c>
      <c r="F1239" s="43" t="s">
        <v>4299</v>
      </c>
      <c r="G1239" s="43" t="s">
        <v>4300</v>
      </c>
      <c r="H1239" s="42" t="s">
        <v>4301</v>
      </c>
      <c r="I1239" s="18">
        <f t="shared" si="12"/>
        <v>45946</v>
      </c>
      <c r="J1239" s="19" t="s">
        <v>28</v>
      </c>
      <c r="K1239" s="19" t="s">
        <v>325</v>
      </c>
      <c r="L1239" s="40"/>
    </row>
    <row r="1240" ht="22.5" customHeight="1">
      <c r="C1240" s="19" t="s">
        <v>4264</v>
      </c>
      <c r="D1240" s="39" t="s">
        <v>2339</v>
      </c>
      <c r="E1240" s="43" t="s">
        <v>4302</v>
      </c>
      <c r="F1240" s="43" t="s">
        <v>4303</v>
      </c>
      <c r="G1240" s="43" t="s">
        <v>582</v>
      </c>
      <c r="H1240" s="44">
        <v>4.847977737E9</v>
      </c>
      <c r="I1240" s="18">
        <f t="shared" si="12"/>
        <v>45946</v>
      </c>
      <c r="J1240" s="19" t="s">
        <v>28</v>
      </c>
      <c r="K1240" s="19" t="s">
        <v>325</v>
      </c>
      <c r="L1240" s="40"/>
    </row>
    <row r="1241" ht="22.5" customHeight="1">
      <c r="C1241" s="19" t="s">
        <v>4264</v>
      </c>
      <c r="D1241" s="39" t="s">
        <v>2339</v>
      </c>
      <c r="E1241" s="43" t="s">
        <v>4304</v>
      </c>
      <c r="F1241" s="43" t="s">
        <v>4305</v>
      </c>
      <c r="G1241" s="43" t="s">
        <v>1640</v>
      </c>
      <c r="H1241" s="42" t="s">
        <v>4306</v>
      </c>
      <c r="I1241" s="18">
        <f t="shared" si="12"/>
        <v>45946</v>
      </c>
      <c r="J1241" s="19" t="s">
        <v>28</v>
      </c>
      <c r="K1241" s="19" t="s">
        <v>325</v>
      </c>
      <c r="L1241" s="40"/>
    </row>
    <row r="1242" ht="22.5" customHeight="1">
      <c r="C1242" s="19" t="s">
        <v>4264</v>
      </c>
      <c r="D1242" s="39" t="s">
        <v>2339</v>
      </c>
      <c r="E1242" s="43" t="s">
        <v>4307</v>
      </c>
      <c r="F1242" s="43" t="s">
        <v>4308</v>
      </c>
      <c r="G1242" s="43" t="s">
        <v>1164</v>
      </c>
      <c r="H1242" s="42" t="s">
        <v>4309</v>
      </c>
      <c r="I1242" s="18">
        <f t="shared" si="12"/>
        <v>45946</v>
      </c>
      <c r="J1242" s="19" t="s">
        <v>28</v>
      </c>
      <c r="K1242" s="19" t="s">
        <v>325</v>
      </c>
      <c r="L1242" s="40"/>
    </row>
    <row r="1243" ht="22.5" customHeight="1">
      <c r="C1243" s="19" t="s">
        <v>4264</v>
      </c>
      <c r="D1243" s="39" t="s">
        <v>2339</v>
      </c>
      <c r="E1243" s="43" t="s">
        <v>4310</v>
      </c>
      <c r="F1243" s="43" t="s">
        <v>4311</v>
      </c>
      <c r="G1243" s="43" t="s">
        <v>170</v>
      </c>
      <c r="H1243" s="42" t="s">
        <v>4312</v>
      </c>
      <c r="I1243" s="18">
        <f t="shared" si="12"/>
        <v>45946</v>
      </c>
      <c r="J1243" s="19" t="s">
        <v>28</v>
      </c>
      <c r="K1243" s="19" t="s">
        <v>325</v>
      </c>
      <c r="L1243" s="40"/>
    </row>
    <row r="1244" ht="22.5" customHeight="1">
      <c r="C1244" s="19" t="s">
        <v>4264</v>
      </c>
      <c r="D1244" s="39" t="s">
        <v>2339</v>
      </c>
      <c r="E1244" s="43" t="s">
        <v>4313</v>
      </c>
      <c r="F1244" s="43" t="s">
        <v>4308</v>
      </c>
      <c r="G1244" s="43" t="s">
        <v>4314</v>
      </c>
      <c r="H1244" s="42" t="s">
        <v>4315</v>
      </c>
      <c r="I1244" s="18">
        <f t="shared" si="12"/>
        <v>45946</v>
      </c>
      <c r="J1244" s="19" t="s">
        <v>28</v>
      </c>
      <c r="K1244" s="19" t="s">
        <v>325</v>
      </c>
      <c r="L1244" s="40"/>
    </row>
    <row r="1245" ht="22.5" customHeight="1">
      <c r="C1245" s="19" t="s">
        <v>4264</v>
      </c>
      <c r="D1245" s="39" t="s">
        <v>2339</v>
      </c>
      <c r="E1245" s="43" t="s">
        <v>4316</v>
      </c>
      <c r="F1245" s="43" t="s">
        <v>4317</v>
      </c>
      <c r="G1245" s="43" t="s">
        <v>142</v>
      </c>
      <c r="H1245" s="42" t="s">
        <v>4318</v>
      </c>
      <c r="I1245" s="18">
        <f t="shared" si="12"/>
        <v>45946</v>
      </c>
      <c r="J1245" s="19" t="s">
        <v>28</v>
      </c>
      <c r="K1245" s="19" t="s">
        <v>325</v>
      </c>
      <c r="L1245" s="40"/>
    </row>
    <row r="1246" ht="22.5" customHeight="1">
      <c r="C1246" s="19" t="s">
        <v>4264</v>
      </c>
      <c r="D1246" s="39" t="s">
        <v>2339</v>
      </c>
      <c r="E1246" s="43" t="s">
        <v>4319</v>
      </c>
      <c r="F1246" s="43" t="s">
        <v>4320</v>
      </c>
      <c r="G1246" s="43" t="s">
        <v>1139</v>
      </c>
      <c r="H1246" s="42" t="s">
        <v>4321</v>
      </c>
      <c r="I1246" s="18">
        <f t="shared" si="12"/>
        <v>45946</v>
      </c>
      <c r="J1246" s="19" t="s">
        <v>28</v>
      </c>
      <c r="K1246" s="19" t="s">
        <v>325</v>
      </c>
      <c r="L1246" s="40"/>
    </row>
    <row r="1247" ht="22.5" customHeight="1">
      <c r="C1247" s="19" t="s">
        <v>4264</v>
      </c>
      <c r="D1247" s="39" t="s">
        <v>2339</v>
      </c>
      <c r="E1247" s="43" t="s">
        <v>4322</v>
      </c>
      <c r="F1247" s="43" t="s">
        <v>4323</v>
      </c>
      <c r="G1247" s="43" t="s">
        <v>982</v>
      </c>
      <c r="H1247" s="42" t="s">
        <v>4324</v>
      </c>
      <c r="I1247" s="18">
        <f t="shared" si="12"/>
        <v>45946</v>
      </c>
      <c r="J1247" s="19" t="s">
        <v>28</v>
      </c>
      <c r="K1247" s="19" t="s">
        <v>325</v>
      </c>
      <c r="L1247" s="40"/>
    </row>
    <row r="1248" ht="22.5" customHeight="1">
      <c r="C1248" s="19" t="s">
        <v>4264</v>
      </c>
      <c r="D1248" s="39" t="s">
        <v>2339</v>
      </c>
      <c r="E1248" s="43" t="s">
        <v>4325</v>
      </c>
      <c r="F1248" s="43" t="s">
        <v>4326</v>
      </c>
      <c r="G1248" s="43" t="s">
        <v>62</v>
      </c>
      <c r="H1248" s="42" t="s">
        <v>4327</v>
      </c>
      <c r="I1248" s="18">
        <f t="shared" si="12"/>
        <v>45946</v>
      </c>
      <c r="J1248" s="19" t="s">
        <v>28</v>
      </c>
      <c r="K1248" s="19" t="s">
        <v>325</v>
      </c>
      <c r="L1248" s="40"/>
    </row>
    <row r="1249" ht="22.5" customHeight="1">
      <c r="C1249" s="19" t="s">
        <v>4264</v>
      </c>
      <c r="D1249" s="39" t="s">
        <v>2339</v>
      </c>
      <c r="E1249" s="43" t="s">
        <v>4328</v>
      </c>
      <c r="F1249" s="43" t="s">
        <v>4329</v>
      </c>
      <c r="G1249" s="43" t="s">
        <v>3681</v>
      </c>
      <c r="H1249" s="44">
        <v>4.074082044E9</v>
      </c>
      <c r="I1249" s="18">
        <f t="shared" si="12"/>
        <v>45946</v>
      </c>
      <c r="J1249" s="19" t="s">
        <v>28</v>
      </c>
      <c r="K1249" s="19" t="s">
        <v>325</v>
      </c>
      <c r="L1249" s="40"/>
    </row>
    <row r="1250" ht="22.5" customHeight="1">
      <c r="C1250" s="19" t="s">
        <v>4264</v>
      </c>
      <c r="D1250" s="39" t="s">
        <v>2339</v>
      </c>
      <c r="E1250" s="43" t="s">
        <v>4330</v>
      </c>
      <c r="F1250" s="43" t="s">
        <v>4331</v>
      </c>
      <c r="G1250" s="43" t="s">
        <v>2596</v>
      </c>
      <c r="H1250" s="42" t="s">
        <v>4332</v>
      </c>
      <c r="I1250" s="18">
        <f t="shared" si="12"/>
        <v>45946</v>
      </c>
      <c r="J1250" s="19" t="s">
        <v>28</v>
      </c>
      <c r="K1250" s="19" t="s">
        <v>325</v>
      </c>
      <c r="L1250" s="40"/>
    </row>
    <row r="1251" ht="22.5" customHeight="1">
      <c r="C1251" s="19" t="s">
        <v>4264</v>
      </c>
      <c r="D1251" s="39" t="s">
        <v>2339</v>
      </c>
      <c r="E1251" s="43" t="s">
        <v>4333</v>
      </c>
      <c r="F1251" s="43" t="s">
        <v>4334</v>
      </c>
      <c r="G1251" s="43" t="s">
        <v>279</v>
      </c>
      <c r="H1251" s="42" t="s">
        <v>4335</v>
      </c>
      <c r="I1251" s="18">
        <f t="shared" si="12"/>
        <v>45946</v>
      </c>
      <c r="J1251" s="19" t="s">
        <v>28</v>
      </c>
      <c r="K1251" s="19" t="s">
        <v>325</v>
      </c>
      <c r="L1251" s="40"/>
    </row>
    <row r="1252" ht="22.5" customHeight="1">
      <c r="C1252" s="19" t="s">
        <v>4264</v>
      </c>
      <c r="D1252" s="39" t="s">
        <v>2339</v>
      </c>
      <c r="E1252" s="43" t="s">
        <v>4336</v>
      </c>
      <c r="F1252" s="43" t="s">
        <v>4336</v>
      </c>
      <c r="G1252" s="43" t="s">
        <v>4337</v>
      </c>
      <c r="H1252" s="44">
        <v>3.475513201E9</v>
      </c>
      <c r="I1252" s="18">
        <f t="shared" si="12"/>
        <v>45946</v>
      </c>
      <c r="J1252" s="19" t="s">
        <v>28</v>
      </c>
      <c r="K1252" s="19" t="s">
        <v>325</v>
      </c>
      <c r="L1252" s="40"/>
    </row>
    <row r="1253" ht="22.5" customHeight="1">
      <c r="C1253" s="19" t="s">
        <v>4264</v>
      </c>
      <c r="D1253" s="39" t="s">
        <v>2339</v>
      </c>
      <c r="E1253" s="43" t="s">
        <v>4338</v>
      </c>
      <c r="F1253" s="43" t="s">
        <v>4339</v>
      </c>
      <c r="G1253" s="43" t="s">
        <v>2664</v>
      </c>
      <c r="H1253" s="42" t="s">
        <v>4340</v>
      </c>
      <c r="I1253" s="18">
        <f t="shared" si="12"/>
        <v>45946</v>
      </c>
      <c r="J1253" s="19" t="s">
        <v>28</v>
      </c>
      <c r="K1253" s="19" t="s">
        <v>325</v>
      </c>
      <c r="L1253" s="40"/>
    </row>
    <row r="1254" ht="22.5" customHeight="1">
      <c r="C1254" s="19" t="s">
        <v>4264</v>
      </c>
      <c r="D1254" s="39" t="s">
        <v>2339</v>
      </c>
      <c r="E1254" s="43" t="s">
        <v>4341</v>
      </c>
      <c r="F1254" s="43" t="s">
        <v>4342</v>
      </c>
      <c r="G1254" s="43" t="s">
        <v>3681</v>
      </c>
      <c r="H1254" s="44">
        <v>2.122037343E9</v>
      </c>
      <c r="I1254" s="18">
        <f t="shared" si="12"/>
        <v>45946</v>
      </c>
      <c r="J1254" s="19" t="s">
        <v>28</v>
      </c>
      <c r="K1254" s="19" t="s">
        <v>325</v>
      </c>
      <c r="L1254" s="40"/>
    </row>
    <row r="1255" ht="22.5" customHeight="1">
      <c r="C1255" s="19" t="s">
        <v>4264</v>
      </c>
      <c r="D1255" s="39" t="s">
        <v>2339</v>
      </c>
      <c r="E1255" s="43" t="s">
        <v>4343</v>
      </c>
      <c r="F1255" s="43" t="s">
        <v>4344</v>
      </c>
      <c r="G1255" s="43" t="s">
        <v>1370</v>
      </c>
      <c r="H1255" s="42" t="s">
        <v>4345</v>
      </c>
      <c r="I1255" s="18">
        <f t="shared" si="12"/>
        <v>45946</v>
      </c>
      <c r="J1255" s="19" t="s">
        <v>28</v>
      </c>
      <c r="K1255" s="19" t="s">
        <v>325</v>
      </c>
      <c r="L1255" s="40"/>
    </row>
    <row r="1256" ht="22.5" customHeight="1">
      <c r="C1256" s="19" t="s">
        <v>4264</v>
      </c>
      <c r="D1256" s="39" t="s">
        <v>2339</v>
      </c>
      <c r="E1256" s="43" t="s">
        <v>4346</v>
      </c>
      <c r="F1256" s="43" t="s">
        <v>4347</v>
      </c>
      <c r="G1256" s="43" t="s">
        <v>1764</v>
      </c>
      <c r="H1256" s="42" t="s">
        <v>4348</v>
      </c>
      <c r="I1256" s="18">
        <f t="shared" si="12"/>
        <v>45946</v>
      </c>
      <c r="J1256" s="19" t="s">
        <v>28</v>
      </c>
      <c r="K1256" s="19" t="s">
        <v>325</v>
      </c>
      <c r="L1256" s="40"/>
    </row>
    <row r="1257" ht="22.5" customHeight="1">
      <c r="C1257" s="19" t="s">
        <v>4264</v>
      </c>
      <c r="D1257" s="39" t="s">
        <v>2339</v>
      </c>
      <c r="E1257" s="43" t="s">
        <v>4349</v>
      </c>
      <c r="F1257" s="43" t="s">
        <v>4350</v>
      </c>
      <c r="G1257" s="43" t="s">
        <v>230</v>
      </c>
      <c r="H1257" s="42" t="s">
        <v>4351</v>
      </c>
      <c r="I1257" s="18">
        <f t="shared" si="12"/>
        <v>45946</v>
      </c>
      <c r="J1257" s="19" t="s">
        <v>28</v>
      </c>
      <c r="K1257" s="19" t="s">
        <v>325</v>
      </c>
      <c r="L1257" s="40"/>
    </row>
    <row r="1258" ht="22.5" customHeight="1">
      <c r="C1258" s="19" t="s">
        <v>4264</v>
      </c>
      <c r="D1258" s="39" t="s">
        <v>2339</v>
      </c>
      <c r="E1258" s="43" t="s">
        <v>4352</v>
      </c>
      <c r="F1258" s="43" t="s">
        <v>4353</v>
      </c>
      <c r="G1258" s="43" t="s">
        <v>1481</v>
      </c>
      <c r="H1258" s="42" t="s">
        <v>4354</v>
      </c>
      <c r="I1258" s="18">
        <f t="shared" si="12"/>
        <v>45946</v>
      </c>
      <c r="J1258" s="19" t="s">
        <v>28</v>
      </c>
      <c r="K1258" s="19" t="s">
        <v>325</v>
      </c>
      <c r="L1258" s="40"/>
    </row>
    <row r="1259" ht="22.5" customHeight="1">
      <c r="C1259" s="19" t="s">
        <v>4264</v>
      </c>
      <c r="D1259" s="39" t="s">
        <v>2339</v>
      </c>
      <c r="E1259" s="43" t="s">
        <v>4355</v>
      </c>
      <c r="F1259" s="43" t="s">
        <v>4356</v>
      </c>
      <c r="G1259" s="43" t="s">
        <v>1843</v>
      </c>
      <c r="H1259" s="42" t="s">
        <v>4357</v>
      </c>
      <c r="I1259" s="18">
        <f t="shared" si="12"/>
        <v>45946</v>
      </c>
      <c r="J1259" s="19" t="s">
        <v>28</v>
      </c>
      <c r="K1259" s="19" t="s">
        <v>325</v>
      </c>
      <c r="L1259" s="40"/>
    </row>
    <row r="1260" ht="22.5" customHeight="1">
      <c r="C1260" s="19" t="s">
        <v>4264</v>
      </c>
      <c r="D1260" s="39" t="s">
        <v>2339</v>
      </c>
      <c r="E1260" s="43" t="s">
        <v>4358</v>
      </c>
      <c r="F1260" s="43" t="s">
        <v>4359</v>
      </c>
      <c r="G1260" s="43" t="s">
        <v>4360</v>
      </c>
      <c r="H1260" s="44">
        <v>9.176736189E9</v>
      </c>
      <c r="I1260" s="18">
        <f t="shared" si="12"/>
        <v>45946</v>
      </c>
      <c r="J1260" s="19" t="s">
        <v>28</v>
      </c>
      <c r="K1260" s="19" t="s">
        <v>325</v>
      </c>
      <c r="L1260" s="40"/>
    </row>
    <row r="1261" ht="22.5" customHeight="1">
      <c r="C1261" s="19" t="s">
        <v>4264</v>
      </c>
      <c r="D1261" s="39" t="s">
        <v>2339</v>
      </c>
      <c r="E1261" s="43" t="s">
        <v>4361</v>
      </c>
      <c r="F1261" s="43" t="s">
        <v>4362</v>
      </c>
      <c r="G1261" s="43" t="s">
        <v>126</v>
      </c>
      <c r="H1261" s="42" t="s">
        <v>4363</v>
      </c>
      <c r="I1261" s="18">
        <f t="shared" si="12"/>
        <v>45946</v>
      </c>
      <c r="J1261" s="19" t="s">
        <v>28</v>
      </c>
      <c r="K1261" s="19" t="s">
        <v>325</v>
      </c>
      <c r="L1261" s="40"/>
    </row>
    <row r="1262" ht="22.5" customHeight="1">
      <c r="C1262" s="19" t="s">
        <v>4264</v>
      </c>
      <c r="D1262" s="39" t="s">
        <v>2339</v>
      </c>
      <c r="E1262" s="43" t="s">
        <v>4364</v>
      </c>
      <c r="F1262" s="43" t="s">
        <v>4365</v>
      </c>
      <c r="G1262" s="43" t="s">
        <v>4027</v>
      </c>
      <c r="H1262" s="44">
        <v>6.462245906E9</v>
      </c>
      <c r="I1262" s="18">
        <f t="shared" si="12"/>
        <v>45946</v>
      </c>
      <c r="J1262" s="19" t="s">
        <v>28</v>
      </c>
      <c r="K1262" s="19" t="s">
        <v>325</v>
      </c>
      <c r="L1262" s="40"/>
    </row>
    <row r="1263" ht="22.5" customHeight="1">
      <c r="C1263" s="19" t="s">
        <v>4264</v>
      </c>
      <c r="D1263" s="39" t="s">
        <v>2339</v>
      </c>
      <c r="E1263" s="43" t="s">
        <v>4366</v>
      </c>
      <c r="F1263" s="43" t="s">
        <v>4367</v>
      </c>
      <c r="G1263" s="43" t="s">
        <v>108</v>
      </c>
      <c r="H1263" s="42" t="s">
        <v>4368</v>
      </c>
      <c r="I1263" s="18">
        <f t="shared" si="12"/>
        <v>45946</v>
      </c>
      <c r="J1263" s="19" t="s">
        <v>28</v>
      </c>
      <c r="K1263" s="19" t="s">
        <v>325</v>
      </c>
      <c r="L1263" s="40"/>
    </row>
    <row r="1264" ht="22.5" customHeight="1">
      <c r="C1264" s="19" t="s">
        <v>4264</v>
      </c>
      <c r="D1264" s="39" t="s">
        <v>2339</v>
      </c>
      <c r="E1264" s="43" t="s">
        <v>4369</v>
      </c>
      <c r="F1264" s="43" t="s">
        <v>4370</v>
      </c>
      <c r="G1264" s="43" t="s">
        <v>67</v>
      </c>
      <c r="H1264" s="42" t="s">
        <v>4371</v>
      </c>
      <c r="I1264" s="18">
        <f t="shared" si="12"/>
        <v>45946</v>
      </c>
      <c r="J1264" s="19" t="s">
        <v>28</v>
      </c>
      <c r="K1264" s="19" t="s">
        <v>325</v>
      </c>
      <c r="L1264" s="40"/>
    </row>
    <row r="1265" ht="22.5" customHeight="1">
      <c r="C1265" s="19" t="s">
        <v>4264</v>
      </c>
      <c r="D1265" s="39" t="s">
        <v>2339</v>
      </c>
      <c r="E1265" s="43" t="s">
        <v>4372</v>
      </c>
      <c r="F1265" s="43" t="s">
        <v>4373</v>
      </c>
      <c r="G1265" s="43" t="s">
        <v>4374</v>
      </c>
      <c r="H1265" s="42" t="s">
        <v>4375</v>
      </c>
      <c r="I1265" s="18">
        <f t="shared" si="12"/>
        <v>45946</v>
      </c>
      <c r="J1265" s="19" t="s">
        <v>28</v>
      </c>
      <c r="K1265" s="19" t="s">
        <v>325</v>
      </c>
      <c r="L1265" s="40"/>
    </row>
    <row r="1266" ht="22.5" customHeight="1">
      <c r="C1266" s="19" t="s">
        <v>4264</v>
      </c>
      <c r="D1266" s="39" t="s">
        <v>2339</v>
      </c>
      <c r="E1266" s="43" t="s">
        <v>4376</v>
      </c>
      <c r="F1266" s="43" t="s">
        <v>4377</v>
      </c>
      <c r="G1266" s="43" t="s">
        <v>524</v>
      </c>
      <c r="H1266" s="42" t="s">
        <v>4378</v>
      </c>
      <c r="I1266" s="18">
        <f t="shared" si="12"/>
        <v>45946</v>
      </c>
      <c r="J1266" s="19" t="s">
        <v>28</v>
      </c>
      <c r="K1266" s="19" t="s">
        <v>325</v>
      </c>
      <c r="L1266" s="40"/>
    </row>
    <row r="1267" ht="22.5" customHeight="1">
      <c r="C1267" s="19" t="s">
        <v>4264</v>
      </c>
      <c r="D1267" s="39" t="s">
        <v>2339</v>
      </c>
      <c r="E1267" s="43" t="s">
        <v>4379</v>
      </c>
      <c r="F1267" s="43" t="s">
        <v>4380</v>
      </c>
      <c r="G1267" s="43" t="s">
        <v>722</v>
      </c>
      <c r="H1267" s="44">
        <v>9.174538382E9</v>
      </c>
      <c r="I1267" s="18">
        <f t="shared" si="12"/>
        <v>45946</v>
      </c>
      <c r="J1267" s="19" t="s">
        <v>28</v>
      </c>
      <c r="K1267" s="19" t="s">
        <v>325</v>
      </c>
      <c r="L1267" s="40"/>
    </row>
    <row r="1268" ht="22.5" customHeight="1">
      <c r="C1268" s="19" t="s">
        <v>4264</v>
      </c>
      <c r="D1268" s="39" t="s">
        <v>2339</v>
      </c>
      <c r="E1268" s="43" t="s">
        <v>4381</v>
      </c>
      <c r="F1268" s="43" t="s">
        <v>4382</v>
      </c>
      <c r="G1268" s="43" t="s">
        <v>4383</v>
      </c>
      <c r="H1268" s="42" t="s">
        <v>4384</v>
      </c>
      <c r="I1268" s="18">
        <f t="shared" si="12"/>
        <v>45946</v>
      </c>
      <c r="J1268" s="19" t="s">
        <v>28</v>
      </c>
      <c r="K1268" s="19" t="s">
        <v>325</v>
      </c>
      <c r="L1268" s="40"/>
    </row>
    <row r="1269" ht="22.5" customHeight="1">
      <c r="C1269" s="19" t="s">
        <v>4264</v>
      </c>
      <c r="D1269" s="39" t="s">
        <v>2339</v>
      </c>
      <c r="E1269" s="43" t="s">
        <v>4385</v>
      </c>
      <c r="F1269" s="43" t="s">
        <v>4386</v>
      </c>
      <c r="G1269" s="43" t="s">
        <v>4387</v>
      </c>
      <c r="H1269" s="42" t="s">
        <v>4388</v>
      </c>
      <c r="I1269" s="18">
        <f t="shared" si="12"/>
        <v>45946</v>
      </c>
      <c r="J1269" s="19" t="s">
        <v>28</v>
      </c>
      <c r="K1269" s="19" t="s">
        <v>325</v>
      </c>
      <c r="L1269" s="40"/>
    </row>
    <row r="1270" ht="22.5" customHeight="1">
      <c r="C1270" s="19" t="s">
        <v>4264</v>
      </c>
      <c r="D1270" s="39" t="s">
        <v>2339</v>
      </c>
      <c r="E1270" s="43" t="s">
        <v>4389</v>
      </c>
      <c r="F1270" s="43" t="s">
        <v>4390</v>
      </c>
      <c r="G1270" s="43" t="s">
        <v>4391</v>
      </c>
      <c r="H1270" s="42" t="s">
        <v>4392</v>
      </c>
      <c r="I1270" s="18">
        <f t="shared" si="12"/>
        <v>45946</v>
      </c>
      <c r="J1270" s="19" t="s">
        <v>28</v>
      </c>
      <c r="K1270" s="19" t="s">
        <v>325</v>
      </c>
      <c r="L1270" s="40"/>
    </row>
    <row r="1271" ht="22.5" customHeight="1">
      <c r="C1271" s="19" t="s">
        <v>4264</v>
      </c>
      <c r="D1271" s="39" t="s">
        <v>2339</v>
      </c>
      <c r="E1271" s="43" t="s">
        <v>4393</v>
      </c>
      <c r="F1271" s="43" t="s">
        <v>4394</v>
      </c>
      <c r="G1271" s="43" t="s">
        <v>57</v>
      </c>
      <c r="H1271" s="42" t="s">
        <v>4395</v>
      </c>
      <c r="I1271" s="18">
        <f t="shared" si="12"/>
        <v>45946</v>
      </c>
      <c r="J1271" s="19" t="s">
        <v>28</v>
      </c>
      <c r="K1271" s="19" t="s">
        <v>325</v>
      </c>
      <c r="L1271" s="40"/>
    </row>
    <row r="1272" ht="22.5" customHeight="1">
      <c r="C1272" s="19" t="s">
        <v>4264</v>
      </c>
      <c r="D1272" s="39" t="s">
        <v>2339</v>
      </c>
      <c r="E1272" s="43" t="s">
        <v>4396</v>
      </c>
      <c r="F1272" s="43" t="s">
        <v>4397</v>
      </c>
      <c r="G1272" s="43" t="s">
        <v>131</v>
      </c>
      <c r="H1272" s="42" t="s">
        <v>4398</v>
      </c>
      <c r="I1272" s="18">
        <f t="shared" si="12"/>
        <v>45946</v>
      </c>
      <c r="J1272" s="19" t="s">
        <v>28</v>
      </c>
      <c r="K1272" s="19" t="s">
        <v>325</v>
      </c>
      <c r="L1272" s="40"/>
    </row>
    <row r="1273" ht="22.5" customHeight="1">
      <c r="C1273" s="19" t="s">
        <v>4264</v>
      </c>
      <c r="D1273" s="39" t="s">
        <v>2339</v>
      </c>
      <c r="E1273" s="43" t="s">
        <v>4399</v>
      </c>
      <c r="F1273" s="43" t="s">
        <v>4400</v>
      </c>
      <c r="G1273" s="43" t="s">
        <v>72</v>
      </c>
      <c r="H1273" s="42" t="s">
        <v>4401</v>
      </c>
      <c r="I1273" s="18">
        <f t="shared" si="12"/>
        <v>45946</v>
      </c>
      <c r="J1273" s="19" t="s">
        <v>28</v>
      </c>
      <c r="K1273" s="19" t="s">
        <v>325</v>
      </c>
      <c r="L1273" s="40"/>
    </row>
    <row r="1274" ht="22.5" customHeight="1">
      <c r="C1274" s="19" t="s">
        <v>4264</v>
      </c>
      <c r="D1274" s="39" t="s">
        <v>2339</v>
      </c>
      <c r="E1274" s="43" t="s">
        <v>4402</v>
      </c>
      <c r="F1274" s="43" t="s">
        <v>4403</v>
      </c>
      <c r="G1274" s="43" t="s">
        <v>67</v>
      </c>
      <c r="H1274" s="42" t="s">
        <v>4404</v>
      </c>
      <c r="I1274" s="18">
        <f t="shared" si="12"/>
        <v>45946</v>
      </c>
      <c r="J1274" s="19" t="s">
        <v>28</v>
      </c>
      <c r="K1274" s="19" t="s">
        <v>325</v>
      </c>
      <c r="L1274" s="40"/>
    </row>
    <row r="1275" ht="22.5" customHeight="1">
      <c r="C1275" s="19" t="s">
        <v>4264</v>
      </c>
      <c r="D1275" s="39" t="s">
        <v>2339</v>
      </c>
      <c r="E1275" s="43" t="s">
        <v>4405</v>
      </c>
      <c r="F1275" s="43" t="s">
        <v>4406</v>
      </c>
      <c r="G1275" s="43" t="s">
        <v>4407</v>
      </c>
      <c r="H1275" s="42" t="s">
        <v>4408</v>
      </c>
      <c r="I1275" s="18">
        <f t="shared" si="12"/>
        <v>45946</v>
      </c>
      <c r="J1275" s="19" t="s">
        <v>28</v>
      </c>
      <c r="K1275" s="19" t="s">
        <v>325</v>
      </c>
      <c r="L1275" s="40"/>
    </row>
    <row r="1276" ht="22.5" customHeight="1">
      <c r="C1276" s="19" t="s">
        <v>4264</v>
      </c>
      <c r="D1276" s="39" t="s">
        <v>2339</v>
      </c>
      <c r="E1276" s="43" t="s">
        <v>4409</v>
      </c>
      <c r="F1276" s="43" t="s">
        <v>4410</v>
      </c>
      <c r="G1276" s="43" t="s">
        <v>524</v>
      </c>
      <c r="H1276" s="42" t="s">
        <v>4411</v>
      </c>
      <c r="I1276" s="18">
        <f t="shared" si="12"/>
        <v>45946</v>
      </c>
      <c r="J1276" s="19" t="s">
        <v>28</v>
      </c>
      <c r="K1276" s="19" t="s">
        <v>325</v>
      </c>
      <c r="L1276" s="40"/>
    </row>
    <row r="1277" ht="22.5" customHeight="1">
      <c r="C1277" s="19" t="s">
        <v>4264</v>
      </c>
      <c r="D1277" s="39" t="s">
        <v>2339</v>
      </c>
      <c r="E1277" s="43" t="s">
        <v>4412</v>
      </c>
      <c r="F1277" s="43" t="s">
        <v>1419</v>
      </c>
      <c r="G1277" s="43" t="s">
        <v>67</v>
      </c>
      <c r="H1277" s="42" t="s">
        <v>4413</v>
      </c>
      <c r="I1277" s="18">
        <f t="shared" si="12"/>
        <v>45946</v>
      </c>
      <c r="J1277" s="19" t="s">
        <v>28</v>
      </c>
      <c r="K1277" s="19" t="s">
        <v>325</v>
      </c>
      <c r="L1277" s="40"/>
    </row>
    <row r="1278" ht="22.5" customHeight="1">
      <c r="C1278" s="19" t="s">
        <v>4264</v>
      </c>
      <c r="D1278" s="39" t="s">
        <v>2339</v>
      </c>
      <c r="E1278" s="43" t="s">
        <v>4414</v>
      </c>
      <c r="F1278" s="43" t="s">
        <v>4415</v>
      </c>
      <c r="G1278" s="43" t="s">
        <v>26</v>
      </c>
      <c r="H1278" s="42" t="s">
        <v>4416</v>
      </c>
      <c r="I1278" s="18">
        <f t="shared" si="12"/>
        <v>45946</v>
      </c>
      <c r="J1278" s="19" t="s">
        <v>28</v>
      </c>
      <c r="K1278" s="19" t="s">
        <v>325</v>
      </c>
      <c r="L1278" s="40"/>
    </row>
    <row r="1279" ht="22.5" customHeight="1">
      <c r="C1279" s="19" t="s">
        <v>4264</v>
      </c>
      <c r="D1279" s="39" t="s">
        <v>2339</v>
      </c>
      <c r="E1279" s="43" t="s">
        <v>4417</v>
      </c>
      <c r="F1279" s="43" t="s">
        <v>1419</v>
      </c>
      <c r="G1279" s="43" t="s">
        <v>67</v>
      </c>
      <c r="H1279" s="42" t="s">
        <v>4418</v>
      </c>
      <c r="I1279" s="18">
        <f t="shared" si="12"/>
        <v>45946</v>
      </c>
      <c r="J1279" s="19" t="s">
        <v>28</v>
      </c>
      <c r="K1279" s="19" t="s">
        <v>325</v>
      </c>
      <c r="L1279" s="40"/>
    </row>
    <row r="1280" ht="22.5" customHeight="1">
      <c r="C1280" s="19" t="s">
        <v>4264</v>
      </c>
      <c r="D1280" s="39" t="s">
        <v>2339</v>
      </c>
      <c r="E1280" s="43" t="s">
        <v>4419</v>
      </c>
      <c r="F1280" s="43" t="s">
        <v>4420</v>
      </c>
      <c r="G1280" s="43" t="s">
        <v>1043</v>
      </c>
      <c r="H1280" s="42" t="s">
        <v>4421</v>
      </c>
      <c r="I1280" s="18">
        <f t="shared" si="12"/>
        <v>45946</v>
      </c>
      <c r="J1280" s="19" t="s">
        <v>28</v>
      </c>
      <c r="K1280" s="19" t="s">
        <v>325</v>
      </c>
      <c r="L1280" s="40"/>
    </row>
    <row r="1281" ht="22.5" customHeight="1">
      <c r="C1281" s="19" t="s">
        <v>4264</v>
      </c>
      <c r="D1281" s="39" t="s">
        <v>2339</v>
      </c>
      <c r="E1281" s="43" t="s">
        <v>4422</v>
      </c>
      <c r="F1281" s="43" t="s">
        <v>4423</v>
      </c>
      <c r="G1281" s="43" t="s">
        <v>4424</v>
      </c>
      <c r="H1281" s="42" t="s">
        <v>4425</v>
      </c>
      <c r="I1281" s="18">
        <f t="shared" si="12"/>
        <v>45946</v>
      </c>
      <c r="J1281" s="19" t="s">
        <v>28</v>
      </c>
      <c r="K1281" s="19" t="s">
        <v>325</v>
      </c>
      <c r="L1281" s="40"/>
    </row>
    <row r="1282" ht="22.5" customHeight="1">
      <c r="C1282" s="19" t="s">
        <v>4264</v>
      </c>
      <c r="D1282" s="39" t="s">
        <v>2339</v>
      </c>
      <c r="E1282" s="43" t="s">
        <v>4426</v>
      </c>
      <c r="F1282" s="43" t="s">
        <v>4427</v>
      </c>
      <c r="G1282" s="43" t="s">
        <v>62</v>
      </c>
      <c r="H1282" s="44">
        <v>9.175668151E9</v>
      </c>
      <c r="I1282" s="18">
        <f t="shared" si="12"/>
        <v>45946</v>
      </c>
      <c r="J1282" s="19" t="s">
        <v>28</v>
      </c>
      <c r="K1282" s="19" t="s">
        <v>325</v>
      </c>
      <c r="L1282" s="40"/>
    </row>
    <row r="1283" ht="22.5" customHeight="1">
      <c r="C1283" s="19" t="s">
        <v>4264</v>
      </c>
      <c r="D1283" s="39" t="s">
        <v>2339</v>
      </c>
      <c r="E1283" s="43" t="s">
        <v>4428</v>
      </c>
      <c r="F1283" s="43" t="s">
        <v>4429</v>
      </c>
      <c r="G1283" s="43" t="s">
        <v>67</v>
      </c>
      <c r="H1283" s="42" t="s">
        <v>4430</v>
      </c>
      <c r="I1283" s="18">
        <f t="shared" si="12"/>
        <v>45946</v>
      </c>
      <c r="J1283" s="19" t="s">
        <v>28</v>
      </c>
      <c r="K1283" s="19" t="s">
        <v>325</v>
      </c>
      <c r="L1283" s="40"/>
    </row>
    <row r="1284" ht="22.5" customHeight="1">
      <c r="C1284" s="19" t="s">
        <v>4264</v>
      </c>
      <c r="D1284" s="39" t="s">
        <v>2339</v>
      </c>
      <c r="E1284" s="43" t="s">
        <v>4431</v>
      </c>
      <c r="F1284" s="43" t="s">
        <v>4432</v>
      </c>
      <c r="G1284" s="43" t="s">
        <v>4433</v>
      </c>
      <c r="H1284" s="42" t="s">
        <v>4434</v>
      </c>
      <c r="I1284" s="18">
        <f t="shared" si="12"/>
        <v>45946</v>
      </c>
      <c r="J1284" s="19" t="s">
        <v>28</v>
      </c>
      <c r="K1284" s="19" t="s">
        <v>325</v>
      </c>
      <c r="L1284" s="40"/>
    </row>
    <row r="1285" ht="22.5" customHeight="1">
      <c r="C1285" s="19" t="s">
        <v>4264</v>
      </c>
      <c r="D1285" s="39" t="s">
        <v>2339</v>
      </c>
      <c r="E1285" s="43" t="s">
        <v>4435</v>
      </c>
      <c r="F1285" s="43" t="s">
        <v>4436</v>
      </c>
      <c r="G1285" s="43" t="s">
        <v>2854</v>
      </c>
      <c r="H1285" s="42" t="s">
        <v>4437</v>
      </c>
      <c r="I1285" s="18">
        <f t="shared" si="12"/>
        <v>45946</v>
      </c>
      <c r="J1285" s="19" t="s">
        <v>28</v>
      </c>
      <c r="K1285" s="19" t="s">
        <v>325</v>
      </c>
      <c r="L1285" s="4" t="s">
        <v>3699</v>
      </c>
    </row>
    <row r="1286" ht="22.5" customHeight="1">
      <c r="C1286" s="19" t="s">
        <v>4264</v>
      </c>
      <c r="D1286" s="39" t="s">
        <v>2339</v>
      </c>
      <c r="E1286" s="43" t="s">
        <v>4438</v>
      </c>
      <c r="F1286" s="43" t="s">
        <v>4439</v>
      </c>
      <c r="G1286" s="43" t="s">
        <v>26</v>
      </c>
      <c r="H1286" s="42" t="s">
        <v>4440</v>
      </c>
      <c r="I1286" s="18">
        <f t="shared" si="12"/>
        <v>45946</v>
      </c>
      <c r="J1286" s="19" t="s">
        <v>28</v>
      </c>
      <c r="K1286" s="19" t="s">
        <v>325</v>
      </c>
      <c r="L1286" s="40"/>
    </row>
    <row r="1287" ht="22.5" customHeight="1">
      <c r="C1287" s="19" t="s">
        <v>4264</v>
      </c>
      <c r="D1287" s="39" t="s">
        <v>2339</v>
      </c>
      <c r="E1287" s="43" t="s">
        <v>4441</v>
      </c>
      <c r="F1287" s="43" t="s">
        <v>4442</v>
      </c>
      <c r="G1287" s="43" t="s">
        <v>696</v>
      </c>
      <c r="H1287" s="44">
        <v>6.313792583E9</v>
      </c>
      <c r="I1287" s="18">
        <f t="shared" si="12"/>
        <v>45946</v>
      </c>
      <c r="J1287" s="19" t="s">
        <v>28</v>
      </c>
      <c r="K1287" s="19" t="s">
        <v>325</v>
      </c>
      <c r="L1287" s="40"/>
    </row>
    <row r="1288" ht="22.5" customHeight="1">
      <c r="C1288" s="19" t="s">
        <v>4264</v>
      </c>
      <c r="D1288" s="39" t="s">
        <v>2339</v>
      </c>
      <c r="E1288" s="43" t="s">
        <v>4443</v>
      </c>
      <c r="F1288" s="43" t="s">
        <v>4444</v>
      </c>
      <c r="G1288" s="43" t="s">
        <v>2013</v>
      </c>
      <c r="H1288" s="42" t="s">
        <v>4445</v>
      </c>
      <c r="I1288" s="18">
        <f t="shared" si="12"/>
        <v>45946</v>
      </c>
      <c r="J1288" s="19" t="s">
        <v>28</v>
      </c>
      <c r="K1288" s="19" t="s">
        <v>325</v>
      </c>
      <c r="L1288" s="40"/>
    </row>
    <row r="1289" ht="22.5" customHeight="1">
      <c r="C1289" s="19" t="s">
        <v>4264</v>
      </c>
      <c r="D1289" s="39" t="s">
        <v>2339</v>
      </c>
      <c r="E1289" s="43" t="s">
        <v>4446</v>
      </c>
      <c r="F1289" s="43" t="s">
        <v>4447</v>
      </c>
      <c r="G1289" s="43" t="s">
        <v>722</v>
      </c>
      <c r="H1289" s="42" t="s">
        <v>4448</v>
      </c>
      <c r="I1289" s="18">
        <f t="shared" si="12"/>
        <v>45946</v>
      </c>
      <c r="J1289" s="19" t="s">
        <v>28</v>
      </c>
      <c r="K1289" s="19" t="s">
        <v>325</v>
      </c>
      <c r="L1289" s="40"/>
    </row>
    <row r="1290" ht="22.5" customHeight="1">
      <c r="C1290" s="19" t="s">
        <v>4264</v>
      </c>
      <c r="D1290" s="39" t="s">
        <v>2339</v>
      </c>
      <c r="E1290" s="43" t="s">
        <v>4449</v>
      </c>
      <c r="F1290" s="43" t="s">
        <v>4450</v>
      </c>
      <c r="G1290" s="43" t="s">
        <v>2504</v>
      </c>
      <c r="H1290" s="42" t="s">
        <v>4451</v>
      </c>
      <c r="I1290" s="18">
        <f t="shared" si="12"/>
        <v>45946</v>
      </c>
      <c r="J1290" s="19" t="s">
        <v>28</v>
      </c>
      <c r="K1290" s="19" t="s">
        <v>325</v>
      </c>
      <c r="L1290" s="40"/>
    </row>
    <row r="1291" ht="22.5" customHeight="1">
      <c r="C1291" s="19" t="s">
        <v>4264</v>
      </c>
      <c r="D1291" s="39" t="s">
        <v>2339</v>
      </c>
      <c r="E1291" s="43" t="s">
        <v>4452</v>
      </c>
      <c r="F1291" s="43" t="s">
        <v>4453</v>
      </c>
      <c r="G1291" s="43" t="s">
        <v>1781</v>
      </c>
      <c r="H1291" s="42" t="s">
        <v>4454</v>
      </c>
      <c r="I1291" s="18">
        <f t="shared" si="12"/>
        <v>45946</v>
      </c>
      <c r="J1291" s="19" t="s">
        <v>28</v>
      </c>
      <c r="K1291" s="19" t="s">
        <v>325</v>
      </c>
      <c r="L1291" s="40"/>
    </row>
    <row r="1292" ht="22.5" customHeight="1">
      <c r="C1292" s="19" t="s">
        <v>4264</v>
      </c>
      <c r="D1292" s="39" t="s">
        <v>2339</v>
      </c>
      <c r="E1292" s="43" t="s">
        <v>4455</v>
      </c>
      <c r="F1292" s="43" t="s">
        <v>4456</v>
      </c>
      <c r="G1292" s="43" t="s">
        <v>4457</v>
      </c>
      <c r="H1292" s="42" t="s">
        <v>4458</v>
      </c>
      <c r="I1292" s="18">
        <f t="shared" si="12"/>
        <v>45946</v>
      </c>
      <c r="J1292" s="19" t="s">
        <v>28</v>
      </c>
      <c r="K1292" s="19" t="s">
        <v>325</v>
      </c>
      <c r="L1292" s="40"/>
    </row>
    <row r="1293" ht="22.5" customHeight="1">
      <c r="C1293" s="19" t="s">
        <v>4264</v>
      </c>
      <c r="D1293" s="39" t="s">
        <v>2339</v>
      </c>
      <c r="E1293" s="43" t="s">
        <v>4459</v>
      </c>
      <c r="F1293" s="43" t="s">
        <v>4460</v>
      </c>
      <c r="G1293" s="43" t="s">
        <v>264</v>
      </c>
      <c r="H1293" s="42" t="s">
        <v>4461</v>
      </c>
      <c r="I1293" s="18">
        <f t="shared" si="12"/>
        <v>45946</v>
      </c>
      <c r="J1293" s="19" t="s">
        <v>28</v>
      </c>
      <c r="K1293" s="19" t="s">
        <v>325</v>
      </c>
      <c r="L1293" s="40"/>
    </row>
    <row r="1294" ht="22.5" customHeight="1">
      <c r="C1294" s="19" t="s">
        <v>4264</v>
      </c>
      <c r="D1294" s="39" t="s">
        <v>2339</v>
      </c>
      <c r="E1294" s="43" t="s">
        <v>4462</v>
      </c>
      <c r="F1294" s="43" t="s">
        <v>4463</v>
      </c>
      <c r="G1294" s="43" t="s">
        <v>1781</v>
      </c>
      <c r="H1294" s="42" t="s">
        <v>4464</v>
      </c>
      <c r="I1294" s="18">
        <f t="shared" si="12"/>
        <v>45946</v>
      </c>
      <c r="J1294" s="19" t="s">
        <v>28</v>
      </c>
      <c r="K1294" s="19" t="s">
        <v>325</v>
      </c>
      <c r="L1294" s="40"/>
    </row>
    <row r="1295" ht="22.5" customHeight="1">
      <c r="C1295" s="19" t="s">
        <v>4264</v>
      </c>
      <c r="D1295" s="39" t="s">
        <v>2339</v>
      </c>
      <c r="E1295" s="43" t="s">
        <v>4465</v>
      </c>
      <c r="F1295" s="43" t="s">
        <v>4466</v>
      </c>
      <c r="G1295" s="43" t="s">
        <v>1258</v>
      </c>
      <c r="H1295" s="44">
        <v>6.462464905E9</v>
      </c>
      <c r="I1295" s="18">
        <f t="shared" si="12"/>
        <v>45946</v>
      </c>
      <c r="J1295" s="19" t="s">
        <v>28</v>
      </c>
      <c r="K1295" s="19" t="s">
        <v>325</v>
      </c>
      <c r="L1295" s="40"/>
    </row>
    <row r="1296" ht="22.5" customHeight="1">
      <c r="C1296" s="19" t="s">
        <v>4264</v>
      </c>
      <c r="D1296" s="39" t="s">
        <v>2339</v>
      </c>
      <c r="E1296" s="43" t="s">
        <v>4467</v>
      </c>
      <c r="F1296" s="43" t="s">
        <v>4467</v>
      </c>
      <c r="G1296" s="43" t="s">
        <v>152</v>
      </c>
      <c r="H1296" s="42" t="s">
        <v>4468</v>
      </c>
      <c r="I1296" s="18">
        <f t="shared" si="12"/>
        <v>45946</v>
      </c>
      <c r="J1296" s="19" t="s">
        <v>28</v>
      </c>
      <c r="K1296" s="19" t="s">
        <v>325</v>
      </c>
      <c r="L1296" s="40"/>
    </row>
    <row r="1297" ht="22.5" customHeight="1">
      <c r="C1297" s="19" t="s">
        <v>4264</v>
      </c>
      <c r="D1297" s="39" t="s">
        <v>2339</v>
      </c>
      <c r="E1297" s="43" t="s">
        <v>4469</v>
      </c>
      <c r="F1297" s="43" t="s">
        <v>4470</v>
      </c>
      <c r="G1297" s="43" t="s">
        <v>2616</v>
      </c>
      <c r="H1297" s="44">
        <v>6.462634055E9</v>
      </c>
      <c r="I1297" s="18">
        <f t="shared" si="12"/>
        <v>45946</v>
      </c>
      <c r="J1297" s="19" t="s">
        <v>28</v>
      </c>
      <c r="K1297" s="19" t="s">
        <v>325</v>
      </c>
      <c r="L1297" s="40"/>
    </row>
    <row r="1298" ht="22.5" customHeight="1">
      <c r="C1298" s="19" t="s">
        <v>4264</v>
      </c>
      <c r="D1298" s="39" t="s">
        <v>2339</v>
      </c>
      <c r="E1298" s="43" t="s">
        <v>4471</v>
      </c>
      <c r="F1298" s="43" t="s">
        <v>4472</v>
      </c>
      <c r="G1298" s="43" t="s">
        <v>4027</v>
      </c>
      <c r="H1298" s="42" t="s">
        <v>4473</v>
      </c>
      <c r="I1298" s="18">
        <f t="shared" si="12"/>
        <v>45946</v>
      </c>
      <c r="J1298" s="19" t="s">
        <v>28</v>
      </c>
      <c r="K1298" s="19" t="s">
        <v>325</v>
      </c>
      <c r="L1298" s="40"/>
    </row>
    <row r="1299" ht="22.5" customHeight="1">
      <c r="C1299" s="19" t="s">
        <v>4264</v>
      </c>
      <c r="D1299" s="39" t="s">
        <v>2339</v>
      </c>
      <c r="E1299" s="43" t="s">
        <v>4474</v>
      </c>
      <c r="F1299" s="43" t="s">
        <v>4475</v>
      </c>
      <c r="G1299" s="43" t="s">
        <v>126</v>
      </c>
      <c r="H1299" s="44">
        <v>6.465731222E9</v>
      </c>
      <c r="I1299" s="18">
        <f t="shared" si="12"/>
        <v>45946</v>
      </c>
      <c r="J1299" s="19" t="s">
        <v>28</v>
      </c>
      <c r="K1299" s="19" t="s">
        <v>325</v>
      </c>
      <c r="L1299" s="40"/>
    </row>
    <row r="1300" ht="22.5" customHeight="1">
      <c r="C1300" s="19" t="s">
        <v>4264</v>
      </c>
      <c r="D1300" s="39" t="s">
        <v>2339</v>
      </c>
      <c r="E1300" s="43" t="s">
        <v>4476</v>
      </c>
      <c r="F1300" s="43" t="s">
        <v>4477</v>
      </c>
      <c r="G1300" s="43" t="s">
        <v>67</v>
      </c>
      <c r="H1300" s="42" t="s">
        <v>4478</v>
      </c>
      <c r="I1300" s="18">
        <f t="shared" si="12"/>
        <v>45946</v>
      </c>
      <c r="J1300" s="19" t="s">
        <v>28</v>
      </c>
      <c r="K1300" s="19" t="s">
        <v>325</v>
      </c>
      <c r="L1300" s="40"/>
    </row>
    <row r="1301" ht="22.5" customHeight="1">
      <c r="C1301" s="19" t="s">
        <v>4264</v>
      </c>
      <c r="D1301" s="39" t="s">
        <v>2339</v>
      </c>
      <c r="E1301" s="43" t="s">
        <v>4479</v>
      </c>
      <c r="F1301" s="43" t="s">
        <v>4480</v>
      </c>
      <c r="G1301" s="43" t="s">
        <v>52</v>
      </c>
      <c r="H1301" s="42" t="s">
        <v>4481</v>
      </c>
      <c r="I1301" s="18">
        <f t="shared" si="12"/>
        <v>45946</v>
      </c>
      <c r="J1301" s="19" t="s">
        <v>28</v>
      </c>
      <c r="K1301" s="19" t="s">
        <v>325</v>
      </c>
      <c r="L1301" s="40"/>
    </row>
    <row r="1302" ht="22.5" customHeight="1">
      <c r="C1302" s="19" t="s">
        <v>4264</v>
      </c>
      <c r="D1302" s="39" t="s">
        <v>2339</v>
      </c>
      <c r="E1302" s="43" t="s">
        <v>4482</v>
      </c>
      <c r="F1302" s="43" t="s">
        <v>4483</v>
      </c>
      <c r="G1302" s="43" t="s">
        <v>170</v>
      </c>
      <c r="H1302" s="42" t="s">
        <v>4484</v>
      </c>
      <c r="I1302" s="18">
        <f t="shared" si="12"/>
        <v>45946</v>
      </c>
      <c r="J1302" s="19" t="s">
        <v>28</v>
      </c>
      <c r="K1302" s="19" t="s">
        <v>325</v>
      </c>
      <c r="L1302" s="40"/>
    </row>
    <row r="1303" ht="22.5" customHeight="1">
      <c r="C1303" s="19" t="s">
        <v>4264</v>
      </c>
      <c r="D1303" s="39" t="s">
        <v>2339</v>
      </c>
      <c r="E1303" s="43" t="s">
        <v>4485</v>
      </c>
      <c r="F1303" s="43" t="s">
        <v>4486</v>
      </c>
      <c r="G1303" s="43" t="s">
        <v>1010</v>
      </c>
      <c r="H1303" s="42" t="s">
        <v>4487</v>
      </c>
      <c r="I1303" s="18">
        <f t="shared" si="12"/>
        <v>45946</v>
      </c>
      <c r="J1303" s="19" t="s">
        <v>28</v>
      </c>
      <c r="K1303" s="19" t="s">
        <v>325</v>
      </c>
      <c r="L1303" s="40"/>
    </row>
    <row r="1304" ht="22.5" customHeight="1">
      <c r="C1304" s="19" t="s">
        <v>4264</v>
      </c>
      <c r="D1304" s="39" t="s">
        <v>2339</v>
      </c>
      <c r="E1304" s="43" t="s">
        <v>4488</v>
      </c>
      <c r="F1304" s="43" t="s">
        <v>4489</v>
      </c>
      <c r="G1304" s="43" t="s">
        <v>4490</v>
      </c>
      <c r="H1304" s="42" t="s">
        <v>4491</v>
      </c>
      <c r="I1304" s="18">
        <f t="shared" si="12"/>
        <v>45946</v>
      </c>
      <c r="J1304" s="19" t="s">
        <v>28</v>
      </c>
      <c r="K1304" s="19" t="s">
        <v>325</v>
      </c>
      <c r="L1304" s="40"/>
    </row>
    <row r="1305" ht="22.5" customHeight="1">
      <c r="C1305" s="19" t="s">
        <v>4264</v>
      </c>
      <c r="D1305" s="39" t="s">
        <v>2339</v>
      </c>
      <c r="E1305" s="43" t="s">
        <v>4492</v>
      </c>
      <c r="F1305" s="43" t="s">
        <v>4493</v>
      </c>
      <c r="G1305" s="43" t="s">
        <v>4494</v>
      </c>
      <c r="H1305" s="44">
        <v>6.304109633E9</v>
      </c>
      <c r="I1305" s="18">
        <f t="shared" si="12"/>
        <v>45946</v>
      </c>
      <c r="J1305" s="19" t="s">
        <v>28</v>
      </c>
      <c r="K1305" s="19" t="s">
        <v>325</v>
      </c>
      <c r="L1305" s="40"/>
    </row>
    <row r="1306" ht="22.5" customHeight="1">
      <c r="C1306" s="19" t="s">
        <v>4264</v>
      </c>
      <c r="D1306" s="39" t="s">
        <v>2339</v>
      </c>
      <c r="E1306" s="43" t="s">
        <v>4495</v>
      </c>
      <c r="F1306" s="43" t="s">
        <v>4496</v>
      </c>
      <c r="G1306" s="43" t="s">
        <v>1323</v>
      </c>
      <c r="H1306" s="44">
        <v>9.044292263E9</v>
      </c>
      <c r="I1306" s="18">
        <f t="shared" si="12"/>
        <v>45946</v>
      </c>
      <c r="J1306" s="19" t="s">
        <v>28</v>
      </c>
      <c r="K1306" s="19" t="s">
        <v>325</v>
      </c>
      <c r="L1306" s="40"/>
    </row>
    <row r="1307" ht="22.5" customHeight="1">
      <c r="C1307" s="19" t="s">
        <v>4264</v>
      </c>
      <c r="D1307" s="39" t="s">
        <v>2339</v>
      </c>
      <c r="E1307" s="43" t="s">
        <v>4497</v>
      </c>
      <c r="F1307" s="43" t="s">
        <v>4498</v>
      </c>
      <c r="G1307" s="43" t="s">
        <v>553</v>
      </c>
      <c r="H1307" s="42" t="s">
        <v>4499</v>
      </c>
      <c r="I1307" s="18">
        <f t="shared" si="12"/>
        <v>45946</v>
      </c>
      <c r="J1307" s="19" t="s">
        <v>28</v>
      </c>
      <c r="K1307" s="19" t="s">
        <v>325</v>
      </c>
      <c r="L1307" s="40"/>
    </row>
    <row r="1308" ht="22.5" customHeight="1">
      <c r="C1308" s="19" t="s">
        <v>4500</v>
      </c>
      <c r="D1308" s="39" t="s">
        <v>2339</v>
      </c>
      <c r="E1308" s="43" t="s">
        <v>4501</v>
      </c>
      <c r="F1308" s="43" t="s">
        <v>4502</v>
      </c>
      <c r="G1308" s="43" t="s">
        <v>722</v>
      </c>
      <c r="H1308" s="42" t="s">
        <v>4503</v>
      </c>
      <c r="I1308" s="18">
        <f t="shared" si="12"/>
        <v>45946</v>
      </c>
      <c r="J1308" s="19" t="s">
        <v>28</v>
      </c>
      <c r="K1308" s="19" t="s">
        <v>325</v>
      </c>
      <c r="L1308" s="40"/>
    </row>
    <row r="1309" ht="22.5" customHeight="1">
      <c r="C1309" s="19" t="s">
        <v>4500</v>
      </c>
      <c r="D1309" s="39" t="s">
        <v>2339</v>
      </c>
      <c r="E1309" s="43" t="s">
        <v>4504</v>
      </c>
      <c r="F1309" s="43" t="s">
        <v>1419</v>
      </c>
      <c r="G1309" s="43" t="s">
        <v>67</v>
      </c>
      <c r="H1309" s="44">
        <v>6.466335176E9</v>
      </c>
      <c r="I1309" s="18">
        <f t="shared" si="12"/>
        <v>45946</v>
      </c>
      <c r="J1309" s="19" t="s">
        <v>28</v>
      </c>
      <c r="K1309" s="19" t="s">
        <v>325</v>
      </c>
      <c r="L1309" s="40"/>
    </row>
    <row r="1310" ht="22.5" customHeight="1">
      <c r="C1310" s="19" t="s">
        <v>4500</v>
      </c>
      <c r="D1310" s="39" t="s">
        <v>2339</v>
      </c>
      <c r="E1310" s="43" t="s">
        <v>4505</v>
      </c>
      <c r="F1310" s="43" t="s">
        <v>4506</v>
      </c>
      <c r="G1310" s="43" t="s">
        <v>4507</v>
      </c>
      <c r="H1310" s="42" t="s">
        <v>4508</v>
      </c>
      <c r="I1310" s="18">
        <f t="shared" si="12"/>
        <v>45946</v>
      </c>
      <c r="J1310" s="19" t="s">
        <v>28</v>
      </c>
      <c r="K1310" s="19" t="s">
        <v>325</v>
      </c>
      <c r="L1310" s="40"/>
    </row>
    <row r="1311" ht="22.5" customHeight="1">
      <c r="C1311" s="19" t="s">
        <v>4500</v>
      </c>
      <c r="D1311" s="39" t="s">
        <v>2339</v>
      </c>
      <c r="E1311" s="43" t="s">
        <v>4509</v>
      </c>
      <c r="F1311" s="43" t="s">
        <v>1419</v>
      </c>
      <c r="G1311" s="43" t="s">
        <v>67</v>
      </c>
      <c r="H1311" s="42" t="s">
        <v>4510</v>
      </c>
      <c r="I1311" s="18">
        <f t="shared" si="12"/>
        <v>45946</v>
      </c>
      <c r="J1311" s="19" t="s">
        <v>28</v>
      </c>
      <c r="K1311" s="19" t="s">
        <v>325</v>
      </c>
      <c r="L1311" s="40"/>
    </row>
    <row r="1312" ht="22.5" customHeight="1">
      <c r="C1312" s="19" t="s">
        <v>4500</v>
      </c>
      <c r="D1312" s="39" t="s">
        <v>2339</v>
      </c>
      <c r="E1312" s="43" t="s">
        <v>4511</v>
      </c>
      <c r="F1312" s="43" t="s">
        <v>4512</v>
      </c>
      <c r="G1312" s="43" t="s">
        <v>136</v>
      </c>
      <c r="H1312" s="42" t="s">
        <v>4513</v>
      </c>
      <c r="I1312" s="18">
        <f t="shared" si="12"/>
        <v>45946</v>
      </c>
      <c r="J1312" s="19" t="s">
        <v>28</v>
      </c>
      <c r="K1312" s="19" t="s">
        <v>325</v>
      </c>
      <c r="L1312" s="40"/>
    </row>
    <row r="1313" ht="22.5" customHeight="1">
      <c r="C1313" s="19" t="s">
        <v>4500</v>
      </c>
      <c r="D1313" s="39" t="s">
        <v>2339</v>
      </c>
      <c r="E1313" s="43" t="s">
        <v>4514</v>
      </c>
      <c r="F1313" s="43" t="s">
        <v>4353</v>
      </c>
      <c r="G1313" s="43" t="s">
        <v>1481</v>
      </c>
      <c r="H1313" s="42" t="s">
        <v>4515</v>
      </c>
      <c r="I1313" s="18">
        <f t="shared" si="12"/>
        <v>45946</v>
      </c>
      <c r="J1313" s="19" t="s">
        <v>28</v>
      </c>
      <c r="K1313" s="19" t="s">
        <v>325</v>
      </c>
      <c r="L1313" s="40"/>
    </row>
    <row r="1314" ht="22.5" customHeight="1">
      <c r="C1314" s="19" t="s">
        <v>4500</v>
      </c>
      <c r="D1314" s="39" t="s">
        <v>2339</v>
      </c>
      <c r="E1314" s="43" t="s">
        <v>4516</v>
      </c>
      <c r="F1314" s="43" t="s">
        <v>1419</v>
      </c>
      <c r="G1314" s="43" t="s">
        <v>67</v>
      </c>
      <c r="H1314" s="42" t="s">
        <v>4517</v>
      </c>
      <c r="I1314" s="18">
        <f t="shared" si="12"/>
        <v>45946</v>
      </c>
      <c r="J1314" s="19" t="s">
        <v>28</v>
      </c>
      <c r="K1314" s="19" t="s">
        <v>325</v>
      </c>
      <c r="L1314" s="40"/>
    </row>
    <row r="1315" ht="22.5" customHeight="1">
      <c r="C1315" s="19" t="s">
        <v>4500</v>
      </c>
      <c r="D1315" s="39" t="s">
        <v>2339</v>
      </c>
      <c r="E1315" s="43" t="s">
        <v>4518</v>
      </c>
      <c r="F1315" s="43" t="s">
        <v>4519</v>
      </c>
      <c r="G1315" s="43" t="s">
        <v>717</v>
      </c>
      <c r="H1315" s="42" t="s">
        <v>4520</v>
      </c>
      <c r="I1315" s="18">
        <f t="shared" si="12"/>
        <v>45946</v>
      </c>
      <c r="J1315" s="19" t="s">
        <v>28</v>
      </c>
      <c r="K1315" s="19" t="s">
        <v>325</v>
      </c>
      <c r="L1315" s="40"/>
    </row>
    <row r="1316" ht="22.5" customHeight="1">
      <c r="C1316" s="19" t="s">
        <v>4500</v>
      </c>
      <c r="D1316" s="39" t="s">
        <v>2339</v>
      </c>
      <c r="E1316" s="43" t="s">
        <v>4521</v>
      </c>
      <c r="F1316" s="43" t="s">
        <v>4522</v>
      </c>
      <c r="G1316" s="43" t="s">
        <v>217</v>
      </c>
      <c r="H1316" s="42" t="s">
        <v>4523</v>
      </c>
      <c r="I1316" s="18">
        <f t="shared" si="12"/>
        <v>45946</v>
      </c>
      <c r="J1316" s="19" t="s">
        <v>28</v>
      </c>
      <c r="K1316" s="19" t="s">
        <v>325</v>
      </c>
      <c r="L1316" s="40"/>
    </row>
    <row r="1317" ht="22.5" customHeight="1">
      <c r="C1317" s="19" t="s">
        <v>4500</v>
      </c>
      <c r="D1317" s="39" t="s">
        <v>2339</v>
      </c>
      <c r="E1317" s="43" t="s">
        <v>4524</v>
      </c>
      <c r="F1317" s="43" t="s">
        <v>4525</v>
      </c>
      <c r="G1317" s="43" t="s">
        <v>47</v>
      </c>
      <c r="H1317" s="42" t="s">
        <v>4526</v>
      </c>
      <c r="I1317" s="18">
        <f t="shared" si="12"/>
        <v>45946</v>
      </c>
      <c r="J1317" s="19" t="s">
        <v>28</v>
      </c>
      <c r="K1317" s="19" t="s">
        <v>325</v>
      </c>
      <c r="L1317" s="40"/>
    </row>
    <row r="1318" ht="22.5" customHeight="1">
      <c r="C1318" s="19" t="s">
        <v>4500</v>
      </c>
      <c r="D1318" s="39" t="s">
        <v>2339</v>
      </c>
      <c r="E1318" s="43" t="s">
        <v>4527</v>
      </c>
      <c r="F1318" s="43" t="s">
        <v>4528</v>
      </c>
      <c r="G1318" s="43" t="s">
        <v>2854</v>
      </c>
      <c r="H1318" s="42" t="s">
        <v>4529</v>
      </c>
      <c r="I1318" s="18">
        <f t="shared" si="12"/>
        <v>45946</v>
      </c>
      <c r="J1318" s="19" t="s">
        <v>28</v>
      </c>
      <c r="K1318" s="19" t="s">
        <v>325</v>
      </c>
      <c r="L1318" s="40"/>
    </row>
    <row r="1319" ht="22.5" customHeight="1">
      <c r="C1319" s="19" t="s">
        <v>4500</v>
      </c>
      <c r="D1319" s="39" t="s">
        <v>2339</v>
      </c>
      <c r="E1319" s="43" t="s">
        <v>4530</v>
      </c>
      <c r="F1319" s="43" t="s">
        <v>4531</v>
      </c>
      <c r="G1319" s="43" t="s">
        <v>1640</v>
      </c>
      <c r="H1319" s="42" t="s">
        <v>4532</v>
      </c>
      <c r="I1319" s="18">
        <f t="shared" si="12"/>
        <v>45946</v>
      </c>
      <c r="J1319" s="19" t="s">
        <v>28</v>
      </c>
      <c r="K1319" s="19" t="s">
        <v>325</v>
      </c>
      <c r="L1319" s="40"/>
    </row>
    <row r="1320" ht="22.5" customHeight="1">
      <c r="C1320" s="19" t="s">
        <v>4500</v>
      </c>
      <c r="D1320" s="39" t="s">
        <v>2339</v>
      </c>
      <c r="E1320" s="43" t="s">
        <v>4533</v>
      </c>
      <c r="F1320" s="43" t="s">
        <v>4534</v>
      </c>
      <c r="G1320" s="43" t="s">
        <v>4424</v>
      </c>
      <c r="H1320" s="44">
        <v>9.17597077E9</v>
      </c>
      <c r="I1320" s="18">
        <f t="shared" si="12"/>
        <v>45946</v>
      </c>
      <c r="J1320" s="19" t="s">
        <v>28</v>
      </c>
      <c r="K1320" s="19" t="s">
        <v>325</v>
      </c>
      <c r="L1320" s="40"/>
    </row>
    <row r="1321" ht="22.5" customHeight="1">
      <c r="C1321" s="19" t="s">
        <v>4500</v>
      </c>
      <c r="D1321" s="39" t="s">
        <v>2339</v>
      </c>
      <c r="E1321" s="43" t="s">
        <v>4535</v>
      </c>
      <c r="F1321" s="43" t="s">
        <v>4536</v>
      </c>
      <c r="G1321" s="43" t="s">
        <v>1588</v>
      </c>
      <c r="H1321" s="42" t="s">
        <v>4537</v>
      </c>
      <c r="I1321" s="18">
        <f t="shared" si="12"/>
        <v>45946</v>
      </c>
      <c r="J1321" s="19" t="s">
        <v>28</v>
      </c>
      <c r="K1321" s="19" t="s">
        <v>325</v>
      </c>
      <c r="L1321" s="40"/>
    </row>
    <row r="1322" ht="22.5" customHeight="1">
      <c r="C1322" s="19" t="s">
        <v>4500</v>
      </c>
      <c r="D1322" s="39" t="s">
        <v>2339</v>
      </c>
      <c r="E1322" s="43" t="s">
        <v>4538</v>
      </c>
      <c r="F1322" s="43" t="s">
        <v>4539</v>
      </c>
      <c r="G1322" s="43" t="s">
        <v>26</v>
      </c>
      <c r="H1322" s="42" t="s">
        <v>4540</v>
      </c>
      <c r="I1322" s="18">
        <f t="shared" si="12"/>
        <v>45946</v>
      </c>
      <c r="J1322" s="19" t="s">
        <v>28</v>
      </c>
      <c r="K1322" s="19" t="s">
        <v>325</v>
      </c>
      <c r="L1322" s="40"/>
    </row>
    <row r="1323" ht="22.5" customHeight="1">
      <c r="C1323" s="19" t="s">
        <v>4500</v>
      </c>
      <c r="D1323" s="39" t="s">
        <v>2339</v>
      </c>
      <c r="E1323" s="43" t="s">
        <v>4541</v>
      </c>
      <c r="F1323" s="43" t="s">
        <v>4542</v>
      </c>
      <c r="G1323" s="43" t="s">
        <v>982</v>
      </c>
      <c r="H1323" s="44">
        <v>9.178484081E9</v>
      </c>
      <c r="I1323" s="18">
        <f t="shared" si="12"/>
        <v>45946</v>
      </c>
      <c r="J1323" s="19" t="s">
        <v>28</v>
      </c>
      <c r="K1323" s="19" t="s">
        <v>325</v>
      </c>
      <c r="L1323" s="40"/>
    </row>
    <row r="1324" ht="22.5" customHeight="1">
      <c r="C1324" s="19" t="s">
        <v>4500</v>
      </c>
      <c r="D1324" s="39" t="s">
        <v>2339</v>
      </c>
      <c r="E1324" s="43" t="s">
        <v>4543</v>
      </c>
      <c r="F1324" s="43" t="s">
        <v>4544</v>
      </c>
      <c r="G1324" s="43" t="s">
        <v>3681</v>
      </c>
      <c r="H1324" s="42" t="s">
        <v>4545</v>
      </c>
      <c r="I1324" s="18">
        <f t="shared" si="12"/>
        <v>45946</v>
      </c>
      <c r="J1324" s="19" t="s">
        <v>28</v>
      </c>
      <c r="K1324" s="19" t="s">
        <v>325</v>
      </c>
      <c r="L1324" s="40"/>
    </row>
    <row r="1325" ht="22.5" customHeight="1">
      <c r="C1325" s="19" t="s">
        <v>4500</v>
      </c>
      <c r="D1325" s="39" t="s">
        <v>2339</v>
      </c>
      <c r="E1325" s="43" t="s">
        <v>4546</v>
      </c>
      <c r="F1325" s="43" t="s">
        <v>4547</v>
      </c>
      <c r="G1325" s="43" t="s">
        <v>4548</v>
      </c>
      <c r="H1325" s="42" t="s">
        <v>4549</v>
      </c>
      <c r="I1325" s="18">
        <f t="shared" si="12"/>
        <v>45946</v>
      </c>
      <c r="J1325" s="19" t="s">
        <v>28</v>
      </c>
      <c r="K1325" s="19" t="s">
        <v>325</v>
      </c>
      <c r="L1325" s="40"/>
    </row>
    <row r="1326" ht="22.5" customHeight="1">
      <c r="C1326" s="19" t="s">
        <v>4500</v>
      </c>
      <c r="D1326" s="39" t="s">
        <v>2339</v>
      </c>
      <c r="E1326" s="43" t="s">
        <v>4550</v>
      </c>
      <c r="F1326" s="43" t="s">
        <v>4550</v>
      </c>
      <c r="G1326" s="43" t="s">
        <v>696</v>
      </c>
      <c r="H1326" s="42" t="s">
        <v>4551</v>
      </c>
      <c r="I1326" s="18">
        <f t="shared" si="12"/>
        <v>45946</v>
      </c>
      <c r="J1326" s="19" t="s">
        <v>28</v>
      </c>
      <c r="K1326" s="19" t="s">
        <v>325</v>
      </c>
      <c r="L1326" s="40"/>
    </row>
    <row r="1327" ht="22.5" customHeight="1">
      <c r="C1327" s="19" t="s">
        <v>4500</v>
      </c>
      <c r="D1327" s="39" t="s">
        <v>2339</v>
      </c>
      <c r="E1327" s="43" t="s">
        <v>4552</v>
      </c>
      <c r="F1327" s="43" t="s">
        <v>4553</v>
      </c>
      <c r="G1327" s="43" t="s">
        <v>2854</v>
      </c>
      <c r="H1327" s="42" t="s">
        <v>4554</v>
      </c>
      <c r="I1327" s="18">
        <f t="shared" si="12"/>
        <v>45946</v>
      </c>
      <c r="J1327" s="19" t="s">
        <v>28</v>
      </c>
      <c r="K1327" s="19" t="s">
        <v>325</v>
      </c>
      <c r="L1327" s="40"/>
    </row>
    <row r="1328" ht="22.5" customHeight="1">
      <c r="C1328" s="19" t="s">
        <v>4500</v>
      </c>
      <c r="D1328" s="39" t="s">
        <v>2339</v>
      </c>
      <c r="E1328" s="43" t="s">
        <v>4555</v>
      </c>
      <c r="F1328" s="43" t="s">
        <v>4556</v>
      </c>
      <c r="G1328" s="43" t="s">
        <v>1134</v>
      </c>
      <c r="H1328" s="44">
        <v>4.159363814E9</v>
      </c>
      <c r="I1328" s="18">
        <f t="shared" si="12"/>
        <v>45946</v>
      </c>
      <c r="J1328" s="19" t="s">
        <v>28</v>
      </c>
      <c r="K1328" s="19" t="s">
        <v>325</v>
      </c>
      <c r="L1328" s="40"/>
    </row>
    <row r="1329" ht="22.5" customHeight="1">
      <c r="C1329" s="19" t="s">
        <v>4500</v>
      </c>
      <c r="D1329" s="39" t="s">
        <v>2339</v>
      </c>
      <c r="E1329" s="43" t="s">
        <v>4557</v>
      </c>
      <c r="F1329" s="43" t="s">
        <v>4558</v>
      </c>
      <c r="G1329" s="43" t="s">
        <v>4559</v>
      </c>
      <c r="H1329" s="44">
        <v>9.175663046E9</v>
      </c>
      <c r="I1329" s="18">
        <f t="shared" si="12"/>
        <v>45946</v>
      </c>
      <c r="J1329" s="19" t="s">
        <v>28</v>
      </c>
      <c r="K1329" s="19" t="s">
        <v>325</v>
      </c>
      <c r="L1329" s="40"/>
    </row>
    <row r="1330" ht="22.5" customHeight="1">
      <c r="C1330" s="19" t="s">
        <v>4500</v>
      </c>
      <c r="D1330" s="39" t="s">
        <v>2339</v>
      </c>
      <c r="E1330" s="43" t="s">
        <v>4560</v>
      </c>
      <c r="F1330" s="43" t="s">
        <v>4561</v>
      </c>
      <c r="G1330" s="43" t="s">
        <v>1819</v>
      </c>
      <c r="H1330" s="44">
        <v>5.167152601E9</v>
      </c>
      <c r="I1330" s="18">
        <f t="shared" si="12"/>
        <v>45946</v>
      </c>
      <c r="J1330" s="19" t="s">
        <v>28</v>
      </c>
      <c r="K1330" s="19" t="s">
        <v>325</v>
      </c>
      <c r="L1330" s="40"/>
    </row>
    <row r="1331" ht="22.5" customHeight="1">
      <c r="C1331" s="19" t="s">
        <v>4500</v>
      </c>
      <c r="D1331" s="39" t="s">
        <v>2339</v>
      </c>
      <c r="E1331" s="43" t="s">
        <v>4562</v>
      </c>
      <c r="F1331" s="43" t="s">
        <v>4563</v>
      </c>
      <c r="G1331" s="43" t="s">
        <v>1795</v>
      </c>
      <c r="H1331" s="44">
        <v>2.127776003E9</v>
      </c>
      <c r="I1331" s="18">
        <f t="shared" si="12"/>
        <v>45946</v>
      </c>
      <c r="J1331" s="19" t="s">
        <v>28</v>
      </c>
      <c r="K1331" s="19" t="s">
        <v>325</v>
      </c>
      <c r="L1331" s="40"/>
    </row>
    <row r="1332" ht="22.5" customHeight="1">
      <c r="C1332" s="19" t="s">
        <v>4500</v>
      </c>
      <c r="D1332" s="39" t="s">
        <v>2339</v>
      </c>
      <c r="E1332" s="43" t="s">
        <v>4564</v>
      </c>
      <c r="F1332" s="43" t="s">
        <v>4565</v>
      </c>
      <c r="G1332" s="43" t="s">
        <v>170</v>
      </c>
      <c r="H1332" s="42" t="s">
        <v>4566</v>
      </c>
      <c r="I1332" s="18">
        <f t="shared" si="12"/>
        <v>45946</v>
      </c>
      <c r="J1332" s="19" t="s">
        <v>28</v>
      </c>
      <c r="K1332" s="19" t="s">
        <v>325</v>
      </c>
      <c r="L1332" s="40"/>
    </row>
    <row r="1333" ht="22.5" customHeight="1">
      <c r="C1333" s="19" t="s">
        <v>4500</v>
      </c>
      <c r="D1333" s="39" t="s">
        <v>2339</v>
      </c>
      <c r="E1333" s="43" t="s">
        <v>4567</v>
      </c>
      <c r="F1333" s="43" t="s">
        <v>4568</v>
      </c>
      <c r="G1333" s="43" t="s">
        <v>126</v>
      </c>
      <c r="H1333" s="42" t="s">
        <v>4569</v>
      </c>
      <c r="I1333" s="18">
        <f t="shared" si="12"/>
        <v>45946</v>
      </c>
      <c r="J1333" s="19" t="s">
        <v>28</v>
      </c>
      <c r="K1333" s="19" t="s">
        <v>325</v>
      </c>
      <c r="L1333" s="40"/>
    </row>
    <row r="1334" ht="22.5" customHeight="1">
      <c r="C1334" s="19" t="s">
        <v>4500</v>
      </c>
      <c r="D1334" s="39" t="s">
        <v>2339</v>
      </c>
      <c r="E1334" s="43" t="s">
        <v>4570</v>
      </c>
      <c r="F1334" s="43" t="s">
        <v>4571</v>
      </c>
      <c r="G1334" s="43" t="s">
        <v>627</v>
      </c>
      <c r="H1334" s="42" t="s">
        <v>4572</v>
      </c>
      <c r="I1334" s="18">
        <f t="shared" si="12"/>
        <v>45946</v>
      </c>
      <c r="J1334" s="19" t="s">
        <v>28</v>
      </c>
      <c r="K1334" s="19" t="s">
        <v>325</v>
      </c>
      <c r="L1334" s="40"/>
    </row>
    <row r="1335" ht="22.5" customHeight="1">
      <c r="C1335" s="19" t="s">
        <v>4500</v>
      </c>
      <c r="D1335" s="39" t="s">
        <v>2339</v>
      </c>
      <c r="E1335" s="43" t="s">
        <v>4573</v>
      </c>
      <c r="F1335" s="43" t="s">
        <v>4574</v>
      </c>
      <c r="G1335" s="43" t="s">
        <v>4360</v>
      </c>
      <c r="H1335" s="42" t="s">
        <v>1096</v>
      </c>
      <c r="I1335" s="18">
        <f t="shared" si="12"/>
        <v>45946</v>
      </c>
      <c r="J1335" s="19" t="s">
        <v>28</v>
      </c>
      <c r="K1335" s="19" t="s">
        <v>325</v>
      </c>
      <c r="L1335" s="40"/>
    </row>
    <row r="1336" ht="22.5" customHeight="1">
      <c r="C1336" s="19" t="s">
        <v>4500</v>
      </c>
      <c r="D1336" s="39" t="s">
        <v>2339</v>
      </c>
      <c r="E1336" s="43" t="s">
        <v>4575</v>
      </c>
      <c r="F1336" s="43" t="s">
        <v>4576</v>
      </c>
      <c r="G1336" s="43" t="s">
        <v>108</v>
      </c>
      <c r="H1336" s="42" t="s">
        <v>4577</v>
      </c>
      <c r="I1336" s="18">
        <f t="shared" si="12"/>
        <v>45946</v>
      </c>
      <c r="J1336" s="19" t="s">
        <v>28</v>
      </c>
      <c r="K1336" s="19" t="s">
        <v>325</v>
      </c>
      <c r="L1336" s="40"/>
    </row>
    <row r="1337" ht="22.5" customHeight="1">
      <c r="C1337" s="19" t="s">
        <v>4500</v>
      </c>
      <c r="D1337" s="39" t="s">
        <v>2339</v>
      </c>
      <c r="E1337" s="43" t="s">
        <v>4578</v>
      </c>
      <c r="F1337" s="43" t="s">
        <v>4579</v>
      </c>
      <c r="G1337" s="43" t="s">
        <v>4580</v>
      </c>
      <c r="H1337" s="42" t="s">
        <v>4581</v>
      </c>
      <c r="I1337" s="18">
        <f t="shared" si="12"/>
        <v>45946</v>
      </c>
      <c r="J1337" s="19" t="s">
        <v>28</v>
      </c>
      <c r="K1337" s="19" t="s">
        <v>325</v>
      </c>
      <c r="L1337" s="40"/>
    </row>
    <row r="1338" ht="22.5" customHeight="1">
      <c r="C1338" s="19" t="s">
        <v>4500</v>
      </c>
      <c r="D1338" s="39" t="s">
        <v>2339</v>
      </c>
      <c r="E1338" s="43" t="s">
        <v>4582</v>
      </c>
      <c r="F1338" s="43" t="s">
        <v>4583</v>
      </c>
      <c r="G1338" s="43" t="s">
        <v>1832</v>
      </c>
      <c r="H1338" s="42" t="s">
        <v>4584</v>
      </c>
      <c r="I1338" s="18">
        <f t="shared" si="12"/>
        <v>45946</v>
      </c>
      <c r="J1338" s="19" t="s">
        <v>28</v>
      </c>
      <c r="K1338" s="19" t="s">
        <v>325</v>
      </c>
      <c r="L1338" s="40"/>
    </row>
    <row r="1339" ht="22.5" customHeight="1">
      <c r="C1339" s="19" t="s">
        <v>4500</v>
      </c>
      <c r="D1339" s="39" t="s">
        <v>2339</v>
      </c>
      <c r="E1339" s="43" t="s">
        <v>4585</v>
      </c>
      <c r="F1339" s="43" t="s">
        <v>4586</v>
      </c>
      <c r="G1339" s="43" t="s">
        <v>217</v>
      </c>
      <c r="H1339" s="42" t="s">
        <v>4587</v>
      </c>
      <c r="I1339" s="18">
        <f t="shared" si="12"/>
        <v>45946</v>
      </c>
      <c r="J1339" s="19" t="s">
        <v>28</v>
      </c>
      <c r="K1339" s="19" t="s">
        <v>325</v>
      </c>
      <c r="L1339" s="40"/>
    </row>
    <row r="1340" ht="22.5" customHeight="1">
      <c r="C1340" s="19" t="s">
        <v>4500</v>
      </c>
      <c r="D1340" s="39" t="s">
        <v>2339</v>
      </c>
      <c r="E1340" s="43" t="s">
        <v>4588</v>
      </c>
      <c r="F1340" s="43" t="s">
        <v>4589</v>
      </c>
      <c r="G1340" s="43" t="s">
        <v>1060</v>
      </c>
      <c r="H1340" s="42" t="s">
        <v>4590</v>
      </c>
      <c r="I1340" s="18">
        <f t="shared" si="12"/>
        <v>45946</v>
      </c>
      <c r="J1340" s="19" t="s">
        <v>28</v>
      </c>
      <c r="K1340" s="19" t="s">
        <v>325</v>
      </c>
      <c r="L1340" s="40"/>
    </row>
    <row r="1341" ht="22.5" customHeight="1">
      <c r="C1341" s="19" t="s">
        <v>4500</v>
      </c>
      <c r="D1341" s="39" t="s">
        <v>2339</v>
      </c>
      <c r="E1341" s="43" t="s">
        <v>4419</v>
      </c>
      <c r="F1341" s="28" t="s">
        <v>182</v>
      </c>
      <c r="G1341" s="43" t="s">
        <v>72</v>
      </c>
      <c r="H1341" s="42" t="s">
        <v>4591</v>
      </c>
      <c r="I1341" s="18">
        <f t="shared" si="12"/>
        <v>45946</v>
      </c>
      <c r="J1341" s="19" t="s">
        <v>28</v>
      </c>
      <c r="K1341" s="19" t="s">
        <v>325</v>
      </c>
      <c r="L1341" s="40"/>
    </row>
    <row r="1342" ht="22.5" customHeight="1">
      <c r="C1342" s="19" t="s">
        <v>4500</v>
      </c>
      <c r="D1342" s="39" t="s">
        <v>2339</v>
      </c>
      <c r="E1342" s="43" t="s">
        <v>4592</v>
      </c>
      <c r="F1342" s="43" t="s">
        <v>4593</v>
      </c>
      <c r="G1342" s="43" t="s">
        <v>142</v>
      </c>
      <c r="H1342" s="42" t="s">
        <v>4594</v>
      </c>
      <c r="I1342" s="18">
        <f t="shared" si="12"/>
        <v>45946</v>
      </c>
      <c r="J1342" s="19" t="s">
        <v>28</v>
      </c>
      <c r="K1342" s="19" t="s">
        <v>325</v>
      </c>
      <c r="L1342" s="40"/>
    </row>
    <row r="1343" ht="22.5" customHeight="1">
      <c r="C1343" s="19" t="s">
        <v>4500</v>
      </c>
      <c r="D1343" s="39" t="s">
        <v>2339</v>
      </c>
      <c r="E1343" s="43" t="s">
        <v>4595</v>
      </c>
      <c r="F1343" s="43" t="s">
        <v>4596</v>
      </c>
      <c r="G1343" s="43" t="s">
        <v>4597</v>
      </c>
      <c r="H1343" s="42" t="s">
        <v>4598</v>
      </c>
      <c r="I1343" s="18">
        <f t="shared" si="12"/>
        <v>45946</v>
      </c>
      <c r="J1343" s="19" t="s">
        <v>28</v>
      </c>
      <c r="K1343" s="19" t="s">
        <v>325</v>
      </c>
      <c r="L1343" s="40"/>
    </row>
    <row r="1344" ht="22.5" customHeight="1">
      <c r="C1344" s="19" t="s">
        <v>4500</v>
      </c>
      <c r="D1344" s="39" t="s">
        <v>2339</v>
      </c>
      <c r="E1344" s="43" t="s">
        <v>4599</v>
      </c>
      <c r="F1344" s="43" t="s">
        <v>4600</v>
      </c>
      <c r="G1344" s="43" t="s">
        <v>1588</v>
      </c>
      <c r="H1344" s="42" t="s">
        <v>4601</v>
      </c>
      <c r="I1344" s="18">
        <f t="shared" si="12"/>
        <v>45946</v>
      </c>
      <c r="J1344" s="19" t="s">
        <v>28</v>
      </c>
      <c r="K1344" s="19" t="s">
        <v>325</v>
      </c>
      <c r="L1344" s="40"/>
    </row>
    <row r="1345" ht="22.5" customHeight="1">
      <c r="C1345" s="19" t="s">
        <v>4500</v>
      </c>
      <c r="D1345" s="39" t="s">
        <v>2339</v>
      </c>
      <c r="E1345" s="43" t="s">
        <v>4602</v>
      </c>
      <c r="F1345" s="43" t="s">
        <v>4603</v>
      </c>
      <c r="G1345" s="43" t="s">
        <v>1843</v>
      </c>
      <c r="H1345" s="42" t="s">
        <v>4604</v>
      </c>
      <c r="I1345" s="18">
        <f t="shared" si="12"/>
        <v>45946</v>
      </c>
      <c r="J1345" s="19" t="s">
        <v>28</v>
      </c>
      <c r="K1345" s="19" t="s">
        <v>325</v>
      </c>
      <c r="L1345" s="40"/>
    </row>
    <row r="1346" ht="22.5" customHeight="1">
      <c r="C1346" s="19" t="s">
        <v>4500</v>
      </c>
      <c r="D1346" s="39" t="s">
        <v>2339</v>
      </c>
      <c r="E1346" s="43" t="s">
        <v>4605</v>
      </c>
      <c r="F1346" s="43" t="s">
        <v>4606</v>
      </c>
      <c r="G1346" s="43" t="s">
        <v>540</v>
      </c>
      <c r="H1346" s="42" t="s">
        <v>4607</v>
      </c>
      <c r="I1346" s="18">
        <f t="shared" si="12"/>
        <v>45946</v>
      </c>
      <c r="J1346" s="19" t="s">
        <v>28</v>
      </c>
      <c r="K1346" s="19" t="s">
        <v>325</v>
      </c>
      <c r="L1346" s="40"/>
    </row>
    <row r="1347" ht="22.5" customHeight="1">
      <c r="C1347" s="19" t="s">
        <v>4500</v>
      </c>
      <c r="D1347" s="39" t="s">
        <v>2339</v>
      </c>
      <c r="E1347" s="43" t="s">
        <v>4608</v>
      </c>
      <c r="F1347" s="43" t="s">
        <v>4609</v>
      </c>
      <c r="G1347" s="43" t="s">
        <v>301</v>
      </c>
      <c r="H1347" s="42" t="s">
        <v>4610</v>
      </c>
      <c r="I1347" s="18">
        <f t="shared" si="12"/>
        <v>45946</v>
      </c>
      <c r="J1347" s="19" t="s">
        <v>28</v>
      </c>
      <c r="K1347" s="19" t="s">
        <v>325</v>
      </c>
      <c r="L1347" s="4" t="s">
        <v>99</v>
      </c>
    </row>
    <row r="1348" ht="22.5" customHeight="1">
      <c r="C1348" s="19" t="s">
        <v>4500</v>
      </c>
      <c r="D1348" s="39" t="s">
        <v>2339</v>
      </c>
      <c r="E1348" s="43" t="s">
        <v>4611</v>
      </c>
      <c r="F1348" s="43" t="s">
        <v>4612</v>
      </c>
      <c r="G1348" s="43" t="s">
        <v>67</v>
      </c>
      <c r="H1348" s="42" t="s">
        <v>4613</v>
      </c>
      <c r="I1348" s="18">
        <f t="shared" si="12"/>
        <v>45946</v>
      </c>
      <c r="J1348" s="19" t="s">
        <v>28</v>
      </c>
      <c r="K1348" s="19" t="s">
        <v>325</v>
      </c>
      <c r="L1348" s="40"/>
    </row>
    <row r="1349" ht="22.5" customHeight="1">
      <c r="C1349" s="19" t="s">
        <v>4500</v>
      </c>
      <c r="D1349" s="39" t="s">
        <v>2339</v>
      </c>
      <c r="E1349" s="43" t="s">
        <v>4614</v>
      </c>
      <c r="F1349" s="43" t="s">
        <v>4615</v>
      </c>
      <c r="G1349" s="43" t="s">
        <v>4616</v>
      </c>
      <c r="H1349" s="42" t="s">
        <v>1096</v>
      </c>
      <c r="I1349" s="18">
        <f t="shared" si="12"/>
        <v>45946</v>
      </c>
      <c r="J1349" s="19" t="s">
        <v>28</v>
      </c>
      <c r="K1349" s="19" t="s">
        <v>325</v>
      </c>
      <c r="L1349" s="40"/>
    </row>
    <row r="1350" ht="22.5" customHeight="1">
      <c r="C1350" s="19" t="s">
        <v>4500</v>
      </c>
      <c r="D1350" s="39" t="s">
        <v>2339</v>
      </c>
      <c r="E1350" s="43" t="s">
        <v>4617</v>
      </c>
      <c r="F1350" s="43" t="s">
        <v>4618</v>
      </c>
      <c r="G1350" s="43" t="s">
        <v>4494</v>
      </c>
      <c r="H1350" s="42" t="s">
        <v>4619</v>
      </c>
      <c r="I1350" s="18">
        <f t="shared" si="12"/>
        <v>45946</v>
      </c>
      <c r="J1350" s="19" t="s">
        <v>28</v>
      </c>
      <c r="K1350" s="19" t="s">
        <v>325</v>
      </c>
      <c r="L1350" s="40"/>
    </row>
    <row r="1351" ht="22.5" customHeight="1">
      <c r="C1351" s="19" t="s">
        <v>4500</v>
      </c>
      <c r="D1351" s="39" t="s">
        <v>2339</v>
      </c>
      <c r="E1351" s="43" t="s">
        <v>4620</v>
      </c>
      <c r="F1351" s="43" t="s">
        <v>4621</v>
      </c>
      <c r="G1351" s="43" t="s">
        <v>1199</v>
      </c>
      <c r="H1351" s="44">
        <v>7.328092029E9</v>
      </c>
      <c r="I1351" s="18">
        <f t="shared" si="12"/>
        <v>45946</v>
      </c>
      <c r="J1351" s="19" t="s">
        <v>28</v>
      </c>
      <c r="K1351" s="19" t="s">
        <v>325</v>
      </c>
      <c r="L1351" s="40"/>
    </row>
    <row r="1352" ht="22.5" customHeight="1">
      <c r="C1352" s="19" t="s">
        <v>4500</v>
      </c>
      <c r="D1352" s="39" t="s">
        <v>2339</v>
      </c>
      <c r="E1352" s="43" t="s">
        <v>4622</v>
      </c>
      <c r="F1352" s="43" t="s">
        <v>4623</v>
      </c>
      <c r="G1352" s="43" t="s">
        <v>515</v>
      </c>
      <c r="H1352" s="44">
        <v>8.45428935E9</v>
      </c>
      <c r="I1352" s="18">
        <f t="shared" si="12"/>
        <v>45946</v>
      </c>
      <c r="J1352" s="19" t="s">
        <v>28</v>
      </c>
      <c r="K1352" s="19" t="s">
        <v>325</v>
      </c>
      <c r="L1352" s="40"/>
    </row>
    <row r="1353" ht="22.5" customHeight="1">
      <c r="C1353" s="19" t="s">
        <v>4500</v>
      </c>
      <c r="D1353" s="39" t="s">
        <v>2339</v>
      </c>
      <c r="E1353" s="43" t="s">
        <v>3693</v>
      </c>
      <c r="F1353" s="43" t="s">
        <v>4624</v>
      </c>
      <c r="G1353" s="43" t="s">
        <v>57</v>
      </c>
      <c r="H1353" s="44">
        <v>2.013519017E9</v>
      </c>
      <c r="I1353" s="18">
        <f t="shared" si="12"/>
        <v>45946</v>
      </c>
      <c r="J1353" s="19" t="s">
        <v>28</v>
      </c>
      <c r="K1353" s="19" t="s">
        <v>325</v>
      </c>
      <c r="L1353" s="40"/>
    </row>
    <row r="1354" ht="22.5" customHeight="1">
      <c r="C1354" s="19" t="s">
        <v>4500</v>
      </c>
      <c r="D1354" s="39" t="s">
        <v>2339</v>
      </c>
      <c r="E1354" s="43" t="s">
        <v>4625</v>
      </c>
      <c r="F1354" s="43" t="s">
        <v>4626</v>
      </c>
      <c r="G1354" s="43" t="s">
        <v>1781</v>
      </c>
      <c r="H1354" s="42" t="s">
        <v>4627</v>
      </c>
      <c r="I1354" s="18">
        <f t="shared" si="12"/>
        <v>45946</v>
      </c>
      <c r="J1354" s="19" t="s">
        <v>28</v>
      </c>
      <c r="K1354" s="19" t="s">
        <v>325</v>
      </c>
      <c r="L1354" s="40"/>
    </row>
    <row r="1355" ht="22.5" customHeight="1">
      <c r="C1355" s="19" t="s">
        <v>4500</v>
      </c>
      <c r="D1355" s="39" t="s">
        <v>2339</v>
      </c>
      <c r="E1355" s="43" t="s">
        <v>4628</v>
      </c>
      <c r="F1355" s="43" t="s">
        <v>4629</v>
      </c>
      <c r="G1355" s="43" t="s">
        <v>582</v>
      </c>
      <c r="H1355" s="42" t="s">
        <v>4630</v>
      </c>
      <c r="I1355" s="18">
        <f t="shared" si="12"/>
        <v>45946</v>
      </c>
      <c r="J1355" s="19" t="s">
        <v>28</v>
      </c>
      <c r="K1355" s="19" t="s">
        <v>325</v>
      </c>
      <c r="L1355" s="40"/>
    </row>
    <row r="1356" ht="22.5" customHeight="1">
      <c r="C1356" s="19" t="s">
        <v>4500</v>
      </c>
      <c r="D1356" s="39" t="s">
        <v>2339</v>
      </c>
      <c r="E1356" s="43" t="s">
        <v>4631</v>
      </c>
      <c r="F1356" s="43" t="s">
        <v>4632</v>
      </c>
      <c r="G1356" s="43" t="s">
        <v>152</v>
      </c>
      <c r="H1356" s="42" t="s">
        <v>4633</v>
      </c>
      <c r="I1356" s="18">
        <f t="shared" si="12"/>
        <v>45946</v>
      </c>
      <c r="J1356" s="19" t="s">
        <v>28</v>
      </c>
      <c r="K1356" s="19" t="s">
        <v>325</v>
      </c>
      <c r="L1356" s="40"/>
    </row>
    <row r="1357" ht="22.5" customHeight="1">
      <c r="C1357" s="19" t="s">
        <v>4500</v>
      </c>
      <c r="D1357" s="39" t="s">
        <v>2339</v>
      </c>
      <c r="E1357" s="43" t="s">
        <v>4634</v>
      </c>
      <c r="F1357" s="43" t="s">
        <v>4635</v>
      </c>
      <c r="G1357" s="43" t="s">
        <v>4636</v>
      </c>
      <c r="H1357" s="42" t="s">
        <v>4637</v>
      </c>
      <c r="I1357" s="18">
        <f t="shared" si="12"/>
        <v>45946</v>
      </c>
      <c r="J1357" s="19" t="s">
        <v>28</v>
      </c>
      <c r="K1357" s="19" t="s">
        <v>325</v>
      </c>
      <c r="L1357" s="40"/>
    </row>
    <row r="1358" ht="22.5" customHeight="1">
      <c r="C1358" s="19" t="s">
        <v>4500</v>
      </c>
      <c r="D1358" s="39" t="s">
        <v>2339</v>
      </c>
      <c r="E1358" s="43" t="s">
        <v>4638</v>
      </c>
      <c r="F1358" s="43" t="s">
        <v>4638</v>
      </c>
      <c r="G1358" s="43" t="s">
        <v>52</v>
      </c>
      <c r="H1358" s="42" t="s">
        <v>4639</v>
      </c>
      <c r="I1358" s="18">
        <f t="shared" si="12"/>
        <v>45946</v>
      </c>
      <c r="J1358" s="19" t="s">
        <v>28</v>
      </c>
      <c r="K1358" s="19" t="s">
        <v>325</v>
      </c>
      <c r="L1358" s="40"/>
    </row>
    <row r="1359" ht="22.5" customHeight="1">
      <c r="C1359" s="19" t="s">
        <v>4500</v>
      </c>
      <c r="D1359" s="39" t="s">
        <v>2339</v>
      </c>
      <c r="E1359" s="43" t="s">
        <v>4640</v>
      </c>
      <c r="F1359" s="43" t="s">
        <v>4641</v>
      </c>
      <c r="G1359" s="43" t="s">
        <v>636</v>
      </c>
      <c r="H1359" s="42" t="s">
        <v>4642</v>
      </c>
      <c r="I1359" s="18">
        <f t="shared" si="12"/>
        <v>45946</v>
      </c>
      <c r="J1359" s="19" t="s">
        <v>28</v>
      </c>
      <c r="K1359" s="19" t="s">
        <v>325</v>
      </c>
      <c r="L1359" s="40"/>
    </row>
    <row r="1360" ht="22.5" customHeight="1">
      <c r="C1360" s="19" t="s">
        <v>4500</v>
      </c>
      <c r="D1360" s="39" t="s">
        <v>2339</v>
      </c>
      <c r="E1360" s="43" t="s">
        <v>4643</v>
      </c>
      <c r="F1360" s="43" t="s">
        <v>4644</v>
      </c>
      <c r="G1360" s="43" t="s">
        <v>421</v>
      </c>
      <c r="H1360" s="44">
        <v>2.012557377E9</v>
      </c>
      <c r="I1360" s="18">
        <f t="shared" si="12"/>
        <v>45946</v>
      </c>
      <c r="J1360" s="19" t="s">
        <v>28</v>
      </c>
      <c r="K1360" s="19" t="s">
        <v>325</v>
      </c>
      <c r="L1360" s="40"/>
    </row>
    <row r="1361" ht="22.5" customHeight="1">
      <c r="C1361" s="19" t="s">
        <v>4500</v>
      </c>
      <c r="D1361" s="39" t="s">
        <v>2339</v>
      </c>
      <c r="E1361" s="43" t="s">
        <v>4645</v>
      </c>
      <c r="F1361" s="43" t="s">
        <v>4646</v>
      </c>
      <c r="G1361" s="43" t="s">
        <v>4647</v>
      </c>
      <c r="H1361" s="42" t="s">
        <v>4648</v>
      </c>
      <c r="I1361" s="18">
        <f t="shared" si="12"/>
        <v>45946</v>
      </c>
      <c r="J1361" s="19" t="s">
        <v>28</v>
      </c>
      <c r="K1361" s="19" t="s">
        <v>325</v>
      </c>
      <c r="L1361" s="40"/>
    </row>
    <row r="1362" ht="22.5" customHeight="1">
      <c r="C1362" s="19" t="s">
        <v>4500</v>
      </c>
      <c r="D1362" s="39" t="s">
        <v>2339</v>
      </c>
      <c r="E1362" s="43" t="s">
        <v>4649</v>
      </c>
      <c r="F1362" s="43" t="s">
        <v>4650</v>
      </c>
      <c r="G1362" s="43" t="s">
        <v>1043</v>
      </c>
      <c r="H1362" s="42" t="s">
        <v>4651</v>
      </c>
      <c r="I1362" s="18">
        <f t="shared" si="12"/>
        <v>45946</v>
      </c>
      <c r="J1362" s="19" t="s">
        <v>28</v>
      </c>
      <c r="K1362" s="19" t="s">
        <v>325</v>
      </c>
      <c r="L1362" s="40"/>
    </row>
    <row r="1363" ht="22.5" customHeight="1">
      <c r="C1363" s="19" t="s">
        <v>4500</v>
      </c>
      <c r="D1363" s="39" t="s">
        <v>2339</v>
      </c>
      <c r="E1363" s="43" t="s">
        <v>4652</v>
      </c>
      <c r="F1363" s="43" t="s">
        <v>4653</v>
      </c>
      <c r="G1363" s="43" t="s">
        <v>2596</v>
      </c>
      <c r="H1363" s="42" t="s">
        <v>4654</v>
      </c>
      <c r="I1363" s="18">
        <f t="shared" si="12"/>
        <v>45946</v>
      </c>
      <c r="J1363" s="19" t="s">
        <v>28</v>
      </c>
      <c r="K1363" s="19" t="s">
        <v>325</v>
      </c>
      <c r="L1363" s="40"/>
    </row>
    <row r="1364" ht="22.5" customHeight="1">
      <c r="C1364" s="19" t="s">
        <v>4500</v>
      </c>
      <c r="D1364" s="39" t="s">
        <v>2339</v>
      </c>
      <c r="E1364" s="43" t="s">
        <v>4655</v>
      </c>
      <c r="F1364" s="43" t="s">
        <v>4656</v>
      </c>
      <c r="G1364" s="43" t="s">
        <v>346</v>
      </c>
      <c r="H1364" s="42" t="s">
        <v>4657</v>
      </c>
      <c r="I1364" s="18">
        <f t="shared" si="12"/>
        <v>45946</v>
      </c>
      <c r="J1364" s="19" t="s">
        <v>28</v>
      </c>
      <c r="K1364" s="19" t="s">
        <v>325</v>
      </c>
      <c r="L1364" s="40"/>
    </row>
    <row r="1365" ht="22.5" customHeight="1">
      <c r="C1365" s="19" t="s">
        <v>4500</v>
      </c>
      <c r="D1365" s="39" t="s">
        <v>2339</v>
      </c>
      <c r="E1365" s="43" t="s">
        <v>4658</v>
      </c>
      <c r="F1365" s="43" t="s">
        <v>4659</v>
      </c>
      <c r="G1365" s="43" t="s">
        <v>152</v>
      </c>
      <c r="H1365" s="44">
        <v>9.419094053E9</v>
      </c>
      <c r="I1365" s="18">
        <f t="shared" si="12"/>
        <v>45946</v>
      </c>
      <c r="J1365" s="19" t="s">
        <v>28</v>
      </c>
      <c r="K1365" s="19" t="s">
        <v>325</v>
      </c>
      <c r="L1365" s="40"/>
    </row>
    <row r="1366" ht="22.5" customHeight="1">
      <c r="C1366" s="19" t="s">
        <v>4500</v>
      </c>
      <c r="D1366" s="39" t="s">
        <v>2339</v>
      </c>
      <c r="E1366" s="43" t="s">
        <v>4660</v>
      </c>
      <c r="F1366" s="43" t="s">
        <v>4661</v>
      </c>
      <c r="G1366" s="43" t="s">
        <v>2000</v>
      </c>
      <c r="H1366" s="44">
        <v>2.1292552E9</v>
      </c>
      <c r="I1366" s="18">
        <f t="shared" si="12"/>
        <v>45946</v>
      </c>
      <c r="J1366" s="19" t="s">
        <v>28</v>
      </c>
      <c r="K1366" s="19" t="s">
        <v>325</v>
      </c>
      <c r="L1366" s="40"/>
    </row>
    <row r="1367" ht="22.5" customHeight="1">
      <c r="C1367" s="19" t="s">
        <v>4500</v>
      </c>
      <c r="D1367" s="39" t="s">
        <v>2339</v>
      </c>
      <c r="E1367" s="43" t="s">
        <v>4662</v>
      </c>
      <c r="F1367" s="43" t="s">
        <v>4663</v>
      </c>
      <c r="G1367" s="43" t="s">
        <v>4027</v>
      </c>
      <c r="H1367" s="42" t="s">
        <v>4664</v>
      </c>
      <c r="I1367" s="18">
        <f t="shared" si="12"/>
        <v>45946</v>
      </c>
      <c r="J1367" s="19" t="s">
        <v>28</v>
      </c>
      <c r="K1367" s="19" t="s">
        <v>325</v>
      </c>
      <c r="L1367" s="40"/>
    </row>
    <row r="1368" ht="22.5" customHeight="1">
      <c r="C1368" s="19" t="s">
        <v>4500</v>
      </c>
      <c r="D1368" s="39" t="s">
        <v>2339</v>
      </c>
      <c r="E1368" s="43" t="s">
        <v>4665</v>
      </c>
      <c r="F1368" s="43" t="s">
        <v>4666</v>
      </c>
      <c r="G1368" s="43" t="s">
        <v>3988</v>
      </c>
      <c r="H1368" s="42" t="s">
        <v>4667</v>
      </c>
      <c r="I1368" s="18">
        <f t="shared" si="12"/>
        <v>45946</v>
      </c>
      <c r="J1368" s="19" t="s">
        <v>28</v>
      </c>
      <c r="K1368" s="19" t="s">
        <v>325</v>
      </c>
      <c r="L1368" s="40"/>
    </row>
    <row r="1369" ht="22.5" customHeight="1">
      <c r="C1369" s="19" t="s">
        <v>4500</v>
      </c>
      <c r="D1369" s="39" t="s">
        <v>2339</v>
      </c>
      <c r="E1369" s="43" t="s">
        <v>4668</v>
      </c>
      <c r="F1369" s="43" t="s">
        <v>4669</v>
      </c>
      <c r="G1369" s="43" t="s">
        <v>4670</v>
      </c>
      <c r="H1369" s="42" t="s">
        <v>4671</v>
      </c>
      <c r="I1369" s="18">
        <f t="shared" si="12"/>
        <v>45946</v>
      </c>
      <c r="J1369" s="19" t="s">
        <v>28</v>
      </c>
      <c r="K1369" s="19" t="s">
        <v>325</v>
      </c>
      <c r="L1369" s="40"/>
    </row>
    <row r="1370" ht="22.5" customHeight="1">
      <c r="C1370" s="19" t="s">
        <v>4500</v>
      </c>
      <c r="D1370" s="39" t="s">
        <v>2339</v>
      </c>
      <c r="E1370" s="43" t="s">
        <v>4672</v>
      </c>
      <c r="F1370" s="43" t="s">
        <v>4673</v>
      </c>
      <c r="G1370" s="43" t="s">
        <v>1010</v>
      </c>
      <c r="H1370" s="42" t="s">
        <v>4674</v>
      </c>
      <c r="I1370" s="18">
        <f t="shared" si="12"/>
        <v>45946</v>
      </c>
      <c r="J1370" s="19" t="s">
        <v>28</v>
      </c>
      <c r="K1370" s="19" t="s">
        <v>325</v>
      </c>
      <c r="L1370" s="40"/>
    </row>
    <row r="1371" ht="22.5" customHeight="1">
      <c r="C1371" s="19" t="s">
        <v>4500</v>
      </c>
      <c r="D1371" s="39" t="s">
        <v>2339</v>
      </c>
      <c r="E1371" s="43" t="s">
        <v>4675</v>
      </c>
      <c r="F1371" s="43" t="s">
        <v>4676</v>
      </c>
      <c r="G1371" s="43" t="s">
        <v>113</v>
      </c>
      <c r="H1371" s="44">
        <v>3.472868696E9</v>
      </c>
      <c r="I1371" s="18">
        <f t="shared" si="12"/>
        <v>45946</v>
      </c>
      <c r="J1371" s="19" t="s">
        <v>28</v>
      </c>
      <c r="K1371" s="19" t="s">
        <v>325</v>
      </c>
      <c r="L1371" s="40"/>
    </row>
    <row r="1372" ht="22.5" customHeight="1">
      <c r="C1372" s="19" t="s">
        <v>4677</v>
      </c>
      <c r="D1372" s="39" t="s">
        <v>2339</v>
      </c>
      <c r="E1372" s="43" t="s">
        <v>4678</v>
      </c>
      <c r="F1372" s="43" t="s">
        <v>4679</v>
      </c>
      <c r="G1372" s="43" t="s">
        <v>4360</v>
      </c>
      <c r="H1372" s="42" t="s">
        <v>4680</v>
      </c>
      <c r="I1372" s="18">
        <f t="shared" ref="I1372:I1429" si="13">DATE(2025, 10, 20)</f>
        <v>45950</v>
      </c>
      <c r="J1372" s="19" t="s">
        <v>28</v>
      </c>
      <c r="K1372" s="19" t="s">
        <v>325</v>
      </c>
      <c r="L1372" s="40"/>
    </row>
    <row r="1373" ht="22.5" customHeight="1">
      <c r="C1373" s="19" t="s">
        <v>4677</v>
      </c>
      <c r="D1373" s="39" t="s">
        <v>2339</v>
      </c>
      <c r="E1373" s="43" t="s">
        <v>4681</v>
      </c>
      <c r="F1373" s="43" t="s">
        <v>4682</v>
      </c>
      <c r="G1373" s="43" t="s">
        <v>4683</v>
      </c>
      <c r="H1373" s="44">
        <v>5.126699545E9</v>
      </c>
      <c r="I1373" s="18">
        <f t="shared" si="13"/>
        <v>45950</v>
      </c>
      <c r="J1373" s="19" t="s">
        <v>28</v>
      </c>
      <c r="K1373" s="19" t="s">
        <v>325</v>
      </c>
      <c r="L1373" s="40"/>
    </row>
    <row r="1374" ht="22.5" customHeight="1">
      <c r="C1374" s="19" t="s">
        <v>4677</v>
      </c>
      <c r="D1374" s="39" t="s">
        <v>2339</v>
      </c>
      <c r="E1374" s="43" t="s">
        <v>4684</v>
      </c>
      <c r="F1374" s="43" t="s">
        <v>4685</v>
      </c>
      <c r="G1374" s="43" t="s">
        <v>3751</v>
      </c>
      <c r="H1374" s="42" t="s">
        <v>4686</v>
      </c>
      <c r="I1374" s="18">
        <f t="shared" si="13"/>
        <v>45950</v>
      </c>
      <c r="J1374" s="19" t="s">
        <v>28</v>
      </c>
      <c r="K1374" s="19" t="s">
        <v>325</v>
      </c>
      <c r="L1374" s="40"/>
    </row>
    <row r="1375" ht="22.5" customHeight="1">
      <c r="C1375" s="19" t="s">
        <v>4677</v>
      </c>
      <c r="D1375" s="39" t="s">
        <v>2339</v>
      </c>
      <c r="E1375" s="43" t="s">
        <v>4687</v>
      </c>
      <c r="F1375" s="43" t="s">
        <v>4688</v>
      </c>
      <c r="G1375" s="43" t="s">
        <v>4689</v>
      </c>
      <c r="H1375" s="42" t="s">
        <v>4690</v>
      </c>
      <c r="I1375" s="18">
        <f t="shared" si="13"/>
        <v>45950</v>
      </c>
      <c r="J1375" s="19" t="s">
        <v>28</v>
      </c>
      <c r="K1375" s="19" t="s">
        <v>325</v>
      </c>
      <c r="L1375" s="40"/>
    </row>
    <row r="1376" ht="22.5" customHeight="1">
      <c r="C1376" s="19" t="s">
        <v>4677</v>
      </c>
      <c r="D1376" s="39" t="s">
        <v>2339</v>
      </c>
      <c r="E1376" s="43" t="s">
        <v>4691</v>
      </c>
      <c r="F1376" s="43" t="s">
        <v>4692</v>
      </c>
      <c r="G1376" s="43" t="s">
        <v>4387</v>
      </c>
      <c r="H1376" s="44">
        <v>5.12481224E9</v>
      </c>
      <c r="I1376" s="18">
        <f t="shared" si="13"/>
        <v>45950</v>
      </c>
      <c r="J1376" s="19" t="s">
        <v>28</v>
      </c>
      <c r="K1376" s="19" t="s">
        <v>325</v>
      </c>
      <c r="L1376" s="40"/>
    </row>
    <row r="1377" ht="22.5" customHeight="1">
      <c r="C1377" s="19" t="s">
        <v>4677</v>
      </c>
      <c r="D1377" s="39" t="s">
        <v>2339</v>
      </c>
      <c r="E1377" s="43" t="s">
        <v>4693</v>
      </c>
      <c r="F1377" s="43" t="s">
        <v>4694</v>
      </c>
      <c r="G1377" s="43" t="s">
        <v>360</v>
      </c>
      <c r="H1377" s="44">
        <v>7.372840013E9</v>
      </c>
      <c r="I1377" s="18">
        <f t="shared" si="13"/>
        <v>45950</v>
      </c>
      <c r="J1377" s="19" t="s">
        <v>28</v>
      </c>
      <c r="K1377" s="19" t="s">
        <v>325</v>
      </c>
      <c r="L1377" s="40"/>
    </row>
    <row r="1378" ht="22.5" customHeight="1">
      <c r="C1378" s="19" t="s">
        <v>4677</v>
      </c>
      <c r="D1378" s="39" t="s">
        <v>2339</v>
      </c>
      <c r="E1378" s="43" t="s">
        <v>4695</v>
      </c>
      <c r="F1378" s="43" t="s">
        <v>767</v>
      </c>
      <c r="G1378" s="43" t="s">
        <v>768</v>
      </c>
      <c r="H1378" s="44">
        <v>5.12777965E9</v>
      </c>
      <c r="I1378" s="18">
        <f t="shared" si="13"/>
        <v>45950</v>
      </c>
      <c r="J1378" s="19" t="s">
        <v>28</v>
      </c>
      <c r="K1378" s="19" t="s">
        <v>325</v>
      </c>
      <c r="L1378" s="40"/>
    </row>
    <row r="1379" ht="22.5" customHeight="1">
      <c r="C1379" s="19" t="s">
        <v>4677</v>
      </c>
      <c r="D1379" s="39" t="s">
        <v>2339</v>
      </c>
      <c r="E1379" s="43" t="s">
        <v>4696</v>
      </c>
      <c r="F1379" s="43" t="s">
        <v>4697</v>
      </c>
      <c r="G1379" s="43" t="s">
        <v>2210</v>
      </c>
      <c r="H1379" s="44">
        <v>5.123373738E9</v>
      </c>
      <c r="I1379" s="18">
        <f t="shared" si="13"/>
        <v>45950</v>
      </c>
      <c r="J1379" s="19" t="s">
        <v>28</v>
      </c>
      <c r="K1379" s="19" t="s">
        <v>325</v>
      </c>
      <c r="L1379" s="40"/>
    </row>
    <row r="1380" ht="22.5" customHeight="1">
      <c r="C1380" s="19" t="s">
        <v>4677</v>
      </c>
      <c r="D1380" s="39" t="s">
        <v>2339</v>
      </c>
      <c r="E1380" s="43" t="s">
        <v>4698</v>
      </c>
      <c r="F1380" s="43" t="s">
        <v>4699</v>
      </c>
      <c r="G1380" s="43" t="s">
        <v>1843</v>
      </c>
      <c r="H1380" s="42" t="s">
        <v>4700</v>
      </c>
      <c r="I1380" s="18">
        <f t="shared" si="13"/>
        <v>45950</v>
      </c>
      <c r="J1380" s="19" t="s">
        <v>28</v>
      </c>
      <c r="K1380" s="19" t="s">
        <v>325</v>
      </c>
      <c r="L1380" s="40"/>
    </row>
    <row r="1381" ht="22.5" customHeight="1">
      <c r="C1381" s="19" t="s">
        <v>4677</v>
      </c>
      <c r="D1381" s="39" t="s">
        <v>2339</v>
      </c>
      <c r="E1381" s="43" t="s">
        <v>4701</v>
      </c>
      <c r="F1381" s="43" t="s">
        <v>4702</v>
      </c>
      <c r="G1381" s="43" t="s">
        <v>4703</v>
      </c>
      <c r="H1381" s="42" t="s">
        <v>4704</v>
      </c>
      <c r="I1381" s="18">
        <f t="shared" si="13"/>
        <v>45950</v>
      </c>
      <c r="J1381" s="19" t="s">
        <v>28</v>
      </c>
      <c r="K1381" s="19" t="s">
        <v>325</v>
      </c>
      <c r="L1381" s="40"/>
    </row>
    <row r="1382" ht="22.5" customHeight="1">
      <c r="C1382" s="19" t="s">
        <v>4677</v>
      </c>
      <c r="D1382" s="39" t="s">
        <v>2339</v>
      </c>
      <c r="E1382" s="43" t="s">
        <v>4705</v>
      </c>
      <c r="F1382" s="43" t="s">
        <v>4706</v>
      </c>
      <c r="G1382" s="43" t="s">
        <v>62</v>
      </c>
      <c r="H1382" s="42" t="s">
        <v>4707</v>
      </c>
      <c r="I1382" s="18">
        <f t="shared" si="13"/>
        <v>45950</v>
      </c>
      <c r="J1382" s="19" t="s">
        <v>28</v>
      </c>
      <c r="K1382" s="19" t="s">
        <v>325</v>
      </c>
      <c r="L1382" s="40"/>
    </row>
    <row r="1383" ht="22.5" customHeight="1">
      <c r="C1383" s="19" t="s">
        <v>4677</v>
      </c>
      <c r="D1383" s="39" t="s">
        <v>2339</v>
      </c>
      <c r="E1383" s="43" t="s">
        <v>4708</v>
      </c>
      <c r="F1383" s="43" t="s">
        <v>4709</v>
      </c>
      <c r="G1383" s="43" t="s">
        <v>1010</v>
      </c>
      <c r="H1383" s="42" t="s">
        <v>4710</v>
      </c>
      <c r="I1383" s="18">
        <f t="shared" si="13"/>
        <v>45950</v>
      </c>
      <c r="J1383" s="19" t="s">
        <v>28</v>
      </c>
      <c r="K1383" s="19" t="s">
        <v>325</v>
      </c>
      <c r="L1383" s="40"/>
    </row>
    <row r="1384" ht="22.5" customHeight="1">
      <c r="C1384" s="19" t="s">
        <v>4677</v>
      </c>
      <c r="D1384" s="39" t="s">
        <v>2339</v>
      </c>
      <c r="E1384" s="43" t="s">
        <v>4711</v>
      </c>
      <c r="F1384" s="43" t="s">
        <v>4712</v>
      </c>
      <c r="G1384" s="43" t="s">
        <v>4713</v>
      </c>
      <c r="H1384" s="44">
        <v>5.128146098E9</v>
      </c>
      <c r="I1384" s="18">
        <f t="shared" si="13"/>
        <v>45950</v>
      </c>
      <c r="J1384" s="19" t="s">
        <v>28</v>
      </c>
      <c r="K1384" s="19" t="s">
        <v>325</v>
      </c>
      <c r="L1384" s="4" t="s">
        <v>148</v>
      </c>
    </row>
    <row r="1385" ht="22.5" customHeight="1">
      <c r="C1385" s="19" t="s">
        <v>4677</v>
      </c>
      <c r="D1385" s="39" t="s">
        <v>2339</v>
      </c>
      <c r="E1385" s="43" t="s">
        <v>4714</v>
      </c>
      <c r="F1385" s="43" t="s">
        <v>4715</v>
      </c>
      <c r="G1385" s="43" t="s">
        <v>57</v>
      </c>
      <c r="H1385" s="42" t="s">
        <v>4716</v>
      </c>
      <c r="I1385" s="18">
        <f t="shared" si="13"/>
        <v>45950</v>
      </c>
      <c r="J1385" s="19" t="s">
        <v>28</v>
      </c>
      <c r="K1385" s="19" t="s">
        <v>325</v>
      </c>
      <c r="L1385" s="40"/>
    </row>
    <row r="1386" ht="22.5" customHeight="1">
      <c r="C1386" s="19" t="s">
        <v>4677</v>
      </c>
      <c r="D1386" s="39" t="s">
        <v>2339</v>
      </c>
      <c r="E1386" s="43" t="s">
        <v>4717</v>
      </c>
      <c r="F1386" s="43" t="s">
        <v>4718</v>
      </c>
      <c r="G1386" s="43" t="s">
        <v>4719</v>
      </c>
      <c r="H1386" s="42" t="s">
        <v>4720</v>
      </c>
      <c r="I1386" s="18">
        <f t="shared" si="13"/>
        <v>45950</v>
      </c>
      <c r="J1386" s="19" t="s">
        <v>28</v>
      </c>
      <c r="K1386" s="19" t="s">
        <v>325</v>
      </c>
      <c r="L1386" s="40"/>
    </row>
    <row r="1387" ht="22.5" customHeight="1">
      <c r="C1387" s="19" t="s">
        <v>4677</v>
      </c>
      <c r="D1387" s="39" t="s">
        <v>2339</v>
      </c>
      <c r="E1387" s="43" t="s">
        <v>4721</v>
      </c>
      <c r="F1387" s="43" t="s">
        <v>4722</v>
      </c>
      <c r="G1387" s="43" t="s">
        <v>847</v>
      </c>
      <c r="H1387" s="42" t="s">
        <v>4723</v>
      </c>
      <c r="I1387" s="18">
        <f t="shared" si="13"/>
        <v>45950</v>
      </c>
      <c r="J1387" s="19" t="s">
        <v>28</v>
      </c>
      <c r="K1387" s="19" t="s">
        <v>325</v>
      </c>
      <c r="L1387" s="40"/>
    </row>
    <row r="1388" ht="22.5" customHeight="1">
      <c r="C1388" s="19" t="s">
        <v>4677</v>
      </c>
      <c r="D1388" s="39" t="s">
        <v>2339</v>
      </c>
      <c r="E1388" s="43" t="s">
        <v>4724</v>
      </c>
      <c r="F1388" s="43" t="s">
        <v>4725</v>
      </c>
      <c r="G1388" s="43" t="s">
        <v>360</v>
      </c>
      <c r="H1388" s="42" t="s">
        <v>4726</v>
      </c>
      <c r="I1388" s="18">
        <f t="shared" si="13"/>
        <v>45950</v>
      </c>
      <c r="J1388" s="19" t="s">
        <v>28</v>
      </c>
      <c r="K1388" s="19" t="s">
        <v>325</v>
      </c>
      <c r="L1388" s="40"/>
    </row>
    <row r="1389" ht="22.5" customHeight="1">
      <c r="C1389" s="19" t="s">
        <v>4677</v>
      </c>
      <c r="D1389" s="39" t="s">
        <v>2339</v>
      </c>
      <c r="E1389" s="43" t="s">
        <v>4727</v>
      </c>
      <c r="F1389" s="43" t="s">
        <v>4728</v>
      </c>
      <c r="G1389" s="43" t="s">
        <v>42</v>
      </c>
      <c r="H1389" s="42" t="s">
        <v>4729</v>
      </c>
      <c r="I1389" s="18">
        <f t="shared" si="13"/>
        <v>45950</v>
      </c>
      <c r="J1389" s="19" t="s">
        <v>28</v>
      </c>
      <c r="K1389" s="19" t="s">
        <v>325</v>
      </c>
      <c r="L1389" s="40"/>
    </row>
    <row r="1390" ht="22.5" customHeight="1">
      <c r="C1390" s="19" t="s">
        <v>4677</v>
      </c>
      <c r="D1390" s="39" t="s">
        <v>2339</v>
      </c>
      <c r="E1390" s="43" t="s">
        <v>4730</v>
      </c>
      <c r="F1390" s="43" t="s">
        <v>4731</v>
      </c>
      <c r="G1390" s="43" t="s">
        <v>4433</v>
      </c>
      <c r="H1390" s="42" t="s">
        <v>4732</v>
      </c>
      <c r="I1390" s="18">
        <f t="shared" si="13"/>
        <v>45950</v>
      </c>
      <c r="J1390" s="19" t="s">
        <v>28</v>
      </c>
      <c r="K1390" s="19" t="s">
        <v>325</v>
      </c>
      <c r="L1390" s="40"/>
    </row>
    <row r="1391" ht="22.5" customHeight="1">
      <c r="C1391" s="19" t="s">
        <v>4677</v>
      </c>
      <c r="D1391" s="39" t="s">
        <v>2339</v>
      </c>
      <c r="E1391" s="43" t="s">
        <v>4733</v>
      </c>
      <c r="F1391" s="43" t="s">
        <v>4734</v>
      </c>
      <c r="G1391" s="43" t="s">
        <v>524</v>
      </c>
      <c r="H1391" s="42" t="s">
        <v>4735</v>
      </c>
      <c r="I1391" s="18">
        <f t="shared" si="13"/>
        <v>45950</v>
      </c>
      <c r="J1391" s="19" t="s">
        <v>28</v>
      </c>
      <c r="K1391" s="19" t="s">
        <v>325</v>
      </c>
      <c r="L1391" s="40"/>
    </row>
    <row r="1392" ht="22.5" customHeight="1">
      <c r="C1392" s="19" t="s">
        <v>4677</v>
      </c>
      <c r="D1392" s="39" t="s">
        <v>2339</v>
      </c>
      <c r="E1392" s="43" t="s">
        <v>4736</v>
      </c>
      <c r="F1392" s="43" t="s">
        <v>4737</v>
      </c>
      <c r="G1392" s="43" t="s">
        <v>82</v>
      </c>
      <c r="H1392" s="42" t="s">
        <v>4738</v>
      </c>
      <c r="I1392" s="18">
        <f t="shared" si="13"/>
        <v>45950</v>
      </c>
      <c r="J1392" s="19" t="s">
        <v>28</v>
      </c>
      <c r="K1392" s="19" t="s">
        <v>325</v>
      </c>
      <c r="L1392" s="40"/>
    </row>
    <row r="1393" ht="22.5" customHeight="1">
      <c r="C1393" s="19" t="s">
        <v>4677</v>
      </c>
      <c r="D1393" s="39" t="s">
        <v>2339</v>
      </c>
      <c r="E1393" s="43" t="s">
        <v>4739</v>
      </c>
      <c r="F1393" s="43" t="s">
        <v>4740</v>
      </c>
      <c r="G1393" s="43" t="s">
        <v>108</v>
      </c>
      <c r="H1393" s="42" t="s">
        <v>4741</v>
      </c>
      <c r="I1393" s="18">
        <f t="shared" si="13"/>
        <v>45950</v>
      </c>
      <c r="J1393" s="19" t="s">
        <v>28</v>
      </c>
      <c r="K1393" s="19" t="s">
        <v>325</v>
      </c>
      <c r="L1393" s="40"/>
    </row>
    <row r="1394" ht="22.5" customHeight="1">
      <c r="C1394" s="19" t="s">
        <v>4677</v>
      </c>
      <c r="D1394" s="39" t="s">
        <v>2339</v>
      </c>
      <c r="E1394" s="43" t="s">
        <v>4742</v>
      </c>
      <c r="F1394" s="43" t="s">
        <v>4743</v>
      </c>
      <c r="G1394" s="43" t="s">
        <v>77</v>
      </c>
      <c r="H1394" s="42" t="s">
        <v>4744</v>
      </c>
      <c r="I1394" s="18">
        <f t="shared" si="13"/>
        <v>45950</v>
      </c>
      <c r="J1394" s="19" t="s">
        <v>28</v>
      </c>
      <c r="K1394" s="19" t="s">
        <v>325</v>
      </c>
      <c r="L1394" s="40"/>
    </row>
    <row r="1395" ht="22.5" customHeight="1">
      <c r="C1395" s="19" t="s">
        <v>4677</v>
      </c>
      <c r="D1395" s="39" t="s">
        <v>2339</v>
      </c>
      <c r="E1395" s="43" t="s">
        <v>4745</v>
      </c>
      <c r="F1395" s="43" t="s">
        <v>4746</v>
      </c>
      <c r="G1395" s="43" t="s">
        <v>1060</v>
      </c>
      <c r="H1395" s="44">
        <v>5.124239993E9</v>
      </c>
      <c r="I1395" s="18">
        <f t="shared" si="13"/>
        <v>45950</v>
      </c>
      <c r="J1395" s="19" t="s">
        <v>28</v>
      </c>
      <c r="K1395" s="19" t="s">
        <v>325</v>
      </c>
      <c r="L1395" s="40"/>
    </row>
    <row r="1396" ht="22.5" customHeight="1">
      <c r="C1396" s="19" t="s">
        <v>4677</v>
      </c>
      <c r="D1396" s="39" t="s">
        <v>2339</v>
      </c>
      <c r="E1396" s="43" t="s">
        <v>4747</v>
      </c>
      <c r="F1396" s="43" t="s">
        <v>4748</v>
      </c>
      <c r="G1396" s="43" t="s">
        <v>4749</v>
      </c>
      <c r="H1396" s="44">
        <v>9.099005706E9</v>
      </c>
      <c r="I1396" s="18">
        <f t="shared" si="13"/>
        <v>45950</v>
      </c>
      <c r="J1396" s="19" t="s">
        <v>28</v>
      </c>
      <c r="K1396" s="19" t="s">
        <v>325</v>
      </c>
      <c r="L1396" s="40"/>
    </row>
    <row r="1397" ht="22.5" customHeight="1">
      <c r="C1397" s="19" t="s">
        <v>4677</v>
      </c>
      <c r="D1397" s="39" t="s">
        <v>2339</v>
      </c>
      <c r="E1397" s="43" t="s">
        <v>4750</v>
      </c>
      <c r="F1397" s="43" t="s">
        <v>4751</v>
      </c>
      <c r="G1397" s="43" t="s">
        <v>4752</v>
      </c>
      <c r="H1397" s="42" t="s">
        <v>4753</v>
      </c>
      <c r="I1397" s="18">
        <f t="shared" si="13"/>
        <v>45950</v>
      </c>
      <c r="J1397" s="19" t="s">
        <v>28</v>
      </c>
      <c r="K1397" s="19" t="s">
        <v>325</v>
      </c>
      <c r="L1397" s="40"/>
    </row>
    <row r="1398" ht="22.5" customHeight="1">
      <c r="C1398" s="19" t="s">
        <v>4677</v>
      </c>
      <c r="D1398" s="39" t="s">
        <v>2339</v>
      </c>
      <c r="E1398" s="43" t="s">
        <v>4754</v>
      </c>
      <c r="F1398" s="43" t="s">
        <v>4755</v>
      </c>
      <c r="G1398" s="43" t="s">
        <v>2331</v>
      </c>
      <c r="H1398" s="42" t="s">
        <v>4756</v>
      </c>
      <c r="I1398" s="18">
        <f t="shared" si="13"/>
        <v>45950</v>
      </c>
      <c r="J1398" s="19" t="s">
        <v>28</v>
      </c>
      <c r="K1398" s="19" t="s">
        <v>325</v>
      </c>
      <c r="L1398" s="40"/>
    </row>
    <row r="1399" ht="22.5" customHeight="1">
      <c r="C1399" s="19" t="s">
        <v>4677</v>
      </c>
      <c r="D1399" s="39" t="s">
        <v>2339</v>
      </c>
      <c r="E1399" s="43" t="s">
        <v>4757</v>
      </c>
      <c r="F1399" s="43" t="s">
        <v>4758</v>
      </c>
      <c r="G1399" s="43" t="s">
        <v>2975</v>
      </c>
      <c r="H1399" s="44">
        <v>9.856305026E9</v>
      </c>
      <c r="I1399" s="18">
        <f t="shared" si="13"/>
        <v>45950</v>
      </c>
      <c r="J1399" s="19" t="s">
        <v>28</v>
      </c>
      <c r="K1399" s="19" t="s">
        <v>325</v>
      </c>
      <c r="L1399" s="40"/>
    </row>
    <row r="1400" ht="22.5" customHeight="1">
      <c r="C1400" s="19" t="s">
        <v>4677</v>
      </c>
      <c r="D1400" s="39" t="s">
        <v>2339</v>
      </c>
      <c r="E1400" s="43" t="s">
        <v>4759</v>
      </c>
      <c r="F1400" s="43" t="s">
        <v>4760</v>
      </c>
      <c r="G1400" s="43" t="s">
        <v>142</v>
      </c>
      <c r="H1400" s="42" t="s">
        <v>4761</v>
      </c>
      <c r="I1400" s="18">
        <f t="shared" si="13"/>
        <v>45950</v>
      </c>
      <c r="J1400" s="19" t="s">
        <v>28</v>
      </c>
      <c r="K1400" s="19" t="s">
        <v>325</v>
      </c>
      <c r="L1400" s="40"/>
    </row>
    <row r="1401" ht="22.5" customHeight="1">
      <c r="C1401" s="19" t="s">
        <v>4677</v>
      </c>
      <c r="D1401" s="39" t="s">
        <v>2339</v>
      </c>
      <c r="E1401" s="43" t="s">
        <v>4762</v>
      </c>
      <c r="F1401" s="43" t="s">
        <v>4763</v>
      </c>
      <c r="G1401" s="43" t="s">
        <v>191</v>
      </c>
      <c r="H1401" s="42" t="s">
        <v>4764</v>
      </c>
      <c r="I1401" s="18">
        <f t="shared" si="13"/>
        <v>45950</v>
      </c>
      <c r="J1401" s="19" t="s">
        <v>28</v>
      </c>
      <c r="K1401" s="19" t="s">
        <v>325</v>
      </c>
      <c r="L1401" s="40"/>
    </row>
    <row r="1402" ht="22.5" customHeight="1">
      <c r="C1402" s="19" t="s">
        <v>4677</v>
      </c>
      <c r="D1402" s="39" t="s">
        <v>2339</v>
      </c>
      <c r="E1402" s="43" t="s">
        <v>4765</v>
      </c>
      <c r="F1402" s="43" t="s">
        <v>4766</v>
      </c>
      <c r="G1402" s="43" t="s">
        <v>131</v>
      </c>
      <c r="H1402" s="44">
        <v>5.12792952E9</v>
      </c>
      <c r="I1402" s="18">
        <f t="shared" si="13"/>
        <v>45950</v>
      </c>
      <c r="J1402" s="19" t="s">
        <v>28</v>
      </c>
      <c r="K1402" s="19" t="s">
        <v>325</v>
      </c>
      <c r="L1402" s="40"/>
    </row>
    <row r="1403" ht="22.5" customHeight="1">
      <c r="C1403" s="19" t="s">
        <v>4677</v>
      </c>
      <c r="D1403" s="39" t="s">
        <v>2339</v>
      </c>
      <c r="E1403" s="43" t="s">
        <v>4767</v>
      </c>
      <c r="F1403" s="43" t="s">
        <v>4768</v>
      </c>
      <c r="G1403" s="43" t="s">
        <v>217</v>
      </c>
      <c r="H1403" s="42" t="s">
        <v>4769</v>
      </c>
      <c r="I1403" s="18">
        <f t="shared" si="13"/>
        <v>45950</v>
      </c>
      <c r="J1403" s="19" t="s">
        <v>28</v>
      </c>
      <c r="K1403" s="19" t="s">
        <v>325</v>
      </c>
      <c r="L1403" s="40"/>
    </row>
    <row r="1404" ht="22.5" customHeight="1">
      <c r="C1404" s="19" t="s">
        <v>4677</v>
      </c>
      <c r="D1404" s="39" t="s">
        <v>2339</v>
      </c>
      <c r="E1404" s="43" t="s">
        <v>4770</v>
      </c>
      <c r="F1404" s="43" t="s">
        <v>4771</v>
      </c>
      <c r="G1404" s="43" t="s">
        <v>4772</v>
      </c>
      <c r="H1404" s="44">
        <v>7.142724477E9</v>
      </c>
      <c r="I1404" s="18">
        <f t="shared" si="13"/>
        <v>45950</v>
      </c>
      <c r="J1404" s="19" t="s">
        <v>28</v>
      </c>
      <c r="K1404" s="19" t="s">
        <v>325</v>
      </c>
      <c r="L1404" s="40"/>
    </row>
    <row r="1405" ht="22.5" customHeight="1">
      <c r="C1405" s="19" t="s">
        <v>4677</v>
      </c>
      <c r="D1405" s="39" t="s">
        <v>2339</v>
      </c>
      <c r="E1405" s="43" t="s">
        <v>4773</v>
      </c>
      <c r="F1405" s="43" t="s">
        <v>4774</v>
      </c>
      <c r="G1405" s="43" t="s">
        <v>946</v>
      </c>
      <c r="H1405" s="42" t="s">
        <v>4775</v>
      </c>
      <c r="I1405" s="18">
        <f t="shared" si="13"/>
        <v>45950</v>
      </c>
      <c r="J1405" s="19" t="s">
        <v>28</v>
      </c>
      <c r="K1405" s="19" t="s">
        <v>325</v>
      </c>
      <c r="L1405" s="40"/>
    </row>
    <row r="1406" ht="22.5" customHeight="1">
      <c r="C1406" s="19" t="s">
        <v>4677</v>
      </c>
      <c r="D1406" s="39" t="s">
        <v>2339</v>
      </c>
      <c r="E1406" s="43" t="s">
        <v>4776</v>
      </c>
      <c r="F1406" s="43" t="s">
        <v>4777</v>
      </c>
      <c r="G1406" s="43" t="s">
        <v>2022</v>
      </c>
      <c r="H1406" s="44">
        <v>5.129946139E9</v>
      </c>
      <c r="I1406" s="18">
        <f t="shared" si="13"/>
        <v>45950</v>
      </c>
      <c r="J1406" s="19" t="s">
        <v>28</v>
      </c>
      <c r="K1406" s="19" t="s">
        <v>325</v>
      </c>
      <c r="L1406" s="40"/>
    </row>
    <row r="1407" ht="22.5" customHeight="1">
      <c r="C1407" s="19" t="s">
        <v>4677</v>
      </c>
      <c r="D1407" s="39" t="s">
        <v>2339</v>
      </c>
      <c r="E1407" s="43" t="s">
        <v>4778</v>
      </c>
      <c r="F1407" s="43" t="s">
        <v>4779</v>
      </c>
      <c r="G1407" s="43" t="s">
        <v>126</v>
      </c>
      <c r="H1407" s="42" t="s">
        <v>4780</v>
      </c>
      <c r="I1407" s="18">
        <f t="shared" si="13"/>
        <v>45950</v>
      </c>
      <c r="J1407" s="19" t="s">
        <v>28</v>
      </c>
      <c r="K1407" s="19" t="s">
        <v>325</v>
      </c>
      <c r="L1407" s="40"/>
    </row>
    <row r="1408" ht="22.5" customHeight="1">
      <c r="C1408" s="19" t="s">
        <v>4677</v>
      </c>
      <c r="D1408" s="39" t="s">
        <v>2339</v>
      </c>
      <c r="E1408" s="43" t="s">
        <v>4781</v>
      </c>
      <c r="F1408" s="43" t="s">
        <v>4782</v>
      </c>
      <c r="G1408" s="43" t="s">
        <v>47</v>
      </c>
      <c r="H1408" s="42" t="s">
        <v>4783</v>
      </c>
      <c r="I1408" s="18">
        <f t="shared" si="13"/>
        <v>45950</v>
      </c>
      <c r="J1408" s="19" t="s">
        <v>28</v>
      </c>
      <c r="K1408" s="19" t="s">
        <v>325</v>
      </c>
      <c r="L1408" s="40"/>
    </row>
    <row r="1409" ht="22.5" customHeight="1">
      <c r="C1409" s="19" t="s">
        <v>4677</v>
      </c>
      <c r="D1409" s="39" t="s">
        <v>2339</v>
      </c>
      <c r="E1409" s="43" t="s">
        <v>4784</v>
      </c>
      <c r="F1409" s="43" t="s">
        <v>4785</v>
      </c>
      <c r="G1409" s="43" t="s">
        <v>915</v>
      </c>
      <c r="H1409" s="44">
        <v>9.363710146E9</v>
      </c>
      <c r="I1409" s="18">
        <f t="shared" si="13"/>
        <v>45950</v>
      </c>
      <c r="J1409" s="19" t="s">
        <v>28</v>
      </c>
      <c r="K1409" s="19" t="s">
        <v>325</v>
      </c>
      <c r="L1409" s="40"/>
    </row>
    <row r="1410" ht="22.5" customHeight="1">
      <c r="C1410" s="19" t="s">
        <v>4677</v>
      </c>
      <c r="D1410" s="39" t="s">
        <v>2339</v>
      </c>
      <c r="E1410" s="43" t="s">
        <v>4786</v>
      </c>
      <c r="F1410" s="43" t="s">
        <v>4787</v>
      </c>
      <c r="G1410" s="43" t="s">
        <v>82</v>
      </c>
      <c r="H1410" s="44">
        <v>5.126745001E9</v>
      </c>
      <c r="I1410" s="18">
        <f t="shared" si="13"/>
        <v>45950</v>
      </c>
      <c r="J1410" s="19" t="s">
        <v>28</v>
      </c>
      <c r="K1410" s="19" t="s">
        <v>325</v>
      </c>
      <c r="L1410" s="40"/>
    </row>
    <row r="1411" ht="22.5" customHeight="1">
      <c r="C1411" s="19" t="s">
        <v>4677</v>
      </c>
      <c r="D1411" s="39" t="s">
        <v>2339</v>
      </c>
      <c r="E1411" s="43" t="s">
        <v>4788</v>
      </c>
      <c r="F1411" s="43" t="s">
        <v>4789</v>
      </c>
      <c r="G1411" s="43" t="s">
        <v>4457</v>
      </c>
      <c r="H1411" s="42" t="s">
        <v>4790</v>
      </c>
      <c r="I1411" s="18">
        <f t="shared" si="13"/>
        <v>45950</v>
      </c>
      <c r="J1411" s="19" t="s">
        <v>28</v>
      </c>
      <c r="K1411" s="19" t="s">
        <v>325</v>
      </c>
      <c r="L1411" s="40"/>
    </row>
    <row r="1412" ht="22.5" customHeight="1">
      <c r="C1412" s="19" t="s">
        <v>4677</v>
      </c>
      <c r="D1412" s="39" t="s">
        <v>2339</v>
      </c>
      <c r="E1412" s="43" t="s">
        <v>4791</v>
      </c>
      <c r="F1412" s="43" t="s">
        <v>4792</v>
      </c>
      <c r="G1412" s="43" t="s">
        <v>786</v>
      </c>
      <c r="H1412" s="42" t="s">
        <v>4793</v>
      </c>
      <c r="I1412" s="18">
        <f t="shared" si="13"/>
        <v>45950</v>
      </c>
      <c r="J1412" s="19" t="s">
        <v>28</v>
      </c>
      <c r="K1412" s="19" t="s">
        <v>325</v>
      </c>
      <c r="L1412" s="40"/>
    </row>
    <row r="1413" ht="22.5" customHeight="1">
      <c r="C1413" s="19" t="s">
        <v>4677</v>
      </c>
      <c r="D1413" s="39" t="s">
        <v>2339</v>
      </c>
      <c r="E1413" s="43" t="s">
        <v>4794</v>
      </c>
      <c r="F1413" s="43" t="s">
        <v>4795</v>
      </c>
      <c r="G1413" s="43" t="s">
        <v>1781</v>
      </c>
      <c r="H1413" s="44">
        <v>4.136954186E9</v>
      </c>
      <c r="I1413" s="18">
        <f t="shared" si="13"/>
        <v>45950</v>
      </c>
      <c r="J1413" s="19" t="s">
        <v>28</v>
      </c>
      <c r="K1413" s="19" t="s">
        <v>325</v>
      </c>
      <c r="L1413" s="40"/>
    </row>
    <row r="1414" ht="22.5" customHeight="1">
      <c r="C1414" s="19" t="s">
        <v>4677</v>
      </c>
      <c r="D1414" s="39" t="s">
        <v>2339</v>
      </c>
      <c r="E1414" s="43" t="s">
        <v>4796</v>
      </c>
      <c r="F1414" s="43" t="s">
        <v>4797</v>
      </c>
      <c r="G1414" s="43" t="s">
        <v>301</v>
      </c>
      <c r="H1414" s="42" t="s">
        <v>4798</v>
      </c>
      <c r="I1414" s="18">
        <f t="shared" si="13"/>
        <v>45950</v>
      </c>
      <c r="J1414" s="19" t="s">
        <v>28</v>
      </c>
      <c r="K1414" s="19" t="s">
        <v>325</v>
      </c>
      <c r="L1414" s="40"/>
    </row>
    <row r="1415" ht="22.5" customHeight="1">
      <c r="C1415" s="19" t="s">
        <v>4677</v>
      </c>
      <c r="D1415" s="39" t="s">
        <v>2339</v>
      </c>
      <c r="E1415" s="43" t="s">
        <v>4799</v>
      </c>
      <c r="F1415" s="43" t="s">
        <v>4800</v>
      </c>
      <c r="G1415" s="43" t="s">
        <v>636</v>
      </c>
      <c r="H1415" s="44">
        <v>7.37420277E9</v>
      </c>
      <c r="I1415" s="18">
        <f t="shared" si="13"/>
        <v>45950</v>
      </c>
      <c r="J1415" s="19" t="s">
        <v>28</v>
      </c>
      <c r="K1415" s="19" t="s">
        <v>325</v>
      </c>
      <c r="L1415" s="40"/>
    </row>
    <row r="1416" ht="22.5" customHeight="1">
      <c r="C1416" s="19" t="s">
        <v>4677</v>
      </c>
      <c r="D1416" s="39" t="s">
        <v>2339</v>
      </c>
      <c r="E1416" s="43" t="s">
        <v>4801</v>
      </c>
      <c r="F1416" s="43" t="s">
        <v>4802</v>
      </c>
      <c r="G1416" s="43" t="s">
        <v>938</v>
      </c>
      <c r="H1416" s="42" t="s">
        <v>4803</v>
      </c>
      <c r="I1416" s="18">
        <f t="shared" si="13"/>
        <v>45950</v>
      </c>
      <c r="J1416" s="19" t="s">
        <v>28</v>
      </c>
      <c r="K1416" s="19" t="s">
        <v>325</v>
      </c>
      <c r="L1416" s="40"/>
    </row>
    <row r="1417" ht="22.5" customHeight="1">
      <c r="C1417" s="19" t="s">
        <v>4677</v>
      </c>
      <c r="D1417" s="39" t="s">
        <v>2339</v>
      </c>
      <c r="E1417" s="43" t="s">
        <v>4804</v>
      </c>
      <c r="F1417" s="43" t="s">
        <v>4805</v>
      </c>
      <c r="G1417" s="43" t="s">
        <v>103</v>
      </c>
      <c r="H1417" s="42" t="s">
        <v>4806</v>
      </c>
      <c r="I1417" s="18">
        <f t="shared" si="13"/>
        <v>45950</v>
      </c>
      <c r="J1417" s="19" t="s">
        <v>28</v>
      </c>
      <c r="K1417" s="19" t="s">
        <v>325</v>
      </c>
      <c r="L1417" s="40"/>
    </row>
    <row r="1418" ht="22.5" customHeight="1">
      <c r="C1418" s="19" t="s">
        <v>4677</v>
      </c>
      <c r="D1418" s="39" t="s">
        <v>2339</v>
      </c>
      <c r="E1418" s="43" t="s">
        <v>4807</v>
      </c>
      <c r="F1418" s="43" t="s">
        <v>4808</v>
      </c>
      <c r="G1418" s="43" t="s">
        <v>727</v>
      </c>
      <c r="H1418" s="44">
        <v>5.129399359E9</v>
      </c>
      <c r="I1418" s="18">
        <f t="shared" si="13"/>
        <v>45950</v>
      </c>
      <c r="J1418" s="19" t="s">
        <v>28</v>
      </c>
      <c r="K1418" s="19" t="s">
        <v>325</v>
      </c>
      <c r="L1418" s="40"/>
    </row>
    <row r="1419" ht="22.5" customHeight="1">
      <c r="C1419" s="19" t="s">
        <v>4677</v>
      </c>
      <c r="D1419" s="39" t="s">
        <v>2339</v>
      </c>
      <c r="E1419" s="43" t="s">
        <v>4809</v>
      </c>
      <c r="F1419" s="43" t="s">
        <v>4810</v>
      </c>
      <c r="G1419" s="43" t="s">
        <v>377</v>
      </c>
      <c r="H1419" s="42" t="s">
        <v>4811</v>
      </c>
      <c r="I1419" s="18">
        <f t="shared" si="13"/>
        <v>45950</v>
      </c>
      <c r="J1419" s="19" t="s">
        <v>28</v>
      </c>
      <c r="K1419" s="19" t="s">
        <v>325</v>
      </c>
      <c r="L1419" s="40"/>
    </row>
    <row r="1420" ht="22.5" customHeight="1">
      <c r="C1420" s="19" t="s">
        <v>4677</v>
      </c>
      <c r="D1420" s="39" t="s">
        <v>2339</v>
      </c>
      <c r="E1420" s="43" t="s">
        <v>4812</v>
      </c>
      <c r="F1420" s="43" t="s">
        <v>4813</v>
      </c>
      <c r="G1420" s="43" t="s">
        <v>2000</v>
      </c>
      <c r="H1420" s="44">
        <v>5.12923021E9</v>
      </c>
      <c r="I1420" s="18">
        <f t="shared" si="13"/>
        <v>45950</v>
      </c>
      <c r="J1420" s="19" t="s">
        <v>28</v>
      </c>
      <c r="K1420" s="19" t="s">
        <v>325</v>
      </c>
      <c r="L1420" s="40"/>
    </row>
    <row r="1421" ht="22.5" customHeight="1">
      <c r="C1421" s="19" t="s">
        <v>4677</v>
      </c>
      <c r="D1421" s="39" t="s">
        <v>2339</v>
      </c>
      <c r="E1421" s="43" t="s">
        <v>4814</v>
      </c>
      <c r="F1421" s="43" t="s">
        <v>4815</v>
      </c>
      <c r="G1421" s="43" t="s">
        <v>1795</v>
      </c>
      <c r="H1421" s="42" t="s">
        <v>4816</v>
      </c>
      <c r="I1421" s="18">
        <f t="shared" si="13"/>
        <v>45950</v>
      </c>
      <c r="J1421" s="19" t="s">
        <v>28</v>
      </c>
      <c r="K1421" s="19" t="s">
        <v>325</v>
      </c>
      <c r="L1421" s="40"/>
    </row>
    <row r="1422" ht="22.5" customHeight="1">
      <c r="C1422" s="19" t="s">
        <v>4677</v>
      </c>
      <c r="D1422" s="39" t="s">
        <v>2339</v>
      </c>
      <c r="E1422" s="43" t="s">
        <v>4817</v>
      </c>
      <c r="F1422" s="43" t="s">
        <v>4818</v>
      </c>
      <c r="G1422" s="43" t="s">
        <v>4548</v>
      </c>
      <c r="H1422" s="42" t="s">
        <v>4819</v>
      </c>
      <c r="I1422" s="18">
        <f t="shared" si="13"/>
        <v>45950</v>
      </c>
      <c r="J1422" s="19" t="s">
        <v>28</v>
      </c>
      <c r="K1422" s="19" t="s">
        <v>325</v>
      </c>
      <c r="L1422" s="40"/>
    </row>
    <row r="1423" ht="22.5" customHeight="1">
      <c r="C1423" s="19" t="s">
        <v>4677</v>
      </c>
      <c r="D1423" s="39" t="s">
        <v>2339</v>
      </c>
      <c r="E1423" s="43" t="s">
        <v>4820</v>
      </c>
      <c r="F1423" s="43" t="s">
        <v>4821</v>
      </c>
      <c r="G1423" s="43" t="s">
        <v>717</v>
      </c>
      <c r="H1423" s="44">
        <v>5.122633334E9</v>
      </c>
      <c r="I1423" s="18">
        <f t="shared" si="13"/>
        <v>45950</v>
      </c>
      <c r="J1423" s="19" t="s">
        <v>28</v>
      </c>
      <c r="K1423" s="19" t="s">
        <v>325</v>
      </c>
      <c r="L1423" s="40"/>
    </row>
    <row r="1424" ht="22.5" customHeight="1">
      <c r="C1424" s="19" t="s">
        <v>4677</v>
      </c>
      <c r="D1424" s="39" t="s">
        <v>2339</v>
      </c>
      <c r="E1424" s="43" t="s">
        <v>4822</v>
      </c>
      <c r="F1424" s="43" t="s">
        <v>4823</v>
      </c>
      <c r="G1424" s="43" t="s">
        <v>622</v>
      </c>
      <c r="H1424" s="42" t="s">
        <v>4824</v>
      </c>
      <c r="I1424" s="18">
        <f t="shared" si="13"/>
        <v>45950</v>
      </c>
      <c r="J1424" s="19" t="s">
        <v>28</v>
      </c>
      <c r="K1424" s="19" t="s">
        <v>325</v>
      </c>
      <c r="L1424" s="40"/>
    </row>
    <row r="1425" ht="22.5" customHeight="1">
      <c r="C1425" s="19" t="s">
        <v>4677</v>
      </c>
      <c r="D1425" s="39" t="s">
        <v>2339</v>
      </c>
      <c r="E1425" s="43" t="s">
        <v>4825</v>
      </c>
      <c r="F1425" s="43" t="s">
        <v>4826</v>
      </c>
      <c r="G1425" s="43" t="s">
        <v>247</v>
      </c>
      <c r="H1425" s="44">
        <v>5.126802978E9</v>
      </c>
      <c r="I1425" s="18">
        <f t="shared" si="13"/>
        <v>45950</v>
      </c>
      <c r="J1425" s="19" t="s">
        <v>28</v>
      </c>
      <c r="K1425" s="19" t="s">
        <v>325</v>
      </c>
      <c r="L1425" s="40"/>
    </row>
    <row r="1426" ht="22.5" customHeight="1">
      <c r="C1426" s="19" t="s">
        <v>4677</v>
      </c>
      <c r="D1426" s="39" t="s">
        <v>2339</v>
      </c>
      <c r="E1426" s="43" t="s">
        <v>4827</v>
      </c>
      <c r="F1426" s="43" t="s">
        <v>4828</v>
      </c>
      <c r="G1426" s="43" t="s">
        <v>582</v>
      </c>
      <c r="H1426" s="42" t="s">
        <v>4829</v>
      </c>
      <c r="I1426" s="18">
        <f t="shared" si="13"/>
        <v>45950</v>
      </c>
      <c r="J1426" s="19" t="s">
        <v>28</v>
      </c>
      <c r="K1426" s="19" t="s">
        <v>325</v>
      </c>
      <c r="L1426" s="40"/>
    </row>
    <row r="1427" ht="22.5" customHeight="1">
      <c r="C1427" s="19" t="s">
        <v>4677</v>
      </c>
      <c r="D1427" s="39" t="s">
        <v>2339</v>
      </c>
      <c r="E1427" s="43" t="s">
        <v>4830</v>
      </c>
      <c r="F1427" s="43" t="s">
        <v>4831</v>
      </c>
      <c r="G1427" s="43" t="s">
        <v>1199</v>
      </c>
      <c r="H1427" s="42" t="s">
        <v>4832</v>
      </c>
      <c r="I1427" s="18">
        <f t="shared" si="13"/>
        <v>45950</v>
      </c>
      <c r="J1427" s="19" t="s">
        <v>28</v>
      </c>
      <c r="K1427" s="19" t="s">
        <v>325</v>
      </c>
      <c r="L1427" s="40"/>
    </row>
    <row r="1428" ht="22.5" customHeight="1">
      <c r="C1428" s="19" t="s">
        <v>4677</v>
      </c>
      <c r="D1428" s="39" t="s">
        <v>2339</v>
      </c>
      <c r="E1428" s="43" t="s">
        <v>4833</v>
      </c>
      <c r="F1428" s="43" t="s">
        <v>4834</v>
      </c>
      <c r="G1428" s="43" t="s">
        <v>67</v>
      </c>
      <c r="H1428" s="42" t="s">
        <v>4835</v>
      </c>
      <c r="I1428" s="18">
        <f t="shared" si="13"/>
        <v>45950</v>
      </c>
      <c r="J1428" s="19" t="s">
        <v>28</v>
      </c>
      <c r="K1428" s="19" t="s">
        <v>325</v>
      </c>
      <c r="L1428" s="40"/>
    </row>
    <row r="1429" ht="22.5" customHeight="1">
      <c r="C1429" s="19" t="s">
        <v>4677</v>
      </c>
      <c r="D1429" s="39" t="s">
        <v>2339</v>
      </c>
      <c r="E1429" s="43" t="s">
        <v>4836</v>
      </c>
      <c r="F1429" s="43" t="s">
        <v>4837</v>
      </c>
      <c r="G1429" s="43" t="s">
        <v>868</v>
      </c>
      <c r="H1429" s="44">
        <v>5.122701304E9</v>
      </c>
      <c r="I1429" s="18">
        <f t="shared" si="13"/>
        <v>45950</v>
      </c>
      <c r="J1429" s="19" t="s">
        <v>28</v>
      </c>
      <c r="K1429" s="19" t="s">
        <v>325</v>
      </c>
      <c r="L1429" s="40"/>
    </row>
    <row r="1430" ht="22.5" customHeight="1">
      <c r="C1430" s="19" t="s">
        <v>4838</v>
      </c>
      <c r="D1430" s="39" t="s">
        <v>2339</v>
      </c>
      <c r="E1430" s="43" t="s">
        <v>4839</v>
      </c>
      <c r="F1430" s="43" t="s">
        <v>4840</v>
      </c>
      <c r="G1430" s="43" t="s">
        <v>4841</v>
      </c>
      <c r="H1430" s="44">
        <v>4.432563477E9</v>
      </c>
      <c r="I1430" s="18">
        <f t="shared" ref="I1430:I1497" si="14">DATE(2025, 10, 21)</f>
        <v>45951</v>
      </c>
      <c r="J1430" s="19" t="s">
        <v>28</v>
      </c>
      <c r="K1430" s="19" t="s">
        <v>325</v>
      </c>
      <c r="L1430" s="40"/>
    </row>
    <row r="1431" ht="22.5" customHeight="1">
      <c r="C1431" s="19" t="s">
        <v>4838</v>
      </c>
      <c r="D1431" s="39" t="s">
        <v>2339</v>
      </c>
      <c r="E1431" s="43" t="s">
        <v>4842</v>
      </c>
      <c r="F1431" s="43" t="s">
        <v>4843</v>
      </c>
      <c r="G1431" s="43" t="s">
        <v>62</v>
      </c>
      <c r="H1431" s="44">
        <v>3.013378731E9</v>
      </c>
      <c r="I1431" s="18">
        <f t="shared" si="14"/>
        <v>45951</v>
      </c>
      <c r="J1431" s="19" t="s">
        <v>28</v>
      </c>
      <c r="K1431" s="19" t="s">
        <v>325</v>
      </c>
      <c r="L1431" s="40"/>
    </row>
    <row r="1432" ht="22.5" customHeight="1">
      <c r="C1432" s="19" t="s">
        <v>4838</v>
      </c>
      <c r="D1432" s="39" t="s">
        <v>2339</v>
      </c>
      <c r="E1432" s="43" t="s">
        <v>4844</v>
      </c>
      <c r="F1432" s="43" t="s">
        <v>4845</v>
      </c>
      <c r="G1432" s="43" t="s">
        <v>2210</v>
      </c>
      <c r="H1432" s="42" t="s">
        <v>4846</v>
      </c>
      <c r="I1432" s="18">
        <f t="shared" si="14"/>
        <v>45951</v>
      </c>
      <c r="J1432" s="19" t="s">
        <v>28</v>
      </c>
      <c r="K1432" s="19" t="s">
        <v>325</v>
      </c>
      <c r="L1432" s="40"/>
    </row>
    <row r="1433" ht="22.5" customHeight="1">
      <c r="C1433" s="19" t="s">
        <v>4838</v>
      </c>
      <c r="D1433" s="39" t="s">
        <v>2339</v>
      </c>
      <c r="E1433" s="43" t="s">
        <v>4847</v>
      </c>
      <c r="F1433" s="43" t="s">
        <v>4848</v>
      </c>
      <c r="G1433" s="43" t="s">
        <v>659</v>
      </c>
      <c r="H1433" s="44">
        <v>9.782393744E9</v>
      </c>
      <c r="I1433" s="18">
        <f t="shared" si="14"/>
        <v>45951</v>
      </c>
      <c r="J1433" s="19" t="s">
        <v>28</v>
      </c>
      <c r="K1433" s="19" t="s">
        <v>325</v>
      </c>
      <c r="L1433" s="40"/>
    </row>
    <row r="1434" ht="22.5" customHeight="1">
      <c r="C1434" s="19" t="s">
        <v>4838</v>
      </c>
      <c r="D1434" s="39" t="s">
        <v>2339</v>
      </c>
      <c r="E1434" s="43" t="s">
        <v>4849</v>
      </c>
      <c r="F1434" s="43" t="s">
        <v>4850</v>
      </c>
      <c r="G1434" s="43" t="s">
        <v>47</v>
      </c>
      <c r="H1434" s="42" t="s">
        <v>4851</v>
      </c>
      <c r="I1434" s="18">
        <f t="shared" si="14"/>
        <v>45951</v>
      </c>
      <c r="J1434" s="19" t="s">
        <v>28</v>
      </c>
      <c r="K1434" s="19" t="s">
        <v>325</v>
      </c>
      <c r="L1434" s="40"/>
    </row>
    <row r="1435" ht="22.5" customHeight="1">
      <c r="C1435" s="19" t="s">
        <v>4838</v>
      </c>
      <c r="D1435" s="39" t="s">
        <v>2339</v>
      </c>
      <c r="E1435" s="43" t="s">
        <v>4852</v>
      </c>
      <c r="F1435" s="43" t="s">
        <v>4853</v>
      </c>
      <c r="G1435" s="43" t="s">
        <v>1164</v>
      </c>
      <c r="H1435" s="44">
        <v>4.043134033E9</v>
      </c>
      <c r="I1435" s="18">
        <f t="shared" si="14"/>
        <v>45951</v>
      </c>
      <c r="J1435" s="19" t="s">
        <v>28</v>
      </c>
      <c r="K1435" s="19" t="s">
        <v>325</v>
      </c>
      <c r="L1435" s="40"/>
    </row>
    <row r="1436" ht="22.5" customHeight="1">
      <c r="C1436" s="19" t="s">
        <v>4838</v>
      </c>
      <c r="D1436" s="39" t="s">
        <v>2339</v>
      </c>
      <c r="E1436" s="43" t="s">
        <v>4854</v>
      </c>
      <c r="F1436" s="43" t="s">
        <v>767</v>
      </c>
      <c r="G1436" s="43" t="s">
        <v>768</v>
      </c>
      <c r="H1436" s="44">
        <v>3.017173012E9</v>
      </c>
      <c r="I1436" s="18">
        <f t="shared" si="14"/>
        <v>45951</v>
      </c>
      <c r="J1436" s="19" t="s">
        <v>28</v>
      </c>
      <c r="K1436" s="19" t="s">
        <v>325</v>
      </c>
      <c r="L1436" s="40"/>
    </row>
    <row r="1437" ht="22.5" customHeight="1">
      <c r="C1437" s="19" t="s">
        <v>4838</v>
      </c>
      <c r="D1437" s="39" t="s">
        <v>2339</v>
      </c>
      <c r="E1437" s="43" t="s">
        <v>4855</v>
      </c>
      <c r="F1437" s="43" t="s">
        <v>4856</v>
      </c>
      <c r="G1437" s="43" t="s">
        <v>67</v>
      </c>
      <c r="H1437" s="42" t="s">
        <v>4857</v>
      </c>
      <c r="I1437" s="18">
        <f t="shared" si="14"/>
        <v>45951</v>
      </c>
      <c r="J1437" s="19" t="s">
        <v>28</v>
      </c>
      <c r="K1437" s="19" t="s">
        <v>325</v>
      </c>
      <c r="L1437" s="40"/>
    </row>
    <row r="1438" ht="22.5" customHeight="1">
      <c r="C1438" s="19" t="s">
        <v>4838</v>
      </c>
      <c r="D1438" s="39" t="s">
        <v>2339</v>
      </c>
      <c r="E1438" s="43" t="s">
        <v>4858</v>
      </c>
      <c r="F1438" s="43" t="s">
        <v>4859</v>
      </c>
      <c r="G1438" s="43" t="s">
        <v>1823</v>
      </c>
      <c r="H1438" s="42" t="s">
        <v>4860</v>
      </c>
      <c r="I1438" s="18">
        <f t="shared" si="14"/>
        <v>45951</v>
      </c>
      <c r="J1438" s="19" t="s">
        <v>28</v>
      </c>
      <c r="K1438" s="19" t="s">
        <v>325</v>
      </c>
      <c r="L1438" s="40"/>
    </row>
    <row r="1439" ht="22.5" customHeight="1">
      <c r="C1439" s="19" t="s">
        <v>4838</v>
      </c>
      <c r="D1439" s="39" t="s">
        <v>2339</v>
      </c>
      <c r="E1439" s="43" t="s">
        <v>4861</v>
      </c>
      <c r="F1439" s="43" t="s">
        <v>4862</v>
      </c>
      <c r="G1439" s="43" t="s">
        <v>3956</v>
      </c>
      <c r="H1439" s="42" t="s">
        <v>4863</v>
      </c>
      <c r="I1439" s="18">
        <f t="shared" si="14"/>
        <v>45951</v>
      </c>
      <c r="J1439" s="19" t="s">
        <v>28</v>
      </c>
      <c r="K1439" s="19" t="s">
        <v>325</v>
      </c>
      <c r="L1439" s="40"/>
    </row>
    <row r="1440" ht="22.5" customHeight="1">
      <c r="C1440" s="19" t="s">
        <v>4838</v>
      </c>
      <c r="D1440" s="39" t="s">
        <v>2339</v>
      </c>
      <c r="E1440" s="43" t="s">
        <v>4864</v>
      </c>
      <c r="F1440" s="43" t="s">
        <v>4865</v>
      </c>
      <c r="G1440" s="43" t="s">
        <v>1349</v>
      </c>
      <c r="H1440" s="42" t="s">
        <v>4866</v>
      </c>
      <c r="I1440" s="18">
        <f t="shared" si="14"/>
        <v>45951</v>
      </c>
      <c r="J1440" s="19" t="s">
        <v>28</v>
      </c>
      <c r="K1440" s="19" t="s">
        <v>325</v>
      </c>
      <c r="L1440" s="40"/>
    </row>
    <row r="1441" ht="22.5" customHeight="1">
      <c r="C1441" s="19" t="s">
        <v>4838</v>
      </c>
      <c r="D1441" s="39" t="s">
        <v>2339</v>
      </c>
      <c r="E1441" s="43" t="s">
        <v>4867</v>
      </c>
      <c r="F1441" s="43" t="s">
        <v>4868</v>
      </c>
      <c r="G1441" s="43" t="s">
        <v>377</v>
      </c>
      <c r="H1441" s="42" t="s">
        <v>4869</v>
      </c>
      <c r="I1441" s="18">
        <f t="shared" si="14"/>
        <v>45951</v>
      </c>
      <c r="J1441" s="19" t="s">
        <v>28</v>
      </c>
      <c r="K1441" s="19" t="s">
        <v>325</v>
      </c>
      <c r="L1441" s="40"/>
    </row>
    <row r="1442" ht="22.5" customHeight="1">
      <c r="C1442" s="19" t="s">
        <v>4838</v>
      </c>
      <c r="D1442" s="39" t="s">
        <v>2339</v>
      </c>
      <c r="E1442" s="43" t="s">
        <v>4870</v>
      </c>
      <c r="F1442" s="43" t="s">
        <v>4871</v>
      </c>
      <c r="G1442" s="43" t="s">
        <v>1556</v>
      </c>
      <c r="H1442" s="42" t="s">
        <v>4872</v>
      </c>
      <c r="I1442" s="18">
        <f t="shared" si="14"/>
        <v>45951</v>
      </c>
      <c r="J1442" s="19" t="s">
        <v>28</v>
      </c>
      <c r="K1442" s="19" t="s">
        <v>325</v>
      </c>
      <c r="L1442" s="40"/>
    </row>
    <row r="1443" ht="22.5" customHeight="1">
      <c r="C1443" s="19" t="s">
        <v>4838</v>
      </c>
      <c r="D1443" s="39" t="s">
        <v>2339</v>
      </c>
      <c r="E1443" s="43" t="s">
        <v>4873</v>
      </c>
      <c r="F1443" s="43" t="s">
        <v>4874</v>
      </c>
      <c r="G1443" s="43" t="s">
        <v>2698</v>
      </c>
      <c r="H1443" s="42" t="s">
        <v>4875</v>
      </c>
      <c r="I1443" s="18">
        <f t="shared" si="14"/>
        <v>45951</v>
      </c>
      <c r="J1443" s="19" t="s">
        <v>28</v>
      </c>
      <c r="K1443" s="19" t="s">
        <v>325</v>
      </c>
      <c r="L1443" s="40"/>
    </row>
    <row r="1444" ht="22.5" customHeight="1">
      <c r="C1444" s="19" t="s">
        <v>4838</v>
      </c>
      <c r="D1444" s="39" t="s">
        <v>2339</v>
      </c>
      <c r="E1444" s="43" t="s">
        <v>4876</v>
      </c>
      <c r="F1444" s="43" t="s">
        <v>4877</v>
      </c>
      <c r="G1444" s="43" t="s">
        <v>1010</v>
      </c>
      <c r="H1444" s="42" t="s">
        <v>4878</v>
      </c>
      <c r="I1444" s="18">
        <f t="shared" si="14"/>
        <v>45951</v>
      </c>
      <c r="J1444" s="19" t="s">
        <v>28</v>
      </c>
      <c r="K1444" s="19" t="s">
        <v>325</v>
      </c>
      <c r="L1444" s="4" t="s">
        <v>99</v>
      </c>
    </row>
    <row r="1445" ht="22.5" customHeight="1">
      <c r="C1445" s="19" t="s">
        <v>4838</v>
      </c>
      <c r="D1445" s="39" t="s">
        <v>2339</v>
      </c>
      <c r="E1445" s="43" t="s">
        <v>4879</v>
      </c>
      <c r="F1445" s="43" t="s">
        <v>4880</v>
      </c>
      <c r="G1445" s="43" t="s">
        <v>360</v>
      </c>
      <c r="H1445" s="42" t="s">
        <v>4881</v>
      </c>
      <c r="I1445" s="18">
        <f t="shared" si="14"/>
        <v>45951</v>
      </c>
      <c r="J1445" s="19" t="s">
        <v>28</v>
      </c>
      <c r="K1445" s="19" t="s">
        <v>325</v>
      </c>
      <c r="L1445" s="40"/>
    </row>
    <row r="1446" ht="22.5" customHeight="1">
      <c r="C1446" s="19" t="s">
        <v>4838</v>
      </c>
      <c r="D1446" s="39" t="s">
        <v>2339</v>
      </c>
      <c r="E1446" s="43" t="s">
        <v>4882</v>
      </c>
      <c r="F1446" s="43" t="s">
        <v>4883</v>
      </c>
      <c r="G1446" s="43" t="s">
        <v>57</v>
      </c>
      <c r="H1446" s="42" t="s">
        <v>4884</v>
      </c>
      <c r="I1446" s="18">
        <f t="shared" si="14"/>
        <v>45951</v>
      </c>
      <c r="J1446" s="19" t="s">
        <v>28</v>
      </c>
      <c r="K1446" s="19" t="s">
        <v>325</v>
      </c>
      <c r="L1446" s="40"/>
    </row>
    <row r="1447" ht="22.5" customHeight="1">
      <c r="C1447" s="19" t="s">
        <v>4838</v>
      </c>
      <c r="D1447" s="39" t="s">
        <v>2339</v>
      </c>
      <c r="E1447" s="43" t="s">
        <v>4885</v>
      </c>
      <c r="F1447" s="43" t="s">
        <v>4886</v>
      </c>
      <c r="G1447" s="43" t="s">
        <v>680</v>
      </c>
      <c r="H1447" s="42" t="s">
        <v>4887</v>
      </c>
      <c r="I1447" s="18">
        <f t="shared" si="14"/>
        <v>45951</v>
      </c>
      <c r="J1447" s="19" t="s">
        <v>28</v>
      </c>
      <c r="K1447" s="19" t="s">
        <v>325</v>
      </c>
      <c r="L1447" s="40"/>
    </row>
    <row r="1448" ht="22.5" customHeight="1">
      <c r="C1448" s="19" t="s">
        <v>4838</v>
      </c>
      <c r="D1448" s="39" t="s">
        <v>2339</v>
      </c>
      <c r="E1448" s="43" t="s">
        <v>4888</v>
      </c>
      <c r="F1448" s="43" t="s">
        <v>4889</v>
      </c>
      <c r="G1448" s="43" t="s">
        <v>57</v>
      </c>
      <c r="H1448" s="44">
        <v>3.0142114E9</v>
      </c>
      <c r="I1448" s="18">
        <f t="shared" si="14"/>
        <v>45951</v>
      </c>
      <c r="J1448" s="19" t="s">
        <v>28</v>
      </c>
      <c r="K1448" s="19" t="s">
        <v>325</v>
      </c>
      <c r="L1448" s="40"/>
    </row>
    <row r="1449" ht="22.5" customHeight="1">
      <c r="C1449" s="19" t="s">
        <v>4838</v>
      </c>
      <c r="D1449" s="39" t="s">
        <v>2339</v>
      </c>
      <c r="E1449" s="43" t="s">
        <v>4890</v>
      </c>
      <c r="F1449" s="43" t="s">
        <v>4891</v>
      </c>
      <c r="G1449" s="43" t="s">
        <v>1658</v>
      </c>
      <c r="H1449" s="42" t="s">
        <v>4892</v>
      </c>
      <c r="I1449" s="18">
        <f t="shared" si="14"/>
        <v>45951</v>
      </c>
      <c r="J1449" s="19" t="s">
        <v>28</v>
      </c>
      <c r="K1449" s="19" t="s">
        <v>325</v>
      </c>
      <c r="L1449" s="4" t="s">
        <v>148</v>
      </c>
    </row>
    <row r="1450" ht="22.5" customHeight="1">
      <c r="C1450" s="19" t="s">
        <v>4838</v>
      </c>
      <c r="D1450" s="39" t="s">
        <v>2339</v>
      </c>
      <c r="E1450" s="43" t="s">
        <v>4893</v>
      </c>
      <c r="F1450" s="43" t="s">
        <v>4894</v>
      </c>
      <c r="G1450" s="43" t="s">
        <v>4580</v>
      </c>
      <c r="H1450" s="42" t="s">
        <v>4895</v>
      </c>
      <c r="I1450" s="18">
        <f t="shared" si="14"/>
        <v>45951</v>
      </c>
      <c r="J1450" s="19" t="s">
        <v>28</v>
      </c>
      <c r="K1450" s="19" t="s">
        <v>325</v>
      </c>
      <c r="L1450" s="40"/>
    </row>
    <row r="1451" ht="22.5" customHeight="1">
      <c r="C1451" s="19" t="s">
        <v>4838</v>
      </c>
      <c r="D1451" s="39" t="s">
        <v>2339</v>
      </c>
      <c r="E1451" s="43" t="s">
        <v>4896</v>
      </c>
      <c r="F1451" s="43" t="s">
        <v>4897</v>
      </c>
      <c r="G1451" s="43" t="s">
        <v>3529</v>
      </c>
      <c r="H1451" s="44">
        <v>1.2029917822E10</v>
      </c>
      <c r="I1451" s="18">
        <f t="shared" si="14"/>
        <v>45951</v>
      </c>
      <c r="J1451" s="19" t="s">
        <v>28</v>
      </c>
      <c r="K1451" s="19" t="s">
        <v>325</v>
      </c>
      <c r="L1451" s="40"/>
    </row>
    <row r="1452" ht="22.5" customHeight="1">
      <c r="C1452" s="19" t="s">
        <v>4838</v>
      </c>
      <c r="D1452" s="39" t="s">
        <v>2339</v>
      </c>
      <c r="E1452" s="43" t="s">
        <v>4898</v>
      </c>
      <c r="F1452" s="43" t="s">
        <v>4899</v>
      </c>
      <c r="G1452" s="43" t="s">
        <v>77</v>
      </c>
      <c r="H1452" s="42" t="s">
        <v>1096</v>
      </c>
      <c r="I1452" s="18">
        <f t="shared" si="14"/>
        <v>45951</v>
      </c>
      <c r="J1452" s="19" t="s">
        <v>28</v>
      </c>
      <c r="K1452" s="19" t="s">
        <v>325</v>
      </c>
      <c r="L1452" s="40"/>
    </row>
    <row r="1453" ht="22.5" customHeight="1">
      <c r="C1453" s="19" t="s">
        <v>4838</v>
      </c>
      <c r="D1453" s="39" t="s">
        <v>2339</v>
      </c>
      <c r="E1453" s="43" t="s">
        <v>4900</v>
      </c>
      <c r="F1453" s="43" t="s">
        <v>4901</v>
      </c>
      <c r="G1453" s="43" t="s">
        <v>3681</v>
      </c>
      <c r="H1453" s="42" t="s">
        <v>4902</v>
      </c>
      <c r="I1453" s="18">
        <f t="shared" si="14"/>
        <v>45951</v>
      </c>
      <c r="J1453" s="19" t="s">
        <v>28</v>
      </c>
      <c r="K1453" s="19" t="s">
        <v>325</v>
      </c>
      <c r="L1453" s="40"/>
    </row>
    <row r="1454" ht="22.5" customHeight="1">
      <c r="C1454" s="19" t="s">
        <v>4838</v>
      </c>
      <c r="D1454" s="39" t="s">
        <v>2339</v>
      </c>
      <c r="E1454" s="43" t="s">
        <v>4903</v>
      </c>
      <c r="F1454" s="43" t="s">
        <v>4904</v>
      </c>
      <c r="G1454" s="43" t="s">
        <v>108</v>
      </c>
      <c r="H1454" s="42" t="s">
        <v>4905</v>
      </c>
      <c r="I1454" s="18">
        <f t="shared" si="14"/>
        <v>45951</v>
      </c>
      <c r="J1454" s="19" t="s">
        <v>28</v>
      </c>
      <c r="K1454" s="19" t="s">
        <v>325</v>
      </c>
      <c r="L1454" s="40"/>
    </row>
    <row r="1455" ht="22.5" customHeight="1">
      <c r="C1455" s="19" t="s">
        <v>4838</v>
      </c>
      <c r="D1455" s="39" t="s">
        <v>2339</v>
      </c>
      <c r="E1455" s="43" t="s">
        <v>4906</v>
      </c>
      <c r="F1455" s="43" t="s">
        <v>4907</v>
      </c>
      <c r="G1455" s="43" t="s">
        <v>170</v>
      </c>
      <c r="H1455" s="44">
        <v>4.435290505E9</v>
      </c>
      <c r="I1455" s="18">
        <f t="shared" si="14"/>
        <v>45951</v>
      </c>
      <c r="J1455" s="19" t="s">
        <v>28</v>
      </c>
      <c r="K1455" s="19" t="s">
        <v>325</v>
      </c>
      <c r="L1455" s="40"/>
    </row>
    <row r="1456" ht="22.5" customHeight="1">
      <c r="C1456" s="19" t="s">
        <v>4838</v>
      </c>
      <c r="D1456" s="39" t="s">
        <v>2339</v>
      </c>
      <c r="E1456" s="43" t="s">
        <v>4908</v>
      </c>
      <c r="F1456" s="43" t="s">
        <v>4909</v>
      </c>
      <c r="G1456" s="43" t="s">
        <v>4314</v>
      </c>
      <c r="H1456" s="44">
        <v>7.037313804E9</v>
      </c>
      <c r="I1456" s="18">
        <f t="shared" si="14"/>
        <v>45951</v>
      </c>
      <c r="J1456" s="19" t="s">
        <v>28</v>
      </c>
      <c r="K1456" s="19" t="s">
        <v>325</v>
      </c>
      <c r="L1456" s="40"/>
    </row>
    <row r="1457" ht="22.5" customHeight="1">
      <c r="C1457" s="19" t="s">
        <v>4838</v>
      </c>
      <c r="D1457" s="39" t="s">
        <v>2339</v>
      </c>
      <c r="E1457" s="43" t="s">
        <v>4910</v>
      </c>
      <c r="F1457" s="43" t="s">
        <v>4911</v>
      </c>
      <c r="G1457" s="43" t="s">
        <v>717</v>
      </c>
      <c r="H1457" s="44">
        <v>7.876771341E9</v>
      </c>
      <c r="I1457" s="18">
        <f t="shared" si="14"/>
        <v>45951</v>
      </c>
      <c r="J1457" s="19" t="s">
        <v>28</v>
      </c>
      <c r="K1457" s="19" t="s">
        <v>325</v>
      </c>
      <c r="L1457" s="40"/>
    </row>
    <row r="1458" ht="22.5" customHeight="1">
      <c r="C1458" s="19" t="s">
        <v>4838</v>
      </c>
      <c r="D1458" s="39" t="s">
        <v>2339</v>
      </c>
      <c r="E1458" s="43" t="s">
        <v>4912</v>
      </c>
      <c r="F1458" s="43" t="s">
        <v>4913</v>
      </c>
      <c r="G1458" s="43" t="s">
        <v>346</v>
      </c>
      <c r="H1458" s="44">
        <v>3.019086906E9</v>
      </c>
      <c r="I1458" s="18">
        <f t="shared" si="14"/>
        <v>45951</v>
      </c>
      <c r="J1458" s="19" t="s">
        <v>28</v>
      </c>
      <c r="K1458" s="19" t="s">
        <v>325</v>
      </c>
      <c r="L1458" s="40"/>
    </row>
    <row r="1459" ht="22.5" customHeight="1">
      <c r="C1459" s="19" t="s">
        <v>4838</v>
      </c>
      <c r="D1459" s="39" t="s">
        <v>2339</v>
      </c>
      <c r="E1459" s="43" t="s">
        <v>4914</v>
      </c>
      <c r="F1459" s="43" t="s">
        <v>4915</v>
      </c>
      <c r="G1459" s="43" t="s">
        <v>3751</v>
      </c>
      <c r="H1459" s="42" t="s">
        <v>4916</v>
      </c>
      <c r="I1459" s="18">
        <f t="shared" si="14"/>
        <v>45951</v>
      </c>
      <c r="J1459" s="19" t="s">
        <v>28</v>
      </c>
      <c r="K1459" s="19" t="s">
        <v>325</v>
      </c>
      <c r="L1459" s="40"/>
    </row>
    <row r="1460" ht="22.5" customHeight="1">
      <c r="C1460" s="19" t="s">
        <v>4838</v>
      </c>
      <c r="D1460" s="39" t="s">
        <v>2339</v>
      </c>
      <c r="E1460" s="43" t="s">
        <v>4917</v>
      </c>
      <c r="F1460" s="43" t="s">
        <v>4918</v>
      </c>
      <c r="G1460" s="43" t="s">
        <v>622</v>
      </c>
      <c r="H1460" s="42" t="s">
        <v>4919</v>
      </c>
      <c r="I1460" s="18">
        <f t="shared" si="14"/>
        <v>45951</v>
      </c>
      <c r="J1460" s="19" t="s">
        <v>28</v>
      </c>
      <c r="K1460" s="19" t="s">
        <v>325</v>
      </c>
      <c r="L1460" s="40"/>
    </row>
    <row r="1461" ht="22.5" customHeight="1">
      <c r="C1461" s="19" t="s">
        <v>4838</v>
      </c>
      <c r="D1461" s="39" t="s">
        <v>2339</v>
      </c>
      <c r="E1461" s="43" t="s">
        <v>4920</v>
      </c>
      <c r="F1461" s="43" t="s">
        <v>4921</v>
      </c>
      <c r="G1461" s="43" t="s">
        <v>1043</v>
      </c>
      <c r="H1461" s="44">
        <v>3.01515003E9</v>
      </c>
      <c r="I1461" s="18">
        <f t="shared" si="14"/>
        <v>45951</v>
      </c>
      <c r="J1461" s="19" t="s">
        <v>28</v>
      </c>
      <c r="K1461" s="19" t="s">
        <v>325</v>
      </c>
      <c r="L1461" s="40"/>
    </row>
    <row r="1462" ht="22.5" customHeight="1">
      <c r="C1462" s="19" t="s">
        <v>4838</v>
      </c>
      <c r="D1462" s="39" t="s">
        <v>2339</v>
      </c>
      <c r="E1462" s="43" t="s">
        <v>4922</v>
      </c>
      <c r="F1462" s="43" t="s">
        <v>4923</v>
      </c>
      <c r="G1462" s="43" t="s">
        <v>67</v>
      </c>
      <c r="H1462" s="42" t="s">
        <v>4924</v>
      </c>
      <c r="I1462" s="18">
        <f t="shared" si="14"/>
        <v>45951</v>
      </c>
      <c r="J1462" s="19" t="s">
        <v>28</v>
      </c>
      <c r="K1462" s="19" t="s">
        <v>325</v>
      </c>
      <c r="L1462" s="40"/>
    </row>
    <row r="1463" ht="22.5" customHeight="1">
      <c r="C1463" s="19" t="s">
        <v>4838</v>
      </c>
      <c r="D1463" s="39" t="s">
        <v>2339</v>
      </c>
      <c r="E1463" s="43" t="s">
        <v>4925</v>
      </c>
      <c r="F1463" s="43" t="s">
        <v>4702</v>
      </c>
      <c r="G1463" s="43" t="s">
        <v>4703</v>
      </c>
      <c r="H1463" s="42" t="s">
        <v>4926</v>
      </c>
      <c r="I1463" s="18">
        <f t="shared" si="14"/>
        <v>45951</v>
      </c>
      <c r="J1463" s="19" t="s">
        <v>28</v>
      </c>
      <c r="K1463" s="19" t="s">
        <v>325</v>
      </c>
      <c r="L1463" s="40"/>
    </row>
    <row r="1464" ht="22.5" customHeight="1">
      <c r="C1464" s="19" t="s">
        <v>4838</v>
      </c>
      <c r="D1464" s="39" t="s">
        <v>2339</v>
      </c>
      <c r="E1464" s="43" t="s">
        <v>4927</v>
      </c>
      <c r="F1464" s="43" t="s">
        <v>4928</v>
      </c>
      <c r="G1464" s="43" t="s">
        <v>2367</v>
      </c>
      <c r="H1464" s="44">
        <v>3.016587499E9</v>
      </c>
      <c r="I1464" s="18">
        <f t="shared" si="14"/>
        <v>45951</v>
      </c>
      <c r="J1464" s="19" t="s">
        <v>28</v>
      </c>
      <c r="K1464" s="19" t="s">
        <v>325</v>
      </c>
      <c r="L1464" s="40"/>
    </row>
    <row r="1465" ht="22.5" customHeight="1">
      <c r="C1465" s="19" t="s">
        <v>4838</v>
      </c>
      <c r="D1465" s="39" t="s">
        <v>2339</v>
      </c>
      <c r="E1465" s="43" t="s">
        <v>4929</v>
      </c>
      <c r="F1465" s="43" t="s">
        <v>4930</v>
      </c>
      <c r="G1465" s="43" t="s">
        <v>142</v>
      </c>
      <c r="H1465" s="42" t="s">
        <v>4931</v>
      </c>
      <c r="I1465" s="18">
        <f t="shared" si="14"/>
        <v>45951</v>
      </c>
      <c r="J1465" s="19" t="s">
        <v>28</v>
      </c>
      <c r="K1465" s="19" t="s">
        <v>325</v>
      </c>
      <c r="L1465" s="40"/>
    </row>
    <row r="1466" ht="22.5" customHeight="1">
      <c r="C1466" s="19" t="s">
        <v>4838</v>
      </c>
      <c r="D1466" s="39" t="s">
        <v>2339</v>
      </c>
      <c r="E1466" s="43" t="s">
        <v>4932</v>
      </c>
      <c r="F1466" s="43" t="s">
        <v>4933</v>
      </c>
      <c r="G1466" s="43" t="s">
        <v>4934</v>
      </c>
      <c r="H1466" s="44">
        <v>3.013706469E9</v>
      </c>
      <c r="I1466" s="18">
        <f t="shared" si="14"/>
        <v>45951</v>
      </c>
      <c r="J1466" s="19" t="s">
        <v>28</v>
      </c>
      <c r="K1466" s="19" t="s">
        <v>325</v>
      </c>
      <c r="L1466" s="40"/>
    </row>
    <row r="1467" ht="22.5" customHeight="1">
      <c r="C1467" s="19" t="s">
        <v>4838</v>
      </c>
      <c r="D1467" s="39" t="s">
        <v>2339</v>
      </c>
      <c r="E1467" s="43" t="s">
        <v>4935</v>
      </c>
      <c r="F1467" s="43" t="s">
        <v>4936</v>
      </c>
      <c r="G1467" s="43" t="s">
        <v>3129</v>
      </c>
      <c r="H1467" s="44">
        <v>2.407535792E9</v>
      </c>
      <c r="I1467" s="18">
        <f t="shared" si="14"/>
        <v>45951</v>
      </c>
      <c r="J1467" s="19" t="s">
        <v>28</v>
      </c>
      <c r="K1467" s="19" t="s">
        <v>325</v>
      </c>
      <c r="L1467" s="40"/>
    </row>
    <row r="1468" ht="22.5" customHeight="1">
      <c r="C1468" s="19" t="s">
        <v>4838</v>
      </c>
      <c r="D1468" s="39" t="s">
        <v>2339</v>
      </c>
      <c r="E1468" s="43" t="s">
        <v>4937</v>
      </c>
      <c r="F1468" s="43" t="s">
        <v>4938</v>
      </c>
      <c r="G1468" s="43" t="s">
        <v>217</v>
      </c>
      <c r="H1468" s="44">
        <v>3.01231505E9</v>
      </c>
      <c r="I1468" s="18">
        <f t="shared" si="14"/>
        <v>45951</v>
      </c>
      <c r="J1468" s="19" t="s">
        <v>28</v>
      </c>
      <c r="K1468" s="19" t="s">
        <v>325</v>
      </c>
      <c r="L1468" s="40"/>
    </row>
    <row r="1469" ht="22.5" customHeight="1">
      <c r="C1469" s="19" t="s">
        <v>4838</v>
      </c>
      <c r="D1469" s="39" t="s">
        <v>2339</v>
      </c>
      <c r="E1469" s="43" t="s">
        <v>4939</v>
      </c>
      <c r="F1469" s="43" t="s">
        <v>4940</v>
      </c>
      <c r="G1469" s="43" t="s">
        <v>1199</v>
      </c>
      <c r="H1469" s="42" t="s">
        <v>4941</v>
      </c>
      <c r="I1469" s="18">
        <f t="shared" si="14"/>
        <v>45951</v>
      </c>
      <c r="J1469" s="19" t="s">
        <v>28</v>
      </c>
      <c r="K1469" s="19" t="s">
        <v>325</v>
      </c>
      <c r="L1469" s="40"/>
    </row>
    <row r="1470" ht="22.5" customHeight="1">
      <c r="C1470" s="19" t="s">
        <v>4838</v>
      </c>
      <c r="D1470" s="39" t="s">
        <v>2339</v>
      </c>
      <c r="E1470" s="43" t="s">
        <v>4942</v>
      </c>
      <c r="F1470" s="43" t="s">
        <v>4943</v>
      </c>
      <c r="G1470" s="43" t="s">
        <v>97</v>
      </c>
      <c r="H1470" s="42" t="s">
        <v>4944</v>
      </c>
      <c r="I1470" s="18">
        <f t="shared" si="14"/>
        <v>45951</v>
      </c>
      <c r="J1470" s="19" t="s">
        <v>28</v>
      </c>
      <c r="K1470" s="19" t="s">
        <v>325</v>
      </c>
      <c r="L1470" s="40"/>
    </row>
    <row r="1471" ht="22.5" customHeight="1">
      <c r="C1471" s="19" t="s">
        <v>4838</v>
      </c>
      <c r="D1471" s="39" t="s">
        <v>2339</v>
      </c>
      <c r="E1471" s="43" t="s">
        <v>4945</v>
      </c>
      <c r="F1471" s="43" t="s">
        <v>4946</v>
      </c>
      <c r="G1471" s="43" t="s">
        <v>4947</v>
      </c>
      <c r="H1471" s="42" t="s">
        <v>4948</v>
      </c>
      <c r="I1471" s="18">
        <f t="shared" si="14"/>
        <v>45951</v>
      </c>
      <c r="J1471" s="19" t="s">
        <v>28</v>
      </c>
      <c r="K1471" s="19" t="s">
        <v>325</v>
      </c>
      <c r="L1471" s="40"/>
    </row>
    <row r="1472" ht="22.5" customHeight="1">
      <c r="C1472" s="19" t="s">
        <v>4838</v>
      </c>
      <c r="D1472" s="39" t="s">
        <v>2339</v>
      </c>
      <c r="E1472" s="43" t="s">
        <v>4949</v>
      </c>
      <c r="F1472" s="43" t="s">
        <v>4950</v>
      </c>
      <c r="G1472" s="43" t="s">
        <v>4951</v>
      </c>
      <c r="H1472" s="42" t="s">
        <v>4952</v>
      </c>
      <c r="I1472" s="18">
        <f t="shared" si="14"/>
        <v>45951</v>
      </c>
      <c r="J1472" s="19" t="s">
        <v>28</v>
      </c>
      <c r="K1472" s="19" t="s">
        <v>325</v>
      </c>
      <c r="L1472" s="40"/>
    </row>
    <row r="1473" ht="22.5" customHeight="1">
      <c r="C1473" s="19" t="s">
        <v>4838</v>
      </c>
      <c r="D1473" s="39" t="s">
        <v>2339</v>
      </c>
      <c r="E1473" s="43" t="s">
        <v>4953</v>
      </c>
      <c r="F1473" s="43" t="s">
        <v>4954</v>
      </c>
      <c r="G1473" s="43" t="s">
        <v>1230</v>
      </c>
      <c r="H1473" s="44">
        <v>4.103407124E9</v>
      </c>
      <c r="I1473" s="18">
        <f t="shared" si="14"/>
        <v>45951</v>
      </c>
      <c r="J1473" s="19" t="s">
        <v>28</v>
      </c>
      <c r="K1473" s="19" t="s">
        <v>325</v>
      </c>
      <c r="L1473" s="4" t="s">
        <v>148</v>
      </c>
    </row>
    <row r="1474" ht="22.5" customHeight="1">
      <c r="C1474" s="19" t="s">
        <v>4838</v>
      </c>
      <c r="D1474" s="39" t="s">
        <v>2339</v>
      </c>
      <c r="E1474" s="43" t="s">
        <v>4955</v>
      </c>
      <c r="F1474" s="43" t="s">
        <v>4956</v>
      </c>
      <c r="G1474" s="43" t="s">
        <v>915</v>
      </c>
      <c r="H1474" s="42" t="s">
        <v>4957</v>
      </c>
      <c r="I1474" s="18">
        <f t="shared" si="14"/>
        <v>45951</v>
      </c>
      <c r="J1474" s="19" t="s">
        <v>28</v>
      </c>
      <c r="K1474" s="19" t="s">
        <v>325</v>
      </c>
      <c r="L1474" s="40"/>
    </row>
    <row r="1475" ht="22.5" customHeight="1">
      <c r="C1475" s="19" t="s">
        <v>4838</v>
      </c>
      <c r="D1475" s="39" t="s">
        <v>2339</v>
      </c>
      <c r="E1475" s="43" t="s">
        <v>4958</v>
      </c>
      <c r="F1475" s="43" t="s">
        <v>4959</v>
      </c>
      <c r="G1475" s="43" t="s">
        <v>2596</v>
      </c>
      <c r="H1475" s="42" t="s">
        <v>4960</v>
      </c>
      <c r="I1475" s="18">
        <f t="shared" si="14"/>
        <v>45951</v>
      </c>
      <c r="J1475" s="19" t="s">
        <v>28</v>
      </c>
      <c r="K1475" s="19" t="s">
        <v>325</v>
      </c>
      <c r="L1475" s="40"/>
    </row>
    <row r="1476" ht="22.5" customHeight="1">
      <c r="C1476" s="19" t="s">
        <v>4838</v>
      </c>
      <c r="D1476" s="39" t="s">
        <v>2339</v>
      </c>
      <c r="E1476" s="43" t="s">
        <v>4961</v>
      </c>
      <c r="F1476" s="43" t="s">
        <v>4961</v>
      </c>
      <c r="G1476" s="43" t="s">
        <v>1230</v>
      </c>
      <c r="H1476" s="44">
        <v>3.014015967E9</v>
      </c>
      <c r="I1476" s="18">
        <f t="shared" si="14"/>
        <v>45951</v>
      </c>
      <c r="J1476" s="19" t="s">
        <v>28</v>
      </c>
      <c r="K1476" s="19" t="s">
        <v>325</v>
      </c>
      <c r="L1476" s="40"/>
    </row>
    <row r="1477" ht="22.5" customHeight="1">
      <c r="C1477" s="19" t="s">
        <v>4838</v>
      </c>
      <c r="D1477" s="39" t="s">
        <v>2339</v>
      </c>
      <c r="E1477" s="43" t="s">
        <v>4962</v>
      </c>
      <c r="F1477" s="43" t="s">
        <v>4963</v>
      </c>
      <c r="G1477" s="43" t="s">
        <v>301</v>
      </c>
      <c r="H1477" s="42" t="s">
        <v>4964</v>
      </c>
      <c r="I1477" s="18">
        <f t="shared" si="14"/>
        <v>45951</v>
      </c>
      <c r="J1477" s="19" t="s">
        <v>28</v>
      </c>
      <c r="K1477" s="19" t="s">
        <v>325</v>
      </c>
      <c r="L1477" s="40"/>
    </row>
    <row r="1478" ht="22.5" customHeight="1">
      <c r="C1478" s="19" t="s">
        <v>4838</v>
      </c>
      <c r="D1478" s="39" t="s">
        <v>2339</v>
      </c>
      <c r="E1478" s="43" t="s">
        <v>4965</v>
      </c>
      <c r="F1478" s="43" t="s">
        <v>4966</v>
      </c>
      <c r="G1478" s="43" t="s">
        <v>2056</v>
      </c>
      <c r="H1478" s="44">
        <v>3.013430188E9</v>
      </c>
      <c r="I1478" s="18">
        <f t="shared" si="14"/>
        <v>45951</v>
      </c>
      <c r="J1478" s="19" t="s">
        <v>28</v>
      </c>
      <c r="K1478" s="19" t="s">
        <v>325</v>
      </c>
      <c r="L1478" s="4" t="s">
        <v>148</v>
      </c>
    </row>
    <row r="1479" ht="22.5" customHeight="1">
      <c r="C1479" s="19" t="s">
        <v>4838</v>
      </c>
      <c r="D1479" s="39" t="s">
        <v>2339</v>
      </c>
      <c r="E1479" s="43" t="s">
        <v>4967</v>
      </c>
      <c r="F1479" s="43" t="s">
        <v>830</v>
      </c>
      <c r="G1479" s="43" t="s">
        <v>82</v>
      </c>
      <c r="H1479" s="42" t="s">
        <v>4968</v>
      </c>
      <c r="I1479" s="18">
        <f t="shared" si="14"/>
        <v>45951</v>
      </c>
      <c r="J1479" s="19" t="s">
        <v>28</v>
      </c>
      <c r="K1479" s="19" t="s">
        <v>325</v>
      </c>
      <c r="L1479" s="40"/>
    </row>
    <row r="1480" ht="22.5" customHeight="1">
      <c r="C1480" s="19" t="s">
        <v>4838</v>
      </c>
      <c r="D1480" s="39" t="s">
        <v>2339</v>
      </c>
      <c r="E1480" s="43" t="s">
        <v>4969</v>
      </c>
      <c r="F1480" s="43" t="s">
        <v>4970</v>
      </c>
      <c r="G1480" s="43" t="s">
        <v>217</v>
      </c>
      <c r="H1480" s="44">
        <v>4.434300204E9</v>
      </c>
      <c r="I1480" s="18">
        <f t="shared" si="14"/>
        <v>45951</v>
      </c>
      <c r="J1480" s="19" t="s">
        <v>28</v>
      </c>
      <c r="K1480" s="19" t="s">
        <v>325</v>
      </c>
      <c r="L1480" s="40"/>
    </row>
    <row r="1481" ht="22.5" customHeight="1">
      <c r="C1481" s="19" t="s">
        <v>4838</v>
      </c>
      <c r="D1481" s="39" t="s">
        <v>2339</v>
      </c>
      <c r="E1481" s="43" t="s">
        <v>4971</v>
      </c>
      <c r="F1481" s="43" t="s">
        <v>4972</v>
      </c>
      <c r="G1481" s="43" t="s">
        <v>982</v>
      </c>
      <c r="H1481" s="42" t="s">
        <v>4973</v>
      </c>
      <c r="I1481" s="18">
        <f t="shared" si="14"/>
        <v>45951</v>
      </c>
      <c r="J1481" s="19" t="s">
        <v>28</v>
      </c>
      <c r="K1481" s="19" t="s">
        <v>325</v>
      </c>
      <c r="L1481" s="40"/>
    </row>
    <row r="1482" ht="22.5" customHeight="1">
      <c r="C1482" s="19" t="s">
        <v>4838</v>
      </c>
      <c r="D1482" s="39" t="s">
        <v>2339</v>
      </c>
      <c r="E1482" s="43" t="s">
        <v>4974</v>
      </c>
      <c r="F1482" s="43" t="s">
        <v>4975</v>
      </c>
      <c r="G1482" s="43" t="s">
        <v>4976</v>
      </c>
      <c r="H1482" s="42" t="s">
        <v>4977</v>
      </c>
      <c r="I1482" s="18">
        <f t="shared" si="14"/>
        <v>45951</v>
      </c>
      <c r="J1482" s="19" t="s">
        <v>28</v>
      </c>
      <c r="K1482" s="19" t="s">
        <v>325</v>
      </c>
      <c r="L1482" s="40"/>
    </row>
    <row r="1483" ht="22.5" customHeight="1">
      <c r="C1483" s="19" t="s">
        <v>4838</v>
      </c>
      <c r="D1483" s="39" t="s">
        <v>2339</v>
      </c>
      <c r="E1483" s="43" t="s">
        <v>4978</v>
      </c>
      <c r="F1483" s="43" t="s">
        <v>4979</v>
      </c>
      <c r="G1483" s="43" t="s">
        <v>1795</v>
      </c>
      <c r="H1483" s="42" t="s">
        <v>4980</v>
      </c>
      <c r="I1483" s="18">
        <f t="shared" si="14"/>
        <v>45951</v>
      </c>
      <c r="J1483" s="19" t="s">
        <v>28</v>
      </c>
      <c r="K1483" s="19" t="s">
        <v>325</v>
      </c>
      <c r="L1483" s="4" t="s">
        <v>148</v>
      </c>
    </row>
    <row r="1484" ht="22.5" customHeight="1">
      <c r="C1484" s="19" t="s">
        <v>4838</v>
      </c>
      <c r="D1484" s="39" t="s">
        <v>2339</v>
      </c>
      <c r="E1484" s="43" t="s">
        <v>4981</v>
      </c>
      <c r="F1484" s="43" t="s">
        <v>4982</v>
      </c>
      <c r="G1484" s="43" t="s">
        <v>1832</v>
      </c>
      <c r="H1484" s="42" t="s">
        <v>4983</v>
      </c>
      <c r="I1484" s="18">
        <f t="shared" si="14"/>
        <v>45951</v>
      </c>
      <c r="J1484" s="19" t="s">
        <v>28</v>
      </c>
      <c r="K1484" s="19" t="s">
        <v>325</v>
      </c>
      <c r="L1484" s="40"/>
    </row>
    <row r="1485" ht="22.5" customHeight="1">
      <c r="C1485" s="19" t="s">
        <v>4838</v>
      </c>
      <c r="D1485" s="39" t="s">
        <v>2339</v>
      </c>
      <c r="E1485" s="43" t="s">
        <v>4984</v>
      </c>
      <c r="F1485" s="43" t="s">
        <v>4985</v>
      </c>
      <c r="G1485" s="43" t="s">
        <v>4670</v>
      </c>
      <c r="H1485" s="44">
        <v>2.026317227E9</v>
      </c>
      <c r="I1485" s="18">
        <f t="shared" si="14"/>
        <v>45951</v>
      </c>
      <c r="J1485" s="19" t="s">
        <v>28</v>
      </c>
      <c r="K1485" s="19" t="s">
        <v>325</v>
      </c>
      <c r="L1485" s="40"/>
    </row>
    <row r="1486" ht="22.5" customHeight="1">
      <c r="C1486" s="19" t="s">
        <v>4838</v>
      </c>
      <c r="D1486" s="39" t="s">
        <v>2339</v>
      </c>
      <c r="E1486" s="43" t="s">
        <v>4986</v>
      </c>
      <c r="F1486" s="43" t="s">
        <v>4987</v>
      </c>
      <c r="G1486" s="43" t="s">
        <v>4636</v>
      </c>
      <c r="H1486" s="42" t="s">
        <v>4988</v>
      </c>
      <c r="I1486" s="18">
        <f t="shared" si="14"/>
        <v>45951</v>
      </c>
      <c r="J1486" s="19" t="s">
        <v>28</v>
      </c>
      <c r="K1486" s="19" t="s">
        <v>325</v>
      </c>
      <c r="L1486" s="40"/>
    </row>
    <row r="1487" ht="22.5" customHeight="1">
      <c r="C1487" s="19" t="s">
        <v>4838</v>
      </c>
      <c r="D1487" s="39" t="s">
        <v>2339</v>
      </c>
      <c r="E1487" s="43" t="s">
        <v>4989</v>
      </c>
      <c r="F1487" s="43" t="s">
        <v>4990</v>
      </c>
      <c r="G1487" s="43" t="s">
        <v>4597</v>
      </c>
      <c r="H1487" s="42" t="s">
        <v>4991</v>
      </c>
      <c r="I1487" s="18">
        <f t="shared" si="14"/>
        <v>45951</v>
      </c>
      <c r="J1487" s="19" t="s">
        <v>28</v>
      </c>
      <c r="K1487" s="19" t="s">
        <v>325</v>
      </c>
      <c r="L1487" s="40"/>
    </row>
    <row r="1488" ht="22.5" customHeight="1">
      <c r="C1488" s="19" t="s">
        <v>4838</v>
      </c>
      <c r="D1488" s="39" t="s">
        <v>2339</v>
      </c>
      <c r="E1488" s="43" t="s">
        <v>4992</v>
      </c>
      <c r="F1488" s="43" t="s">
        <v>4993</v>
      </c>
      <c r="G1488" s="43" t="s">
        <v>126</v>
      </c>
      <c r="H1488" s="44">
        <v>3.016532323E9</v>
      </c>
      <c r="I1488" s="18">
        <f t="shared" si="14"/>
        <v>45951</v>
      </c>
      <c r="J1488" s="19" t="s">
        <v>28</v>
      </c>
      <c r="K1488" s="19" t="s">
        <v>325</v>
      </c>
      <c r="L1488" s="40"/>
    </row>
    <row r="1489" ht="22.5" customHeight="1">
      <c r="C1489" s="19" t="s">
        <v>4838</v>
      </c>
      <c r="D1489" s="39" t="s">
        <v>2339</v>
      </c>
      <c r="E1489" s="43" t="s">
        <v>4994</v>
      </c>
      <c r="F1489" s="43" t="s">
        <v>4995</v>
      </c>
      <c r="G1489" s="43" t="s">
        <v>42</v>
      </c>
      <c r="H1489" s="42" t="s">
        <v>4996</v>
      </c>
      <c r="I1489" s="18">
        <f t="shared" si="14"/>
        <v>45951</v>
      </c>
      <c r="J1489" s="19" t="s">
        <v>28</v>
      </c>
      <c r="K1489" s="19" t="s">
        <v>325</v>
      </c>
      <c r="L1489" s="40"/>
    </row>
    <row r="1490" ht="22.5" customHeight="1">
      <c r="C1490" s="19" t="s">
        <v>4838</v>
      </c>
      <c r="D1490" s="39" t="s">
        <v>2339</v>
      </c>
      <c r="E1490" s="43" t="s">
        <v>4997</v>
      </c>
      <c r="F1490" s="43" t="s">
        <v>4998</v>
      </c>
      <c r="G1490" s="43" t="s">
        <v>524</v>
      </c>
      <c r="H1490" s="42" t="s">
        <v>4999</v>
      </c>
      <c r="I1490" s="18">
        <f t="shared" si="14"/>
        <v>45951</v>
      </c>
      <c r="J1490" s="19" t="s">
        <v>28</v>
      </c>
      <c r="K1490" s="19" t="s">
        <v>325</v>
      </c>
      <c r="L1490" s="40"/>
    </row>
    <row r="1491" ht="22.5" customHeight="1">
      <c r="C1491" s="19" t="s">
        <v>4838</v>
      </c>
      <c r="D1491" s="39" t="s">
        <v>2339</v>
      </c>
      <c r="E1491" s="43" t="s">
        <v>5000</v>
      </c>
      <c r="F1491" s="28" t="s">
        <v>182</v>
      </c>
      <c r="G1491" s="43" t="s">
        <v>3988</v>
      </c>
      <c r="H1491" s="44">
        <v>4.019193833E9</v>
      </c>
      <c r="I1491" s="18">
        <f t="shared" si="14"/>
        <v>45951</v>
      </c>
      <c r="J1491" s="19" t="s">
        <v>28</v>
      </c>
      <c r="K1491" s="19" t="s">
        <v>325</v>
      </c>
      <c r="L1491" s="40"/>
    </row>
    <row r="1492" ht="22.5" customHeight="1">
      <c r="C1492" s="19" t="s">
        <v>4838</v>
      </c>
      <c r="D1492" s="39" t="s">
        <v>2339</v>
      </c>
      <c r="E1492" s="43" t="s">
        <v>5001</v>
      </c>
      <c r="F1492" s="43" t="s">
        <v>5002</v>
      </c>
      <c r="G1492" s="43" t="s">
        <v>131</v>
      </c>
      <c r="H1492" s="42" t="s">
        <v>5003</v>
      </c>
      <c r="I1492" s="18">
        <f t="shared" si="14"/>
        <v>45951</v>
      </c>
      <c r="J1492" s="19" t="s">
        <v>28</v>
      </c>
      <c r="K1492" s="19" t="s">
        <v>325</v>
      </c>
      <c r="L1492" s="40"/>
    </row>
    <row r="1493" ht="22.5" customHeight="1">
      <c r="C1493" s="19" t="s">
        <v>4838</v>
      </c>
      <c r="D1493" s="39" t="s">
        <v>2339</v>
      </c>
      <c r="E1493" s="43" t="s">
        <v>5004</v>
      </c>
      <c r="F1493" s="43" t="s">
        <v>5005</v>
      </c>
      <c r="G1493" s="43" t="s">
        <v>577</v>
      </c>
      <c r="H1493" s="42" t="s">
        <v>5006</v>
      </c>
      <c r="I1493" s="18">
        <f t="shared" si="14"/>
        <v>45951</v>
      </c>
      <c r="J1493" s="19" t="s">
        <v>28</v>
      </c>
      <c r="K1493" s="19" t="s">
        <v>325</v>
      </c>
      <c r="L1493" s="40"/>
    </row>
    <row r="1494" ht="22.5" customHeight="1">
      <c r="C1494" s="19" t="s">
        <v>4838</v>
      </c>
      <c r="D1494" s="39" t="s">
        <v>2339</v>
      </c>
      <c r="E1494" s="43" t="s">
        <v>5007</v>
      </c>
      <c r="F1494" s="43" t="s">
        <v>5008</v>
      </c>
      <c r="G1494" s="43" t="s">
        <v>2296</v>
      </c>
      <c r="H1494" s="42" t="s">
        <v>5009</v>
      </c>
      <c r="I1494" s="18">
        <f t="shared" si="14"/>
        <v>45951</v>
      </c>
      <c r="J1494" s="19" t="s">
        <v>28</v>
      </c>
      <c r="K1494" s="19" t="s">
        <v>325</v>
      </c>
      <c r="L1494" s="40"/>
    </row>
    <row r="1495" ht="22.5" customHeight="1">
      <c r="C1495" s="19" t="s">
        <v>4838</v>
      </c>
      <c r="D1495" s="39" t="s">
        <v>2339</v>
      </c>
      <c r="E1495" s="43" t="s">
        <v>5010</v>
      </c>
      <c r="F1495" s="43" t="s">
        <v>5011</v>
      </c>
      <c r="G1495" s="43" t="s">
        <v>727</v>
      </c>
      <c r="H1495" s="44">
        <v>3.012725116E9</v>
      </c>
      <c r="I1495" s="18">
        <f t="shared" si="14"/>
        <v>45951</v>
      </c>
      <c r="J1495" s="19" t="s">
        <v>28</v>
      </c>
      <c r="K1495" s="19" t="s">
        <v>325</v>
      </c>
      <c r="L1495" s="40"/>
    </row>
    <row r="1496" ht="22.5" customHeight="1">
      <c r="C1496" s="19" t="s">
        <v>4838</v>
      </c>
      <c r="D1496" s="39" t="s">
        <v>2339</v>
      </c>
      <c r="E1496" s="43" t="s">
        <v>5012</v>
      </c>
      <c r="F1496" s="43" t="s">
        <v>5013</v>
      </c>
      <c r="G1496" s="43" t="s">
        <v>224</v>
      </c>
      <c r="H1496" s="44">
        <v>4.43252667E9</v>
      </c>
      <c r="I1496" s="18">
        <f t="shared" si="14"/>
        <v>45951</v>
      </c>
      <c r="J1496" s="19" t="s">
        <v>28</v>
      </c>
      <c r="K1496" s="19" t="s">
        <v>325</v>
      </c>
      <c r="L1496" s="40"/>
    </row>
    <row r="1497" ht="22.5" customHeight="1">
      <c r="C1497" s="19" t="s">
        <v>4838</v>
      </c>
      <c r="D1497" s="39" t="s">
        <v>2339</v>
      </c>
      <c r="E1497" s="43" t="s">
        <v>5014</v>
      </c>
      <c r="F1497" s="43" t="s">
        <v>5014</v>
      </c>
      <c r="G1497" s="43" t="s">
        <v>5015</v>
      </c>
      <c r="H1497" s="42" t="s">
        <v>5016</v>
      </c>
      <c r="I1497" s="18">
        <f t="shared" si="14"/>
        <v>45951</v>
      </c>
      <c r="J1497" s="19" t="s">
        <v>28</v>
      </c>
      <c r="K1497" s="19" t="s">
        <v>325</v>
      </c>
      <c r="L1497" s="40"/>
    </row>
    <row r="1498" ht="22.5" customHeight="1">
      <c r="C1498" s="19" t="s">
        <v>182</v>
      </c>
      <c r="D1498" s="39" t="s">
        <v>182</v>
      </c>
      <c r="E1498" s="39" t="s">
        <v>5017</v>
      </c>
      <c r="F1498" s="45" t="s">
        <v>182</v>
      </c>
      <c r="G1498" s="45" t="s">
        <v>182</v>
      </c>
      <c r="H1498" s="46" t="s">
        <v>182</v>
      </c>
      <c r="I1498" s="18">
        <f>DATE(2025, 10, 22)</f>
        <v>45952</v>
      </c>
      <c r="J1498" s="19" t="s">
        <v>28</v>
      </c>
      <c r="K1498" s="19" t="s">
        <v>28</v>
      </c>
      <c r="L1498" s="4" t="s">
        <v>99</v>
      </c>
    </row>
    <row r="1499" ht="22.5" customHeight="1">
      <c r="C1499" s="19" t="s">
        <v>5018</v>
      </c>
      <c r="D1499" s="39" t="s">
        <v>2339</v>
      </c>
      <c r="E1499" s="43" t="s">
        <v>5019</v>
      </c>
      <c r="F1499" s="43" t="s">
        <v>5020</v>
      </c>
      <c r="G1499" s="43" t="s">
        <v>1139</v>
      </c>
      <c r="H1499" s="42" t="s">
        <v>5021</v>
      </c>
      <c r="I1499" s="18">
        <f t="shared" ref="I1499:I1554" si="15">DATE(2025, 10, 23)</f>
        <v>45953</v>
      </c>
      <c r="J1499" s="19" t="s">
        <v>28</v>
      </c>
      <c r="K1499" s="19" t="s">
        <v>325</v>
      </c>
      <c r="L1499" s="40"/>
    </row>
    <row r="1500" ht="22.5" customHeight="1">
      <c r="C1500" s="19" t="s">
        <v>5018</v>
      </c>
      <c r="D1500" s="39" t="s">
        <v>2339</v>
      </c>
      <c r="E1500" s="43" t="s">
        <v>5022</v>
      </c>
      <c r="F1500" s="43" t="s">
        <v>5023</v>
      </c>
      <c r="G1500" s="43" t="s">
        <v>2013</v>
      </c>
      <c r="H1500" s="44">
        <v>5.162421264E9</v>
      </c>
      <c r="I1500" s="18">
        <f t="shared" si="15"/>
        <v>45953</v>
      </c>
      <c r="J1500" s="19" t="s">
        <v>28</v>
      </c>
      <c r="K1500" s="19" t="s">
        <v>325</v>
      </c>
      <c r="L1500" s="40"/>
    </row>
    <row r="1501" ht="22.5" customHeight="1">
      <c r="C1501" s="19" t="s">
        <v>5018</v>
      </c>
      <c r="D1501" s="39" t="s">
        <v>2339</v>
      </c>
      <c r="E1501" s="43" t="s">
        <v>5024</v>
      </c>
      <c r="F1501" s="43" t="s">
        <v>1419</v>
      </c>
      <c r="G1501" s="43" t="s">
        <v>67</v>
      </c>
      <c r="H1501" s="42" t="s">
        <v>5025</v>
      </c>
      <c r="I1501" s="18">
        <f t="shared" si="15"/>
        <v>45953</v>
      </c>
      <c r="J1501" s="19" t="s">
        <v>28</v>
      </c>
      <c r="K1501" s="19" t="s">
        <v>325</v>
      </c>
      <c r="L1501" s="40"/>
    </row>
    <row r="1502" ht="22.5" customHeight="1">
      <c r="C1502" s="19" t="s">
        <v>5018</v>
      </c>
      <c r="D1502" s="39" t="s">
        <v>2339</v>
      </c>
      <c r="E1502" s="43" t="s">
        <v>5026</v>
      </c>
      <c r="F1502" s="43" t="s">
        <v>5027</v>
      </c>
      <c r="G1502" s="43" t="s">
        <v>230</v>
      </c>
      <c r="H1502" s="42" t="s">
        <v>5028</v>
      </c>
      <c r="I1502" s="18">
        <f t="shared" si="15"/>
        <v>45953</v>
      </c>
      <c r="J1502" s="19" t="s">
        <v>28</v>
      </c>
      <c r="K1502" s="19" t="s">
        <v>325</v>
      </c>
      <c r="L1502" s="40"/>
    </row>
    <row r="1503" ht="22.5" customHeight="1">
      <c r="C1503" s="19" t="s">
        <v>5018</v>
      </c>
      <c r="D1503" s="39" t="s">
        <v>2339</v>
      </c>
      <c r="E1503" s="43" t="s">
        <v>5029</v>
      </c>
      <c r="F1503" s="43" t="s">
        <v>5030</v>
      </c>
      <c r="G1503" s="43" t="s">
        <v>142</v>
      </c>
      <c r="H1503" s="42" t="s">
        <v>5031</v>
      </c>
      <c r="I1503" s="18">
        <f t="shared" si="15"/>
        <v>45953</v>
      </c>
      <c r="J1503" s="19" t="s">
        <v>28</v>
      </c>
      <c r="K1503" s="19" t="s">
        <v>325</v>
      </c>
      <c r="L1503" s="40"/>
    </row>
    <row r="1504" ht="22.5" customHeight="1">
      <c r="C1504" s="19" t="s">
        <v>5018</v>
      </c>
      <c r="D1504" s="39" t="s">
        <v>2339</v>
      </c>
      <c r="E1504" s="43" t="s">
        <v>5032</v>
      </c>
      <c r="F1504" s="43" t="s">
        <v>182</v>
      </c>
      <c r="G1504" s="43" t="s">
        <v>118</v>
      </c>
      <c r="H1504" s="44">
        <v>3.476128586E9</v>
      </c>
      <c r="I1504" s="18">
        <f t="shared" si="15"/>
        <v>45953</v>
      </c>
      <c r="J1504" s="19" t="s">
        <v>28</v>
      </c>
      <c r="K1504" s="19" t="s">
        <v>325</v>
      </c>
      <c r="L1504" s="40"/>
    </row>
    <row r="1505" ht="22.5" customHeight="1">
      <c r="C1505" s="19" t="s">
        <v>5018</v>
      </c>
      <c r="D1505" s="39" t="s">
        <v>2339</v>
      </c>
      <c r="E1505" s="43" t="s">
        <v>5033</v>
      </c>
      <c r="F1505" s="43" t="s">
        <v>5034</v>
      </c>
      <c r="G1505" s="43" t="s">
        <v>67</v>
      </c>
      <c r="H1505" s="44">
        <v>9.17853175E9</v>
      </c>
      <c r="I1505" s="18">
        <f t="shared" si="15"/>
        <v>45953</v>
      </c>
      <c r="J1505" s="19" t="s">
        <v>28</v>
      </c>
      <c r="K1505" s="19" t="s">
        <v>325</v>
      </c>
      <c r="L1505" s="40"/>
    </row>
    <row r="1506" ht="22.5" customHeight="1">
      <c r="C1506" s="19" t="s">
        <v>5018</v>
      </c>
      <c r="D1506" s="39" t="s">
        <v>2339</v>
      </c>
      <c r="E1506" s="43" t="s">
        <v>5035</v>
      </c>
      <c r="F1506" s="43" t="s">
        <v>5036</v>
      </c>
      <c r="G1506" s="43" t="s">
        <v>5037</v>
      </c>
      <c r="H1506" s="42" t="s">
        <v>5038</v>
      </c>
      <c r="I1506" s="18">
        <f t="shared" si="15"/>
        <v>45953</v>
      </c>
      <c r="J1506" s="19" t="s">
        <v>28</v>
      </c>
      <c r="K1506" s="19" t="s">
        <v>325</v>
      </c>
      <c r="L1506" s="40"/>
    </row>
    <row r="1507" ht="22.5" customHeight="1">
      <c r="C1507" s="19" t="s">
        <v>5018</v>
      </c>
      <c r="D1507" s="39" t="s">
        <v>2339</v>
      </c>
      <c r="E1507" s="43" t="s">
        <v>5039</v>
      </c>
      <c r="F1507" s="43" t="s">
        <v>5040</v>
      </c>
      <c r="G1507" s="43" t="s">
        <v>722</v>
      </c>
      <c r="H1507" s="44">
        <v>9.176554591E9</v>
      </c>
      <c r="I1507" s="18">
        <f t="shared" si="15"/>
        <v>45953</v>
      </c>
      <c r="J1507" s="19" t="s">
        <v>28</v>
      </c>
      <c r="K1507" s="19" t="s">
        <v>325</v>
      </c>
      <c r="L1507" s="40"/>
    </row>
    <row r="1508" ht="22.5" customHeight="1">
      <c r="C1508" s="19" t="s">
        <v>5018</v>
      </c>
      <c r="D1508" s="39" t="s">
        <v>2339</v>
      </c>
      <c r="E1508" s="43" t="s">
        <v>5041</v>
      </c>
      <c r="F1508" s="43" t="s">
        <v>5042</v>
      </c>
      <c r="G1508" s="43" t="s">
        <v>421</v>
      </c>
      <c r="H1508" s="42" t="s">
        <v>5043</v>
      </c>
      <c r="I1508" s="18">
        <f t="shared" si="15"/>
        <v>45953</v>
      </c>
      <c r="J1508" s="19" t="s">
        <v>28</v>
      </c>
      <c r="K1508" s="19" t="s">
        <v>325</v>
      </c>
      <c r="L1508" s="40"/>
    </row>
    <row r="1509" ht="22.5" customHeight="1">
      <c r="C1509" s="19" t="s">
        <v>5018</v>
      </c>
      <c r="D1509" s="39" t="s">
        <v>2339</v>
      </c>
      <c r="E1509" s="43" t="s">
        <v>5044</v>
      </c>
      <c r="F1509" s="43" t="s">
        <v>5045</v>
      </c>
      <c r="G1509" s="43" t="s">
        <v>4947</v>
      </c>
      <c r="H1509" s="42" t="s">
        <v>5046</v>
      </c>
      <c r="I1509" s="18">
        <f t="shared" si="15"/>
        <v>45953</v>
      </c>
      <c r="J1509" s="19" t="s">
        <v>28</v>
      </c>
      <c r="K1509" s="19" t="s">
        <v>325</v>
      </c>
      <c r="L1509" s="40"/>
    </row>
    <row r="1510" ht="22.5" customHeight="1">
      <c r="C1510" s="19" t="s">
        <v>5018</v>
      </c>
      <c r="D1510" s="39" t="s">
        <v>2339</v>
      </c>
      <c r="E1510" s="43" t="s">
        <v>5047</v>
      </c>
      <c r="F1510" s="43" t="s">
        <v>5048</v>
      </c>
      <c r="G1510" s="43" t="s">
        <v>1832</v>
      </c>
      <c r="H1510" s="42" t="s">
        <v>5049</v>
      </c>
      <c r="I1510" s="18">
        <f t="shared" si="15"/>
        <v>45953</v>
      </c>
      <c r="J1510" s="19" t="s">
        <v>28</v>
      </c>
      <c r="K1510" s="19" t="s">
        <v>325</v>
      </c>
      <c r="L1510" s="4" t="s">
        <v>3699</v>
      </c>
    </row>
    <row r="1511" ht="22.5" customHeight="1">
      <c r="C1511" s="19" t="s">
        <v>5018</v>
      </c>
      <c r="D1511" s="39" t="s">
        <v>2339</v>
      </c>
      <c r="E1511" s="43" t="s">
        <v>5050</v>
      </c>
      <c r="F1511" s="43" t="s">
        <v>5051</v>
      </c>
      <c r="G1511" s="43" t="s">
        <v>126</v>
      </c>
      <c r="H1511" s="44">
        <v>9.173273365E9</v>
      </c>
      <c r="I1511" s="18">
        <f t="shared" si="15"/>
        <v>45953</v>
      </c>
      <c r="J1511" s="19" t="s">
        <v>28</v>
      </c>
      <c r="K1511" s="19" t="s">
        <v>325</v>
      </c>
      <c r="L1511" s="40"/>
    </row>
    <row r="1512" ht="22.5" customHeight="1">
      <c r="C1512" s="19" t="s">
        <v>5018</v>
      </c>
      <c r="D1512" s="39" t="s">
        <v>2339</v>
      </c>
      <c r="E1512" s="43" t="s">
        <v>5052</v>
      </c>
      <c r="F1512" s="43" t="s">
        <v>5053</v>
      </c>
      <c r="G1512" s="43" t="s">
        <v>170</v>
      </c>
      <c r="H1512" s="42" t="s">
        <v>5054</v>
      </c>
      <c r="I1512" s="18">
        <f t="shared" si="15"/>
        <v>45953</v>
      </c>
      <c r="J1512" s="19" t="s">
        <v>28</v>
      </c>
      <c r="K1512" s="19" t="s">
        <v>325</v>
      </c>
      <c r="L1512" s="40"/>
    </row>
    <row r="1513" ht="22.5" customHeight="1">
      <c r="C1513" s="19" t="s">
        <v>5018</v>
      </c>
      <c r="D1513" s="39" t="s">
        <v>2339</v>
      </c>
      <c r="E1513" s="43" t="s">
        <v>5055</v>
      </c>
      <c r="F1513" s="43" t="s">
        <v>5056</v>
      </c>
      <c r="G1513" s="43" t="s">
        <v>4683</v>
      </c>
      <c r="H1513" s="42" t="s">
        <v>5057</v>
      </c>
      <c r="I1513" s="18">
        <f t="shared" si="15"/>
        <v>45953</v>
      </c>
      <c r="J1513" s="19" t="s">
        <v>28</v>
      </c>
      <c r="K1513" s="19" t="s">
        <v>325</v>
      </c>
      <c r="L1513" s="40"/>
    </row>
    <row r="1514" ht="22.5" customHeight="1">
      <c r="C1514" s="19" t="s">
        <v>5018</v>
      </c>
      <c r="D1514" s="39" t="s">
        <v>2339</v>
      </c>
      <c r="E1514" s="43" t="s">
        <v>5058</v>
      </c>
      <c r="F1514" s="43" t="s">
        <v>5059</v>
      </c>
      <c r="G1514" s="43" t="s">
        <v>1843</v>
      </c>
      <c r="H1514" s="42" t="s">
        <v>5060</v>
      </c>
      <c r="I1514" s="18">
        <f t="shared" si="15"/>
        <v>45953</v>
      </c>
      <c r="J1514" s="19" t="s">
        <v>28</v>
      </c>
      <c r="K1514" s="19" t="s">
        <v>325</v>
      </c>
      <c r="L1514" s="40"/>
    </row>
    <row r="1515" ht="22.5" customHeight="1">
      <c r="C1515" s="19" t="s">
        <v>5018</v>
      </c>
      <c r="D1515" s="39" t="s">
        <v>2339</v>
      </c>
      <c r="E1515" s="43" t="s">
        <v>5061</v>
      </c>
      <c r="F1515" s="43" t="s">
        <v>5062</v>
      </c>
      <c r="G1515" s="43" t="s">
        <v>4424</v>
      </c>
      <c r="H1515" s="42" t="s">
        <v>5063</v>
      </c>
      <c r="I1515" s="18">
        <f t="shared" si="15"/>
        <v>45953</v>
      </c>
      <c r="J1515" s="19" t="s">
        <v>28</v>
      </c>
      <c r="K1515" s="19" t="s">
        <v>325</v>
      </c>
      <c r="L1515" s="40"/>
    </row>
    <row r="1516" ht="22.5" customHeight="1">
      <c r="C1516" s="19" t="s">
        <v>5018</v>
      </c>
      <c r="D1516" s="39" t="s">
        <v>2339</v>
      </c>
      <c r="E1516" s="43" t="s">
        <v>5064</v>
      </c>
      <c r="F1516" s="43" t="s">
        <v>5065</v>
      </c>
      <c r="G1516" s="43" t="s">
        <v>4976</v>
      </c>
      <c r="H1516" s="42" t="s">
        <v>182</v>
      </c>
      <c r="I1516" s="18">
        <f t="shared" si="15"/>
        <v>45953</v>
      </c>
      <c r="J1516" s="19" t="s">
        <v>28</v>
      </c>
      <c r="K1516" s="19" t="s">
        <v>325</v>
      </c>
      <c r="L1516" s="40"/>
    </row>
    <row r="1517" ht="22.5" customHeight="1">
      <c r="C1517" s="19" t="s">
        <v>5018</v>
      </c>
      <c r="D1517" s="39" t="s">
        <v>2339</v>
      </c>
      <c r="E1517" s="43" t="s">
        <v>5066</v>
      </c>
      <c r="F1517" s="43" t="s">
        <v>5067</v>
      </c>
      <c r="G1517" s="43" t="s">
        <v>108</v>
      </c>
      <c r="H1517" s="42" t="s">
        <v>5068</v>
      </c>
      <c r="I1517" s="18">
        <f t="shared" si="15"/>
        <v>45953</v>
      </c>
      <c r="J1517" s="19" t="s">
        <v>28</v>
      </c>
      <c r="K1517" s="19" t="s">
        <v>325</v>
      </c>
      <c r="L1517" s="40"/>
    </row>
    <row r="1518" ht="22.5" customHeight="1">
      <c r="C1518" s="19" t="s">
        <v>5018</v>
      </c>
      <c r="D1518" s="39" t="s">
        <v>2339</v>
      </c>
      <c r="E1518" s="43" t="s">
        <v>5069</v>
      </c>
      <c r="F1518" s="43" t="s">
        <v>5070</v>
      </c>
      <c r="G1518" s="43" t="s">
        <v>5071</v>
      </c>
      <c r="H1518" s="44">
        <v>1.9173490096E10</v>
      </c>
      <c r="I1518" s="18">
        <f t="shared" si="15"/>
        <v>45953</v>
      </c>
      <c r="J1518" s="19" t="s">
        <v>28</v>
      </c>
      <c r="K1518" s="19" t="s">
        <v>325</v>
      </c>
      <c r="L1518" s="40"/>
    </row>
    <row r="1519" ht="22.5" customHeight="1">
      <c r="C1519" s="19" t="s">
        <v>5018</v>
      </c>
      <c r="D1519" s="39" t="s">
        <v>2339</v>
      </c>
      <c r="E1519" s="43" t="s">
        <v>5072</v>
      </c>
      <c r="F1519" s="43" t="s">
        <v>5073</v>
      </c>
      <c r="G1519" s="43" t="s">
        <v>1773</v>
      </c>
      <c r="H1519" s="44">
        <v>6.464701167E9</v>
      </c>
      <c r="I1519" s="18">
        <f t="shared" si="15"/>
        <v>45953</v>
      </c>
      <c r="J1519" s="19" t="s">
        <v>28</v>
      </c>
      <c r="K1519" s="19" t="s">
        <v>325</v>
      </c>
      <c r="L1519" s="40"/>
    </row>
    <row r="1520" ht="22.5" customHeight="1">
      <c r="C1520" s="19" t="s">
        <v>5018</v>
      </c>
      <c r="D1520" s="39" t="s">
        <v>2339</v>
      </c>
      <c r="E1520" s="43" t="s">
        <v>5074</v>
      </c>
      <c r="F1520" s="43" t="s">
        <v>5075</v>
      </c>
      <c r="G1520" s="43" t="s">
        <v>2596</v>
      </c>
      <c r="H1520" s="42" t="s">
        <v>5076</v>
      </c>
      <c r="I1520" s="18">
        <f t="shared" si="15"/>
        <v>45953</v>
      </c>
      <c r="J1520" s="19" t="s">
        <v>28</v>
      </c>
      <c r="K1520" s="19" t="s">
        <v>325</v>
      </c>
      <c r="L1520" s="40"/>
    </row>
    <row r="1521" ht="22.5" customHeight="1">
      <c r="C1521" s="19" t="s">
        <v>5018</v>
      </c>
      <c r="D1521" s="39" t="s">
        <v>2339</v>
      </c>
      <c r="E1521" s="43" t="s">
        <v>5077</v>
      </c>
      <c r="F1521" s="43" t="s">
        <v>5078</v>
      </c>
      <c r="G1521" s="43" t="s">
        <v>727</v>
      </c>
      <c r="H1521" s="42" t="s">
        <v>5079</v>
      </c>
      <c r="I1521" s="18">
        <f t="shared" si="15"/>
        <v>45953</v>
      </c>
      <c r="J1521" s="19" t="s">
        <v>28</v>
      </c>
      <c r="K1521" s="19" t="s">
        <v>325</v>
      </c>
      <c r="L1521" s="4" t="s">
        <v>99</v>
      </c>
    </row>
    <row r="1522" ht="22.5" customHeight="1">
      <c r="C1522" s="19" t="s">
        <v>5018</v>
      </c>
      <c r="D1522" s="39" t="s">
        <v>2339</v>
      </c>
      <c r="E1522" s="43" t="s">
        <v>5080</v>
      </c>
      <c r="F1522" s="43" t="s">
        <v>5081</v>
      </c>
      <c r="G1522" s="43" t="s">
        <v>680</v>
      </c>
      <c r="H1522" s="44">
        <v>9.179036979E9</v>
      </c>
      <c r="I1522" s="18">
        <f t="shared" si="15"/>
        <v>45953</v>
      </c>
      <c r="J1522" s="19" t="s">
        <v>28</v>
      </c>
      <c r="K1522" s="19" t="s">
        <v>325</v>
      </c>
      <c r="L1522" s="40"/>
    </row>
    <row r="1523" ht="22.5" customHeight="1">
      <c r="C1523" s="19" t="s">
        <v>5018</v>
      </c>
      <c r="D1523" s="39" t="s">
        <v>2339</v>
      </c>
      <c r="E1523" s="43" t="s">
        <v>5082</v>
      </c>
      <c r="F1523" s="43" t="s">
        <v>1871</v>
      </c>
      <c r="G1523" s="43" t="s">
        <v>346</v>
      </c>
      <c r="H1523" s="42" t="s">
        <v>5083</v>
      </c>
      <c r="I1523" s="18">
        <f t="shared" si="15"/>
        <v>45953</v>
      </c>
      <c r="J1523" s="19" t="s">
        <v>28</v>
      </c>
      <c r="K1523" s="19" t="s">
        <v>325</v>
      </c>
      <c r="L1523" s="40"/>
    </row>
    <row r="1524" ht="22.5" customHeight="1">
      <c r="C1524" s="19" t="s">
        <v>5018</v>
      </c>
      <c r="D1524" s="39" t="s">
        <v>2339</v>
      </c>
      <c r="E1524" s="43" t="s">
        <v>5084</v>
      </c>
      <c r="F1524" s="43" t="s">
        <v>5030</v>
      </c>
      <c r="G1524" s="43" t="s">
        <v>540</v>
      </c>
      <c r="H1524" s="42" t="s">
        <v>5031</v>
      </c>
      <c r="I1524" s="18">
        <f t="shared" si="15"/>
        <v>45953</v>
      </c>
      <c r="J1524" s="19" t="s">
        <v>28</v>
      </c>
      <c r="K1524" s="19" t="s">
        <v>325</v>
      </c>
      <c r="L1524" s="40"/>
    </row>
    <row r="1525" ht="22.5" customHeight="1">
      <c r="C1525" s="19" t="s">
        <v>5018</v>
      </c>
      <c r="D1525" s="39" t="s">
        <v>2339</v>
      </c>
      <c r="E1525" s="43" t="s">
        <v>5085</v>
      </c>
      <c r="F1525" s="43" t="s">
        <v>5086</v>
      </c>
      <c r="G1525" s="43" t="s">
        <v>72</v>
      </c>
      <c r="H1525" s="42" t="s">
        <v>5087</v>
      </c>
      <c r="I1525" s="18">
        <f t="shared" si="15"/>
        <v>45953</v>
      </c>
      <c r="J1525" s="19" t="s">
        <v>28</v>
      </c>
      <c r="K1525" s="19" t="s">
        <v>325</v>
      </c>
      <c r="L1525" s="40"/>
    </row>
    <row r="1526" ht="22.5" customHeight="1">
      <c r="C1526" s="19" t="s">
        <v>5018</v>
      </c>
      <c r="D1526" s="39" t="s">
        <v>2339</v>
      </c>
      <c r="E1526" s="43" t="s">
        <v>5088</v>
      </c>
      <c r="F1526" s="43" t="s">
        <v>5089</v>
      </c>
      <c r="G1526" s="43" t="s">
        <v>37</v>
      </c>
      <c r="H1526" s="42" t="s">
        <v>5090</v>
      </c>
      <c r="I1526" s="18">
        <f t="shared" si="15"/>
        <v>45953</v>
      </c>
      <c r="J1526" s="19" t="s">
        <v>28</v>
      </c>
      <c r="K1526" s="19" t="s">
        <v>325</v>
      </c>
      <c r="L1526" s="40"/>
    </row>
    <row r="1527" ht="22.5" customHeight="1">
      <c r="C1527" s="19" t="s">
        <v>5018</v>
      </c>
      <c r="D1527" s="39" t="s">
        <v>2339</v>
      </c>
      <c r="E1527" s="43" t="s">
        <v>5091</v>
      </c>
      <c r="F1527" s="43" t="s">
        <v>5092</v>
      </c>
      <c r="G1527" s="43" t="s">
        <v>3431</v>
      </c>
      <c r="H1527" s="42" t="s">
        <v>5093</v>
      </c>
      <c r="I1527" s="18">
        <f t="shared" si="15"/>
        <v>45953</v>
      </c>
      <c r="J1527" s="19" t="s">
        <v>28</v>
      </c>
      <c r="K1527" s="19" t="s">
        <v>325</v>
      </c>
      <c r="L1527" s="40"/>
    </row>
    <row r="1528" ht="22.5" customHeight="1">
      <c r="C1528" s="19" t="s">
        <v>5018</v>
      </c>
      <c r="D1528" s="39" t="s">
        <v>2339</v>
      </c>
      <c r="E1528" s="43" t="s">
        <v>5094</v>
      </c>
      <c r="F1528" s="43" t="s">
        <v>5095</v>
      </c>
      <c r="G1528" s="43" t="s">
        <v>1134</v>
      </c>
      <c r="H1528" s="44">
        <v>3.15359951E9</v>
      </c>
      <c r="I1528" s="18">
        <f t="shared" si="15"/>
        <v>45953</v>
      </c>
      <c r="J1528" s="19" t="s">
        <v>28</v>
      </c>
      <c r="K1528" s="19" t="s">
        <v>325</v>
      </c>
      <c r="L1528" s="40"/>
    </row>
    <row r="1529" ht="22.5" customHeight="1">
      <c r="C1529" s="19" t="s">
        <v>5018</v>
      </c>
      <c r="D1529" s="39" t="s">
        <v>2339</v>
      </c>
      <c r="E1529" s="43" t="s">
        <v>5096</v>
      </c>
      <c r="F1529" s="43" t="s">
        <v>5097</v>
      </c>
      <c r="G1529" s="43" t="s">
        <v>717</v>
      </c>
      <c r="H1529" s="42" t="s">
        <v>5098</v>
      </c>
      <c r="I1529" s="18">
        <f t="shared" si="15"/>
        <v>45953</v>
      </c>
      <c r="J1529" s="19" t="s">
        <v>28</v>
      </c>
      <c r="K1529" s="19" t="s">
        <v>325</v>
      </c>
      <c r="L1529" s="40"/>
    </row>
    <row r="1530" ht="22.5" customHeight="1">
      <c r="C1530" s="19" t="s">
        <v>5018</v>
      </c>
      <c r="D1530" s="39" t="s">
        <v>2339</v>
      </c>
      <c r="E1530" s="43" t="s">
        <v>5099</v>
      </c>
      <c r="F1530" s="43" t="s">
        <v>5100</v>
      </c>
      <c r="G1530" s="43" t="s">
        <v>26</v>
      </c>
      <c r="H1530" s="42" t="s">
        <v>5101</v>
      </c>
      <c r="I1530" s="18">
        <f t="shared" si="15"/>
        <v>45953</v>
      </c>
      <c r="J1530" s="19" t="s">
        <v>28</v>
      </c>
      <c r="K1530" s="19" t="s">
        <v>325</v>
      </c>
      <c r="L1530" s="40"/>
    </row>
    <row r="1531" ht="22.5" customHeight="1">
      <c r="C1531" s="19" t="s">
        <v>5018</v>
      </c>
      <c r="D1531" s="39" t="s">
        <v>2339</v>
      </c>
      <c r="E1531" s="43" t="s">
        <v>5102</v>
      </c>
      <c r="F1531" s="43" t="s">
        <v>5103</v>
      </c>
      <c r="G1531" s="43" t="s">
        <v>1199</v>
      </c>
      <c r="H1531" s="42" t="s">
        <v>5104</v>
      </c>
      <c r="I1531" s="18">
        <f t="shared" si="15"/>
        <v>45953</v>
      </c>
      <c r="J1531" s="19" t="s">
        <v>28</v>
      </c>
      <c r="K1531" s="19" t="s">
        <v>325</v>
      </c>
      <c r="L1531" s="40"/>
    </row>
    <row r="1532" ht="22.5" customHeight="1">
      <c r="C1532" s="19" t="s">
        <v>5018</v>
      </c>
      <c r="D1532" s="39" t="s">
        <v>2339</v>
      </c>
      <c r="E1532" s="43" t="s">
        <v>5105</v>
      </c>
      <c r="F1532" s="43" t="s">
        <v>5106</v>
      </c>
      <c r="G1532" s="43" t="s">
        <v>67</v>
      </c>
      <c r="H1532" s="44">
        <v>5.16318376E9</v>
      </c>
      <c r="I1532" s="18">
        <f t="shared" si="15"/>
        <v>45953</v>
      </c>
      <c r="J1532" s="19" t="s">
        <v>28</v>
      </c>
      <c r="K1532" s="19" t="s">
        <v>325</v>
      </c>
      <c r="L1532" s="40"/>
    </row>
    <row r="1533" ht="22.5" customHeight="1">
      <c r="C1533" s="19" t="s">
        <v>5018</v>
      </c>
      <c r="D1533" s="39" t="s">
        <v>2339</v>
      </c>
      <c r="E1533" s="43" t="s">
        <v>5107</v>
      </c>
      <c r="F1533" s="43" t="s">
        <v>5108</v>
      </c>
      <c r="G1533" s="43" t="s">
        <v>2013</v>
      </c>
      <c r="H1533" s="44">
        <v>3.32234889E9</v>
      </c>
      <c r="I1533" s="18">
        <f t="shared" si="15"/>
        <v>45953</v>
      </c>
      <c r="J1533" s="19" t="s">
        <v>28</v>
      </c>
      <c r="K1533" s="19" t="s">
        <v>325</v>
      </c>
      <c r="L1533" s="40"/>
    </row>
    <row r="1534" ht="22.5" customHeight="1">
      <c r="C1534" s="19" t="s">
        <v>5018</v>
      </c>
      <c r="D1534" s="39" t="s">
        <v>2339</v>
      </c>
      <c r="E1534" s="43" t="s">
        <v>5109</v>
      </c>
      <c r="F1534" s="43" t="s">
        <v>5110</v>
      </c>
      <c r="G1534" s="43" t="s">
        <v>1010</v>
      </c>
      <c r="H1534" s="42" t="s">
        <v>5111</v>
      </c>
      <c r="I1534" s="18">
        <f t="shared" si="15"/>
        <v>45953</v>
      </c>
      <c r="J1534" s="19" t="s">
        <v>28</v>
      </c>
      <c r="K1534" s="19" t="s">
        <v>325</v>
      </c>
      <c r="L1534" s="40"/>
    </row>
    <row r="1535" ht="22.5" customHeight="1">
      <c r="C1535" s="19" t="s">
        <v>5018</v>
      </c>
      <c r="D1535" s="39" t="s">
        <v>2339</v>
      </c>
      <c r="E1535" s="43" t="s">
        <v>5112</v>
      </c>
      <c r="F1535" s="43" t="s">
        <v>5113</v>
      </c>
      <c r="G1535" s="43" t="s">
        <v>67</v>
      </c>
      <c r="H1535" s="44">
        <v>9.175024112E9</v>
      </c>
      <c r="I1535" s="18">
        <f t="shared" si="15"/>
        <v>45953</v>
      </c>
      <c r="J1535" s="19" t="s">
        <v>28</v>
      </c>
      <c r="K1535" s="19" t="s">
        <v>325</v>
      </c>
      <c r="L1535" s="40"/>
    </row>
    <row r="1536" ht="22.5" customHeight="1">
      <c r="C1536" s="19" t="s">
        <v>5018</v>
      </c>
      <c r="D1536" s="39" t="s">
        <v>2339</v>
      </c>
      <c r="E1536" s="43" t="s">
        <v>5114</v>
      </c>
      <c r="F1536" s="43" t="s">
        <v>5115</v>
      </c>
      <c r="G1536" s="43" t="s">
        <v>4494</v>
      </c>
      <c r="H1536" s="44">
        <v>7.64739802E8</v>
      </c>
      <c r="I1536" s="18">
        <f t="shared" si="15"/>
        <v>45953</v>
      </c>
      <c r="J1536" s="19" t="s">
        <v>28</v>
      </c>
      <c r="K1536" s="19" t="s">
        <v>325</v>
      </c>
      <c r="L1536" s="4" t="s">
        <v>148</v>
      </c>
    </row>
    <row r="1537" ht="22.5" customHeight="1">
      <c r="C1537" s="19" t="s">
        <v>5018</v>
      </c>
      <c r="D1537" s="39" t="s">
        <v>2339</v>
      </c>
      <c r="E1537" s="43" t="s">
        <v>5116</v>
      </c>
      <c r="F1537" s="43" t="s">
        <v>5117</v>
      </c>
      <c r="G1537" s="43" t="s">
        <v>5118</v>
      </c>
      <c r="H1537" s="42" t="s">
        <v>5119</v>
      </c>
      <c r="I1537" s="18">
        <f t="shared" si="15"/>
        <v>45953</v>
      </c>
      <c r="J1537" s="19" t="s">
        <v>28</v>
      </c>
      <c r="K1537" s="19" t="s">
        <v>325</v>
      </c>
      <c r="L1537" s="40"/>
    </row>
    <row r="1538" ht="22.5" customHeight="1">
      <c r="C1538" s="19" t="s">
        <v>5018</v>
      </c>
      <c r="D1538" s="39" t="s">
        <v>2339</v>
      </c>
      <c r="E1538" s="43" t="s">
        <v>5120</v>
      </c>
      <c r="F1538" s="43" t="s">
        <v>5121</v>
      </c>
      <c r="G1538" s="43" t="s">
        <v>269</v>
      </c>
      <c r="H1538" s="42" t="s">
        <v>182</v>
      </c>
      <c r="I1538" s="18">
        <f t="shared" si="15"/>
        <v>45953</v>
      </c>
      <c r="J1538" s="19" t="s">
        <v>28</v>
      </c>
      <c r="K1538" s="19" t="s">
        <v>325</v>
      </c>
      <c r="L1538" s="40"/>
    </row>
    <row r="1539" ht="22.5" customHeight="1">
      <c r="C1539" s="19" t="s">
        <v>5018</v>
      </c>
      <c r="D1539" s="39" t="s">
        <v>2339</v>
      </c>
      <c r="E1539" s="43" t="s">
        <v>5122</v>
      </c>
      <c r="F1539" s="43" t="s">
        <v>5123</v>
      </c>
      <c r="G1539" s="43" t="s">
        <v>490</v>
      </c>
      <c r="H1539" s="42" t="s">
        <v>5124</v>
      </c>
      <c r="I1539" s="18">
        <f t="shared" si="15"/>
        <v>45953</v>
      </c>
      <c r="J1539" s="19" t="s">
        <v>28</v>
      </c>
      <c r="K1539" s="19" t="s">
        <v>325</v>
      </c>
      <c r="L1539" s="4" t="s">
        <v>148</v>
      </c>
    </row>
    <row r="1540" ht="22.5" customHeight="1">
      <c r="C1540" s="19" t="s">
        <v>5018</v>
      </c>
      <c r="D1540" s="39" t="s">
        <v>2339</v>
      </c>
      <c r="E1540" s="43" t="s">
        <v>5125</v>
      </c>
      <c r="F1540" s="43" t="s">
        <v>5126</v>
      </c>
      <c r="G1540" s="43" t="s">
        <v>1230</v>
      </c>
      <c r="H1540" s="44">
        <v>3.107703841E9</v>
      </c>
      <c r="I1540" s="18">
        <f t="shared" si="15"/>
        <v>45953</v>
      </c>
      <c r="J1540" s="19" t="s">
        <v>28</v>
      </c>
      <c r="K1540" s="19" t="s">
        <v>325</v>
      </c>
      <c r="L1540" s="4" t="s">
        <v>148</v>
      </c>
    </row>
    <row r="1541" ht="22.5" customHeight="1">
      <c r="C1541" s="19" t="s">
        <v>5018</v>
      </c>
      <c r="D1541" s="39" t="s">
        <v>2339</v>
      </c>
      <c r="E1541" s="43" t="s">
        <v>5127</v>
      </c>
      <c r="F1541" s="43" t="s">
        <v>5128</v>
      </c>
      <c r="G1541" s="43" t="s">
        <v>67</v>
      </c>
      <c r="H1541" s="44">
        <v>9.145127764E9</v>
      </c>
      <c r="I1541" s="18">
        <f t="shared" si="15"/>
        <v>45953</v>
      </c>
      <c r="J1541" s="19" t="s">
        <v>28</v>
      </c>
      <c r="K1541" s="19" t="s">
        <v>325</v>
      </c>
      <c r="L1541" s="4" t="s">
        <v>148</v>
      </c>
    </row>
    <row r="1542" ht="22.5" customHeight="1">
      <c r="C1542" s="19" t="s">
        <v>5018</v>
      </c>
      <c r="D1542" s="39" t="s">
        <v>2339</v>
      </c>
      <c r="E1542" s="43" t="s">
        <v>5129</v>
      </c>
      <c r="F1542" s="43" t="s">
        <v>5130</v>
      </c>
      <c r="G1542" s="43" t="s">
        <v>152</v>
      </c>
      <c r="H1542" s="42" t="s">
        <v>5131</v>
      </c>
      <c r="I1542" s="18">
        <f t="shared" si="15"/>
        <v>45953</v>
      </c>
      <c r="J1542" s="19" t="s">
        <v>28</v>
      </c>
      <c r="K1542" s="19" t="s">
        <v>325</v>
      </c>
      <c r="L1542" s="40"/>
    </row>
    <row r="1543" ht="22.5" customHeight="1">
      <c r="C1543" s="19" t="s">
        <v>5018</v>
      </c>
      <c r="D1543" s="39" t="s">
        <v>2339</v>
      </c>
      <c r="E1543" s="43" t="s">
        <v>5132</v>
      </c>
      <c r="F1543" s="43" t="s">
        <v>5133</v>
      </c>
      <c r="G1543" s="43" t="s">
        <v>4616</v>
      </c>
      <c r="H1543" s="42" t="s">
        <v>5134</v>
      </c>
      <c r="I1543" s="18">
        <f t="shared" si="15"/>
        <v>45953</v>
      </c>
      <c r="J1543" s="19" t="s">
        <v>28</v>
      </c>
      <c r="K1543" s="19" t="s">
        <v>325</v>
      </c>
      <c r="L1543" s="40"/>
    </row>
    <row r="1544" ht="22.5" customHeight="1">
      <c r="C1544" s="19" t="s">
        <v>5018</v>
      </c>
      <c r="D1544" s="39" t="s">
        <v>2339</v>
      </c>
      <c r="E1544" s="43" t="s">
        <v>5135</v>
      </c>
      <c r="F1544" s="43" t="s">
        <v>5136</v>
      </c>
      <c r="G1544" s="43" t="s">
        <v>5137</v>
      </c>
      <c r="H1544" s="42" t="s">
        <v>5138</v>
      </c>
      <c r="I1544" s="18">
        <f t="shared" si="15"/>
        <v>45953</v>
      </c>
      <c r="J1544" s="19" t="s">
        <v>28</v>
      </c>
      <c r="K1544" s="19" t="s">
        <v>325</v>
      </c>
      <c r="L1544" s="40"/>
    </row>
    <row r="1545" ht="22.5" customHeight="1">
      <c r="C1545" s="19" t="s">
        <v>5018</v>
      </c>
      <c r="D1545" s="39" t="s">
        <v>2339</v>
      </c>
      <c r="E1545" s="43" t="s">
        <v>5139</v>
      </c>
      <c r="F1545" s="43" t="s">
        <v>5140</v>
      </c>
      <c r="G1545" s="43" t="s">
        <v>4387</v>
      </c>
      <c r="H1545" s="44">
        <v>3.472624777E9</v>
      </c>
      <c r="I1545" s="18">
        <f t="shared" si="15"/>
        <v>45953</v>
      </c>
      <c r="J1545" s="19" t="s">
        <v>28</v>
      </c>
      <c r="K1545" s="19" t="s">
        <v>325</v>
      </c>
      <c r="L1545" s="40"/>
    </row>
    <row r="1546" ht="22.5" customHeight="1">
      <c r="C1546" s="19" t="s">
        <v>5018</v>
      </c>
      <c r="D1546" s="39" t="s">
        <v>2339</v>
      </c>
      <c r="E1546" s="43" t="s">
        <v>5141</v>
      </c>
      <c r="F1546" s="43" t="s">
        <v>5142</v>
      </c>
      <c r="G1546" s="43" t="s">
        <v>5143</v>
      </c>
      <c r="H1546" s="44">
        <v>6.315632E9</v>
      </c>
      <c r="I1546" s="18">
        <f t="shared" si="15"/>
        <v>45953</v>
      </c>
      <c r="J1546" s="19" t="s">
        <v>28</v>
      </c>
      <c r="K1546" s="19" t="s">
        <v>325</v>
      </c>
      <c r="L1546" s="40"/>
    </row>
    <row r="1547" ht="22.5" customHeight="1">
      <c r="C1547" s="19" t="s">
        <v>5018</v>
      </c>
      <c r="D1547" s="39" t="s">
        <v>2339</v>
      </c>
      <c r="E1547" s="43" t="s">
        <v>5144</v>
      </c>
      <c r="F1547" s="43" t="s">
        <v>5145</v>
      </c>
      <c r="G1547" s="43" t="s">
        <v>1658</v>
      </c>
      <c r="H1547" s="42" t="s">
        <v>5146</v>
      </c>
      <c r="I1547" s="18">
        <f t="shared" si="15"/>
        <v>45953</v>
      </c>
      <c r="J1547" s="19" t="s">
        <v>28</v>
      </c>
      <c r="K1547" s="19" t="s">
        <v>325</v>
      </c>
      <c r="L1547" s="40"/>
    </row>
    <row r="1548" ht="22.5" customHeight="1">
      <c r="C1548" s="19" t="s">
        <v>5018</v>
      </c>
      <c r="D1548" s="39" t="s">
        <v>2339</v>
      </c>
      <c r="E1548" s="43" t="s">
        <v>5147</v>
      </c>
      <c r="F1548" s="43" t="s">
        <v>5148</v>
      </c>
      <c r="G1548" s="43" t="s">
        <v>67</v>
      </c>
      <c r="H1548" s="44">
        <v>7.196713523E9</v>
      </c>
      <c r="I1548" s="18">
        <f t="shared" si="15"/>
        <v>45953</v>
      </c>
      <c r="J1548" s="19" t="s">
        <v>28</v>
      </c>
      <c r="K1548" s="19" t="s">
        <v>325</v>
      </c>
      <c r="L1548" s="40"/>
    </row>
    <row r="1549" ht="22.5" customHeight="1">
      <c r="C1549" s="19" t="s">
        <v>5018</v>
      </c>
      <c r="D1549" s="39" t="s">
        <v>2339</v>
      </c>
      <c r="E1549" s="43" t="s">
        <v>5149</v>
      </c>
      <c r="F1549" s="43" t="s">
        <v>5150</v>
      </c>
      <c r="G1549" s="43" t="s">
        <v>408</v>
      </c>
      <c r="H1549" s="42" t="s">
        <v>5151</v>
      </c>
      <c r="I1549" s="18">
        <f t="shared" si="15"/>
        <v>45953</v>
      </c>
      <c r="J1549" s="19" t="s">
        <v>28</v>
      </c>
      <c r="K1549" s="19" t="s">
        <v>325</v>
      </c>
      <c r="L1549" s="40"/>
    </row>
    <row r="1550" ht="22.5" customHeight="1">
      <c r="C1550" s="19" t="s">
        <v>5018</v>
      </c>
      <c r="D1550" s="39" t="s">
        <v>2339</v>
      </c>
      <c r="E1550" s="43" t="s">
        <v>5152</v>
      </c>
      <c r="F1550" s="43" t="s">
        <v>5153</v>
      </c>
      <c r="G1550" s="43" t="s">
        <v>42</v>
      </c>
      <c r="H1550" s="42" t="s">
        <v>5154</v>
      </c>
      <c r="I1550" s="18">
        <f t="shared" si="15"/>
        <v>45953</v>
      </c>
      <c r="J1550" s="19" t="s">
        <v>28</v>
      </c>
      <c r="K1550" s="19" t="s">
        <v>325</v>
      </c>
      <c r="L1550" s="40"/>
    </row>
    <row r="1551" ht="22.5" customHeight="1">
      <c r="C1551" s="19" t="s">
        <v>5018</v>
      </c>
      <c r="D1551" s="39" t="s">
        <v>2339</v>
      </c>
      <c r="E1551" s="43" t="s">
        <v>5155</v>
      </c>
      <c r="F1551" s="43" t="s">
        <v>5156</v>
      </c>
      <c r="G1551" s="43" t="s">
        <v>1556</v>
      </c>
      <c r="H1551" s="42" t="s">
        <v>5157</v>
      </c>
      <c r="I1551" s="18">
        <f t="shared" si="15"/>
        <v>45953</v>
      </c>
      <c r="J1551" s="19" t="s">
        <v>28</v>
      </c>
      <c r="K1551" s="19" t="s">
        <v>325</v>
      </c>
      <c r="L1551" s="40"/>
    </row>
    <row r="1552" ht="22.5" customHeight="1">
      <c r="C1552" s="19" t="s">
        <v>5018</v>
      </c>
      <c r="D1552" s="39" t="s">
        <v>2339</v>
      </c>
      <c r="E1552" s="43" t="s">
        <v>5158</v>
      </c>
      <c r="F1552" s="43" t="s">
        <v>5159</v>
      </c>
      <c r="G1552" s="43" t="s">
        <v>136</v>
      </c>
      <c r="H1552" s="44">
        <v>9.299907599E9</v>
      </c>
      <c r="I1552" s="18">
        <f t="shared" si="15"/>
        <v>45953</v>
      </c>
      <c r="J1552" s="19" t="s">
        <v>28</v>
      </c>
      <c r="K1552" s="19" t="s">
        <v>325</v>
      </c>
      <c r="L1552" s="40"/>
    </row>
    <row r="1553" ht="22.5" customHeight="1">
      <c r="C1553" s="19" t="s">
        <v>5018</v>
      </c>
      <c r="D1553" s="39" t="s">
        <v>2339</v>
      </c>
      <c r="E1553" s="43" t="s">
        <v>5160</v>
      </c>
      <c r="F1553" s="43" t="s">
        <v>1419</v>
      </c>
      <c r="G1553" s="43" t="s">
        <v>67</v>
      </c>
      <c r="H1553" s="42" t="s">
        <v>5161</v>
      </c>
      <c r="I1553" s="18">
        <f t="shared" si="15"/>
        <v>45953</v>
      </c>
      <c r="J1553" s="19" t="s">
        <v>28</v>
      </c>
      <c r="K1553" s="19" t="s">
        <v>325</v>
      </c>
      <c r="L1553" s="40"/>
    </row>
    <row r="1554" ht="22.5" customHeight="1">
      <c r="C1554" s="19" t="s">
        <v>5018</v>
      </c>
      <c r="D1554" s="39" t="s">
        <v>2339</v>
      </c>
      <c r="E1554" s="43" t="s">
        <v>5162</v>
      </c>
      <c r="F1554" s="43" t="s">
        <v>5163</v>
      </c>
      <c r="G1554" s="43" t="s">
        <v>2056</v>
      </c>
      <c r="H1554" s="42" t="s">
        <v>5164</v>
      </c>
      <c r="I1554" s="18">
        <f t="shared" si="15"/>
        <v>45953</v>
      </c>
      <c r="J1554" s="19" t="s">
        <v>28</v>
      </c>
      <c r="K1554" s="19" t="s">
        <v>325</v>
      </c>
      <c r="L1554" s="40"/>
    </row>
    <row r="1555" ht="22.5" customHeight="1">
      <c r="C1555" s="19" t="s">
        <v>5165</v>
      </c>
      <c r="D1555" s="39" t="s">
        <v>5166</v>
      </c>
      <c r="E1555" s="43" t="s">
        <v>5167</v>
      </c>
      <c r="F1555" s="43" t="s">
        <v>5168</v>
      </c>
      <c r="G1555" s="43" t="s">
        <v>72</v>
      </c>
      <c r="H1555" s="42" t="s">
        <v>5169</v>
      </c>
      <c r="I1555" s="18">
        <f t="shared" ref="I1555:I1733" si="16">DATE(2025, 10, 27)</f>
        <v>45957</v>
      </c>
      <c r="J1555" s="19" t="s">
        <v>28</v>
      </c>
      <c r="K1555" s="19" t="s">
        <v>5170</v>
      </c>
      <c r="L1555" s="40"/>
    </row>
    <row r="1556" ht="22.5" customHeight="1">
      <c r="C1556" s="19" t="s">
        <v>5165</v>
      </c>
      <c r="D1556" s="39" t="s">
        <v>5171</v>
      </c>
      <c r="E1556" s="43" t="s">
        <v>5172</v>
      </c>
      <c r="F1556" s="43" t="s">
        <v>5173</v>
      </c>
      <c r="G1556" s="43" t="s">
        <v>62</v>
      </c>
      <c r="H1556" s="42" t="s">
        <v>5174</v>
      </c>
      <c r="I1556" s="18">
        <f t="shared" si="16"/>
        <v>45957</v>
      </c>
      <c r="J1556" s="19" t="s">
        <v>28</v>
      </c>
      <c r="K1556" s="19" t="s">
        <v>5170</v>
      </c>
      <c r="L1556" s="40"/>
    </row>
    <row r="1557" ht="22.5" customHeight="1">
      <c r="C1557" s="19" t="s">
        <v>5165</v>
      </c>
      <c r="D1557" s="39" t="s">
        <v>5175</v>
      </c>
      <c r="E1557" s="43" t="s">
        <v>5176</v>
      </c>
      <c r="F1557" s="43" t="s">
        <v>5177</v>
      </c>
      <c r="G1557" s="43" t="s">
        <v>636</v>
      </c>
      <c r="H1557" s="42" t="s">
        <v>5178</v>
      </c>
      <c r="I1557" s="18">
        <f t="shared" si="16"/>
        <v>45957</v>
      </c>
      <c r="J1557" s="19" t="s">
        <v>28</v>
      </c>
      <c r="K1557" s="19" t="s">
        <v>5170</v>
      </c>
      <c r="L1557" s="40"/>
    </row>
    <row r="1558" ht="22.5" customHeight="1">
      <c r="C1558" s="19" t="s">
        <v>5165</v>
      </c>
      <c r="D1558" s="39" t="s">
        <v>5179</v>
      </c>
      <c r="E1558" s="43" t="s">
        <v>5180</v>
      </c>
      <c r="F1558" s="43" t="s">
        <v>5181</v>
      </c>
      <c r="G1558" s="43" t="s">
        <v>768</v>
      </c>
      <c r="H1558" s="42" t="s">
        <v>5182</v>
      </c>
      <c r="I1558" s="18">
        <f t="shared" si="16"/>
        <v>45957</v>
      </c>
      <c r="J1558" s="19" t="s">
        <v>28</v>
      </c>
      <c r="K1558" s="19" t="s">
        <v>5170</v>
      </c>
      <c r="L1558" s="40"/>
    </row>
    <row r="1559" ht="22.5" customHeight="1">
      <c r="C1559" s="19" t="s">
        <v>5165</v>
      </c>
      <c r="D1559" s="39" t="s">
        <v>5183</v>
      </c>
      <c r="E1559" s="43" t="s">
        <v>5184</v>
      </c>
      <c r="F1559" s="43" t="s">
        <v>5185</v>
      </c>
      <c r="G1559" s="43" t="s">
        <v>1588</v>
      </c>
      <c r="H1559" s="42" t="s">
        <v>5186</v>
      </c>
      <c r="I1559" s="18">
        <f t="shared" si="16"/>
        <v>45957</v>
      </c>
      <c r="J1559" s="19" t="s">
        <v>28</v>
      </c>
      <c r="K1559" s="19" t="s">
        <v>5170</v>
      </c>
      <c r="L1559" s="40"/>
    </row>
    <row r="1560" ht="22.5" customHeight="1">
      <c r="C1560" s="19" t="s">
        <v>5165</v>
      </c>
      <c r="D1560" s="39" t="s">
        <v>5187</v>
      </c>
      <c r="E1560" s="43" t="s">
        <v>5188</v>
      </c>
      <c r="F1560" s="43" t="s">
        <v>5189</v>
      </c>
      <c r="G1560" s="43" t="s">
        <v>1050</v>
      </c>
      <c r="H1560" s="42" t="s">
        <v>5190</v>
      </c>
      <c r="I1560" s="18">
        <f t="shared" si="16"/>
        <v>45957</v>
      </c>
      <c r="J1560" s="19" t="s">
        <v>28</v>
      </c>
      <c r="K1560" s="19" t="s">
        <v>5170</v>
      </c>
      <c r="L1560" s="40"/>
    </row>
    <row r="1561" ht="22.5" customHeight="1">
      <c r="C1561" s="19" t="s">
        <v>5165</v>
      </c>
      <c r="D1561" s="39" t="s">
        <v>5191</v>
      </c>
      <c r="E1561" s="43" t="s">
        <v>5192</v>
      </c>
      <c r="F1561" s="43" t="s">
        <v>5193</v>
      </c>
      <c r="G1561" s="43" t="s">
        <v>26</v>
      </c>
      <c r="H1561" s="42" t="s">
        <v>5194</v>
      </c>
      <c r="I1561" s="18">
        <f t="shared" si="16"/>
        <v>45957</v>
      </c>
      <c r="J1561" s="19" t="s">
        <v>28</v>
      </c>
      <c r="K1561" s="19" t="s">
        <v>5170</v>
      </c>
      <c r="L1561" s="40"/>
    </row>
    <row r="1562" ht="22.5" customHeight="1">
      <c r="C1562" s="19" t="s">
        <v>5165</v>
      </c>
      <c r="D1562" s="39" t="s">
        <v>5195</v>
      </c>
      <c r="E1562" s="43" t="s">
        <v>5196</v>
      </c>
      <c r="F1562" s="43" t="s">
        <v>2032</v>
      </c>
      <c r="G1562" s="43" t="s">
        <v>4647</v>
      </c>
      <c r="H1562" s="44">
        <v>9.542688796E9</v>
      </c>
      <c r="I1562" s="18">
        <f t="shared" si="16"/>
        <v>45957</v>
      </c>
      <c r="J1562" s="19" t="s">
        <v>28</v>
      </c>
      <c r="K1562" s="19" t="s">
        <v>5170</v>
      </c>
      <c r="L1562" s="40"/>
    </row>
    <row r="1563" ht="22.5" customHeight="1">
      <c r="C1563" s="19" t="s">
        <v>5165</v>
      </c>
      <c r="D1563" s="39" t="s">
        <v>5197</v>
      </c>
      <c r="E1563" s="43" t="s">
        <v>5198</v>
      </c>
      <c r="F1563" s="43" t="s">
        <v>5199</v>
      </c>
      <c r="G1563" s="43" t="s">
        <v>301</v>
      </c>
      <c r="H1563" s="44">
        <v>9.546679672E9</v>
      </c>
      <c r="I1563" s="18">
        <f t="shared" si="16"/>
        <v>45957</v>
      </c>
      <c r="J1563" s="19" t="s">
        <v>28</v>
      </c>
      <c r="K1563" s="19" t="s">
        <v>5170</v>
      </c>
      <c r="L1563" s="40"/>
    </row>
    <row r="1564" ht="22.5" customHeight="1">
      <c r="C1564" s="19" t="s">
        <v>5165</v>
      </c>
      <c r="D1564" s="39" t="s">
        <v>5200</v>
      </c>
      <c r="E1564" s="43" t="s">
        <v>5201</v>
      </c>
      <c r="F1564" s="43" t="s">
        <v>5202</v>
      </c>
      <c r="G1564" s="43" t="s">
        <v>377</v>
      </c>
      <c r="H1564" s="42" t="s">
        <v>5203</v>
      </c>
      <c r="I1564" s="18">
        <f t="shared" si="16"/>
        <v>45957</v>
      </c>
      <c r="J1564" s="19" t="s">
        <v>28</v>
      </c>
      <c r="K1564" s="19" t="s">
        <v>5170</v>
      </c>
      <c r="L1564" s="40"/>
    </row>
    <row r="1565" ht="22.5" customHeight="1">
      <c r="C1565" s="19" t="s">
        <v>5165</v>
      </c>
      <c r="D1565" s="39" t="s">
        <v>5204</v>
      </c>
      <c r="E1565" s="43" t="s">
        <v>5205</v>
      </c>
      <c r="F1565" s="43" t="s">
        <v>5206</v>
      </c>
      <c r="G1565" s="43" t="s">
        <v>57</v>
      </c>
      <c r="H1565" s="42" t="s">
        <v>5207</v>
      </c>
      <c r="I1565" s="18">
        <f t="shared" si="16"/>
        <v>45957</v>
      </c>
      <c r="J1565" s="19" t="s">
        <v>28</v>
      </c>
      <c r="K1565" s="19" t="s">
        <v>5170</v>
      </c>
      <c r="L1565" s="40"/>
    </row>
    <row r="1566" ht="22.5" customHeight="1">
      <c r="C1566" s="19" t="s">
        <v>5165</v>
      </c>
      <c r="D1566" s="39" t="s">
        <v>5208</v>
      </c>
      <c r="E1566" s="43" t="s">
        <v>5209</v>
      </c>
      <c r="F1566" s="43" t="s">
        <v>5210</v>
      </c>
      <c r="G1566" s="43" t="s">
        <v>97</v>
      </c>
      <c r="H1566" s="42" t="s">
        <v>5211</v>
      </c>
      <c r="I1566" s="18">
        <f t="shared" si="16"/>
        <v>45957</v>
      </c>
      <c r="J1566" s="19" t="s">
        <v>28</v>
      </c>
      <c r="K1566" s="19" t="s">
        <v>5170</v>
      </c>
      <c r="L1566" s="40"/>
    </row>
    <row r="1567" ht="22.5" customHeight="1">
      <c r="C1567" s="19" t="s">
        <v>5165</v>
      </c>
      <c r="D1567" s="39" t="s">
        <v>5212</v>
      </c>
      <c r="E1567" s="43" t="s">
        <v>5213</v>
      </c>
      <c r="F1567" s="43" t="s">
        <v>5214</v>
      </c>
      <c r="G1567" s="43" t="s">
        <v>126</v>
      </c>
      <c r="H1567" s="44">
        <v>9.546029889E9</v>
      </c>
      <c r="I1567" s="18">
        <f t="shared" si="16"/>
        <v>45957</v>
      </c>
      <c r="J1567" s="19" t="s">
        <v>28</v>
      </c>
      <c r="K1567" s="19" t="s">
        <v>5170</v>
      </c>
      <c r="L1567" s="40"/>
    </row>
    <row r="1568" ht="22.5" customHeight="1">
      <c r="C1568" s="19" t="s">
        <v>5165</v>
      </c>
      <c r="D1568" s="39" t="s">
        <v>5215</v>
      </c>
      <c r="E1568" s="43" t="s">
        <v>5216</v>
      </c>
      <c r="F1568" s="43" t="s">
        <v>5217</v>
      </c>
      <c r="G1568" s="43" t="s">
        <v>408</v>
      </c>
      <c r="H1568" s="44">
        <v>9.548482912E9</v>
      </c>
      <c r="I1568" s="18">
        <f t="shared" si="16"/>
        <v>45957</v>
      </c>
      <c r="J1568" s="19" t="s">
        <v>28</v>
      </c>
      <c r="K1568" s="19" t="s">
        <v>5170</v>
      </c>
      <c r="L1568" s="40"/>
    </row>
    <row r="1569" ht="22.5" customHeight="1">
      <c r="C1569" s="19" t="s">
        <v>5165</v>
      </c>
      <c r="D1569" s="39" t="s">
        <v>5218</v>
      </c>
      <c r="E1569" s="43" t="s">
        <v>5219</v>
      </c>
      <c r="F1569" s="43" t="s">
        <v>5220</v>
      </c>
      <c r="G1569" s="43" t="s">
        <v>82</v>
      </c>
      <c r="H1569" s="44">
        <v>9.548339148E9</v>
      </c>
      <c r="I1569" s="18">
        <f t="shared" si="16"/>
        <v>45957</v>
      </c>
      <c r="J1569" s="19" t="s">
        <v>28</v>
      </c>
      <c r="K1569" s="19" t="s">
        <v>5170</v>
      </c>
      <c r="L1569" s="40"/>
    </row>
    <row r="1570" ht="22.5" customHeight="1">
      <c r="C1570" s="19" t="s">
        <v>5165</v>
      </c>
      <c r="D1570" s="39" t="s">
        <v>5221</v>
      </c>
      <c r="E1570" s="43" t="s">
        <v>5222</v>
      </c>
      <c r="F1570" s="43" t="s">
        <v>5223</v>
      </c>
      <c r="G1570" s="43" t="s">
        <v>52</v>
      </c>
      <c r="H1570" s="42" t="s">
        <v>5224</v>
      </c>
      <c r="I1570" s="18">
        <f t="shared" si="16"/>
        <v>45957</v>
      </c>
      <c r="J1570" s="19" t="s">
        <v>28</v>
      </c>
      <c r="K1570" s="19" t="s">
        <v>5170</v>
      </c>
      <c r="L1570" s="40"/>
    </row>
    <row r="1571" ht="22.5" customHeight="1">
      <c r="C1571" s="19" t="s">
        <v>5165</v>
      </c>
      <c r="D1571" s="39" t="s">
        <v>5225</v>
      </c>
      <c r="E1571" s="43" t="s">
        <v>5226</v>
      </c>
      <c r="F1571" s="43" t="s">
        <v>5227</v>
      </c>
      <c r="G1571" s="43" t="s">
        <v>421</v>
      </c>
      <c r="H1571" s="42" t="s">
        <v>5228</v>
      </c>
      <c r="I1571" s="18">
        <f t="shared" si="16"/>
        <v>45957</v>
      </c>
      <c r="J1571" s="19" t="s">
        <v>28</v>
      </c>
      <c r="K1571" s="19" t="s">
        <v>5170</v>
      </c>
      <c r="L1571" s="40"/>
    </row>
    <row r="1572" ht="22.5" customHeight="1">
      <c r="C1572" s="19" t="s">
        <v>5165</v>
      </c>
      <c r="D1572" s="39" t="s">
        <v>5229</v>
      </c>
      <c r="E1572" s="43" t="s">
        <v>5230</v>
      </c>
      <c r="F1572" s="43" t="s">
        <v>5231</v>
      </c>
      <c r="G1572" s="43" t="s">
        <v>67</v>
      </c>
      <c r="H1572" s="42" t="s">
        <v>5232</v>
      </c>
      <c r="I1572" s="18">
        <f t="shared" si="16"/>
        <v>45957</v>
      </c>
      <c r="J1572" s="19" t="s">
        <v>28</v>
      </c>
      <c r="K1572" s="19" t="s">
        <v>5170</v>
      </c>
      <c r="L1572" s="40"/>
    </row>
    <row r="1573" ht="22.5" customHeight="1">
      <c r="C1573" s="19" t="s">
        <v>5165</v>
      </c>
      <c r="D1573" s="39" t="s">
        <v>5233</v>
      </c>
      <c r="E1573" s="43" t="s">
        <v>5234</v>
      </c>
      <c r="F1573" s="43" t="s">
        <v>5235</v>
      </c>
      <c r="G1573" s="43" t="s">
        <v>152</v>
      </c>
      <c r="H1573" s="44">
        <v>9.548621466E9</v>
      </c>
      <c r="I1573" s="18">
        <f t="shared" si="16"/>
        <v>45957</v>
      </c>
      <c r="J1573" s="19" t="s">
        <v>28</v>
      </c>
      <c r="K1573" s="19" t="s">
        <v>5170</v>
      </c>
      <c r="L1573" s="40"/>
    </row>
    <row r="1574" ht="22.5" customHeight="1">
      <c r="C1574" s="19" t="s">
        <v>5165</v>
      </c>
      <c r="D1574" s="39" t="s">
        <v>5236</v>
      </c>
      <c r="E1574" s="43" t="s">
        <v>5237</v>
      </c>
      <c r="F1574" s="43" t="s">
        <v>5238</v>
      </c>
      <c r="G1574" s="43" t="s">
        <v>77</v>
      </c>
      <c r="H1574" s="44">
        <v>9.544647423E9</v>
      </c>
      <c r="I1574" s="18">
        <f t="shared" si="16"/>
        <v>45957</v>
      </c>
      <c r="J1574" s="19" t="s">
        <v>28</v>
      </c>
      <c r="K1574" s="19" t="s">
        <v>5170</v>
      </c>
      <c r="L1574" s="40"/>
    </row>
    <row r="1575" ht="22.5" customHeight="1">
      <c r="C1575" s="19" t="s">
        <v>5165</v>
      </c>
      <c r="D1575" s="39" t="s">
        <v>5239</v>
      </c>
      <c r="E1575" s="43" t="s">
        <v>5240</v>
      </c>
      <c r="F1575" s="43" t="s">
        <v>182</v>
      </c>
      <c r="G1575" s="43" t="s">
        <v>346</v>
      </c>
      <c r="H1575" s="44">
        <v>1.6162955994E10</v>
      </c>
      <c r="I1575" s="18">
        <f t="shared" si="16"/>
        <v>45957</v>
      </c>
      <c r="J1575" s="19" t="s">
        <v>28</v>
      </c>
      <c r="K1575" s="19" t="s">
        <v>5170</v>
      </c>
      <c r="L1575" s="40"/>
    </row>
    <row r="1576" ht="22.5" customHeight="1">
      <c r="C1576" s="19" t="s">
        <v>5165</v>
      </c>
      <c r="D1576" s="39" t="s">
        <v>5241</v>
      </c>
      <c r="E1576" s="43" t="s">
        <v>5242</v>
      </c>
      <c r="F1576" s="43" t="s">
        <v>5243</v>
      </c>
      <c r="G1576" s="43" t="s">
        <v>118</v>
      </c>
      <c r="H1576" s="44">
        <v>1.9544444089E10</v>
      </c>
      <c r="I1576" s="18">
        <f t="shared" si="16"/>
        <v>45957</v>
      </c>
      <c r="J1576" s="19" t="s">
        <v>28</v>
      </c>
      <c r="K1576" s="19" t="s">
        <v>5170</v>
      </c>
      <c r="L1576" s="40"/>
    </row>
    <row r="1577" ht="22.5" customHeight="1">
      <c r="C1577" s="19" t="s">
        <v>5244</v>
      </c>
      <c r="D1577" s="39" t="s">
        <v>5245</v>
      </c>
      <c r="E1577" s="43" t="s">
        <v>5246</v>
      </c>
      <c r="F1577" s="43" t="s">
        <v>5247</v>
      </c>
      <c r="G1577" s="43" t="s">
        <v>62</v>
      </c>
      <c r="H1577" s="44">
        <v>9.54334152E9</v>
      </c>
      <c r="I1577" s="18">
        <f t="shared" si="16"/>
        <v>45957</v>
      </c>
      <c r="J1577" s="19" t="s">
        <v>28</v>
      </c>
      <c r="K1577" s="19" t="s">
        <v>5170</v>
      </c>
      <c r="L1577" s="40"/>
    </row>
    <row r="1578" ht="22.5" customHeight="1">
      <c r="C1578" s="19" t="s">
        <v>5244</v>
      </c>
      <c r="D1578" s="39" t="s">
        <v>5248</v>
      </c>
      <c r="E1578" s="43" t="s">
        <v>5249</v>
      </c>
      <c r="F1578" s="43" t="s">
        <v>5250</v>
      </c>
      <c r="G1578" s="43" t="s">
        <v>247</v>
      </c>
      <c r="H1578" s="42" t="s">
        <v>5251</v>
      </c>
      <c r="I1578" s="18">
        <f t="shared" si="16"/>
        <v>45957</v>
      </c>
      <c r="J1578" s="19" t="s">
        <v>28</v>
      </c>
      <c r="K1578" s="19" t="s">
        <v>5170</v>
      </c>
      <c r="L1578" s="40"/>
    </row>
    <row r="1579" ht="22.5" customHeight="1">
      <c r="C1579" s="19" t="s">
        <v>5244</v>
      </c>
      <c r="D1579" s="39" t="s">
        <v>5252</v>
      </c>
      <c r="E1579" s="43" t="s">
        <v>5253</v>
      </c>
      <c r="F1579" s="43" t="s">
        <v>5254</v>
      </c>
      <c r="G1579" s="43" t="s">
        <v>346</v>
      </c>
      <c r="H1579" s="42" t="s">
        <v>5255</v>
      </c>
      <c r="I1579" s="18">
        <f t="shared" si="16"/>
        <v>45957</v>
      </c>
      <c r="J1579" s="19" t="s">
        <v>28</v>
      </c>
      <c r="K1579" s="19" t="s">
        <v>5170</v>
      </c>
      <c r="L1579" s="40"/>
    </row>
    <row r="1580" ht="22.5" customHeight="1">
      <c r="C1580" s="19" t="s">
        <v>5244</v>
      </c>
      <c r="D1580" s="39" t="s">
        <v>5256</v>
      </c>
      <c r="E1580" s="43" t="s">
        <v>5257</v>
      </c>
      <c r="F1580" s="43" t="s">
        <v>5258</v>
      </c>
      <c r="G1580" s="43" t="s">
        <v>126</v>
      </c>
      <c r="H1580" s="42" t="s">
        <v>5259</v>
      </c>
      <c r="I1580" s="18">
        <f t="shared" si="16"/>
        <v>45957</v>
      </c>
      <c r="J1580" s="19" t="s">
        <v>28</v>
      </c>
      <c r="K1580" s="19" t="s">
        <v>5170</v>
      </c>
      <c r="L1580" s="40"/>
    </row>
    <row r="1581" ht="22.5" customHeight="1">
      <c r="C1581" s="19" t="s">
        <v>5244</v>
      </c>
      <c r="D1581" s="39" t="s">
        <v>5260</v>
      </c>
      <c r="E1581" s="43" t="s">
        <v>5261</v>
      </c>
      <c r="F1581" s="43" t="s">
        <v>5262</v>
      </c>
      <c r="G1581" s="43" t="s">
        <v>915</v>
      </c>
      <c r="H1581" s="44">
        <v>9.549695906E9</v>
      </c>
      <c r="I1581" s="18">
        <f t="shared" si="16"/>
        <v>45957</v>
      </c>
      <c r="J1581" s="19" t="s">
        <v>28</v>
      </c>
      <c r="K1581" s="19" t="s">
        <v>5170</v>
      </c>
      <c r="L1581" s="40"/>
    </row>
    <row r="1582" ht="22.5" customHeight="1">
      <c r="C1582" s="19" t="s">
        <v>5244</v>
      </c>
      <c r="D1582" s="39" t="s">
        <v>5263</v>
      </c>
      <c r="E1582" s="43" t="s">
        <v>5264</v>
      </c>
      <c r="F1582" s="43" t="s">
        <v>2643</v>
      </c>
      <c r="G1582" s="43" t="s">
        <v>67</v>
      </c>
      <c r="H1582" s="42" t="s">
        <v>5265</v>
      </c>
      <c r="I1582" s="18">
        <f t="shared" si="16"/>
        <v>45957</v>
      </c>
      <c r="J1582" s="19" t="s">
        <v>28</v>
      </c>
      <c r="K1582" s="19" t="s">
        <v>5170</v>
      </c>
      <c r="L1582" s="40"/>
    </row>
    <row r="1583" ht="22.5" customHeight="1">
      <c r="C1583" s="19" t="s">
        <v>5244</v>
      </c>
      <c r="D1583" s="39" t="s">
        <v>5266</v>
      </c>
      <c r="E1583" s="43" t="s">
        <v>5267</v>
      </c>
      <c r="F1583" s="43" t="s">
        <v>5268</v>
      </c>
      <c r="G1583" s="43" t="s">
        <v>113</v>
      </c>
      <c r="H1583" s="44">
        <v>7.54235244E9</v>
      </c>
      <c r="I1583" s="18">
        <f t="shared" si="16"/>
        <v>45957</v>
      </c>
      <c r="J1583" s="19" t="s">
        <v>28</v>
      </c>
      <c r="K1583" s="19" t="s">
        <v>5170</v>
      </c>
      <c r="L1583" s="40"/>
    </row>
    <row r="1584" ht="22.5" customHeight="1">
      <c r="C1584" s="19" t="s">
        <v>5244</v>
      </c>
      <c r="D1584" s="39" t="s">
        <v>5269</v>
      </c>
      <c r="E1584" s="43" t="s">
        <v>5270</v>
      </c>
      <c r="F1584" s="43" t="s">
        <v>5271</v>
      </c>
      <c r="G1584" s="43" t="s">
        <v>301</v>
      </c>
      <c r="H1584" s="44">
        <v>9.54743024E9</v>
      </c>
      <c r="I1584" s="18">
        <f t="shared" si="16"/>
        <v>45957</v>
      </c>
      <c r="J1584" s="19" t="s">
        <v>28</v>
      </c>
      <c r="K1584" s="19" t="s">
        <v>5170</v>
      </c>
      <c r="L1584" s="40"/>
    </row>
    <row r="1585" ht="22.5" customHeight="1">
      <c r="C1585" s="19" t="s">
        <v>5244</v>
      </c>
      <c r="D1585" s="39" t="s">
        <v>5272</v>
      </c>
      <c r="E1585" s="43" t="s">
        <v>5273</v>
      </c>
      <c r="F1585" s="43" t="s">
        <v>5274</v>
      </c>
      <c r="G1585" s="43" t="s">
        <v>77</v>
      </c>
      <c r="H1585" s="42" t="s">
        <v>5275</v>
      </c>
      <c r="I1585" s="18">
        <f t="shared" si="16"/>
        <v>45957</v>
      </c>
      <c r="J1585" s="19" t="s">
        <v>28</v>
      </c>
      <c r="K1585" s="19" t="s">
        <v>5170</v>
      </c>
      <c r="L1585" s="40"/>
    </row>
    <row r="1586" ht="22.5" customHeight="1">
      <c r="C1586" s="19" t="s">
        <v>5244</v>
      </c>
      <c r="D1586" s="39" t="s">
        <v>5276</v>
      </c>
      <c r="E1586" s="43" t="s">
        <v>5277</v>
      </c>
      <c r="F1586" s="43" t="s">
        <v>5278</v>
      </c>
      <c r="G1586" s="43" t="s">
        <v>781</v>
      </c>
      <c r="H1586" s="42" t="s">
        <v>5279</v>
      </c>
      <c r="I1586" s="18">
        <f t="shared" si="16"/>
        <v>45957</v>
      </c>
      <c r="J1586" s="19" t="s">
        <v>28</v>
      </c>
      <c r="K1586" s="19" t="s">
        <v>5170</v>
      </c>
      <c r="L1586" s="40"/>
    </row>
    <row r="1587" ht="22.5" customHeight="1">
      <c r="C1587" s="19" t="s">
        <v>5244</v>
      </c>
      <c r="D1587" s="39" t="s">
        <v>5280</v>
      </c>
      <c r="E1587" s="43" t="s">
        <v>5281</v>
      </c>
      <c r="F1587" s="43" t="s">
        <v>5282</v>
      </c>
      <c r="G1587" s="43" t="s">
        <v>191</v>
      </c>
      <c r="H1587" s="44">
        <v>3.059227694E9</v>
      </c>
      <c r="I1587" s="18">
        <f t="shared" si="16"/>
        <v>45957</v>
      </c>
      <c r="J1587" s="19" t="s">
        <v>28</v>
      </c>
      <c r="K1587" s="19" t="s">
        <v>5170</v>
      </c>
      <c r="L1587" s="4" t="s">
        <v>99</v>
      </c>
    </row>
    <row r="1588" ht="22.5" customHeight="1">
      <c r="C1588" s="19" t="s">
        <v>5244</v>
      </c>
      <c r="D1588" s="39" t="s">
        <v>5283</v>
      </c>
      <c r="E1588" s="43" t="s">
        <v>5284</v>
      </c>
      <c r="F1588" s="43" t="s">
        <v>5285</v>
      </c>
      <c r="G1588" s="43" t="s">
        <v>72</v>
      </c>
      <c r="H1588" s="42" t="s">
        <v>5286</v>
      </c>
      <c r="I1588" s="18">
        <f t="shared" si="16"/>
        <v>45957</v>
      </c>
      <c r="J1588" s="19" t="s">
        <v>28</v>
      </c>
      <c r="K1588" s="19" t="s">
        <v>5170</v>
      </c>
      <c r="L1588" s="40"/>
    </row>
    <row r="1589" ht="22.5" customHeight="1">
      <c r="C1589" s="19" t="s">
        <v>5244</v>
      </c>
      <c r="D1589" s="39" t="s">
        <v>5287</v>
      </c>
      <c r="E1589" s="43" t="s">
        <v>5288</v>
      </c>
      <c r="F1589" s="43" t="s">
        <v>5289</v>
      </c>
      <c r="G1589" s="43" t="s">
        <v>524</v>
      </c>
      <c r="H1589" s="42" t="s">
        <v>5290</v>
      </c>
      <c r="I1589" s="18">
        <f t="shared" si="16"/>
        <v>45957</v>
      </c>
      <c r="J1589" s="19" t="s">
        <v>28</v>
      </c>
      <c r="K1589" s="19" t="s">
        <v>5170</v>
      </c>
      <c r="L1589" s="40"/>
    </row>
    <row r="1590" ht="22.5" customHeight="1">
      <c r="C1590" s="19" t="s">
        <v>5244</v>
      </c>
      <c r="D1590" s="39" t="s">
        <v>5291</v>
      </c>
      <c r="E1590" s="43" t="s">
        <v>5292</v>
      </c>
      <c r="F1590" s="43" t="s">
        <v>5293</v>
      </c>
      <c r="G1590" s="43" t="s">
        <v>727</v>
      </c>
      <c r="H1590" s="42" t="s">
        <v>5294</v>
      </c>
      <c r="I1590" s="18">
        <f t="shared" si="16"/>
        <v>45957</v>
      </c>
      <c r="J1590" s="19" t="s">
        <v>28</v>
      </c>
      <c r="K1590" s="19" t="s">
        <v>5170</v>
      </c>
      <c r="L1590" s="40"/>
    </row>
    <row r="1591" ht="22.5" customHeight="1">
      <c r="C1591" s="19" t="s">
        <v>5244</v>
      </c>
      <c r="D1591" s="39" t="s">
        <v>5295</v>
      </c>
      <c r="E1591" s="43" t="s">
        <v>5296</v>
      </c>
      <c r="F1591" s="43" t="s">
        <v>5297</v>
      </c>
      <c r="G1591" s="43" t="s">
        <v>82</v>
      </c>
      <c r="H1591" s="44">
        <v>9.548219308E9</v>
      </c>
      <c r="I1591" s="18">
        <f t="shared" si="16"/>
        <v>45957</v>
      </c>
      <c r="J1591" s="19" t="s">
        <v>28</v>
      </c>
      <c r="K1591" s="19" t="s">
        <v>5170</v>
      </c>
      <c r="L1591" s="40"/>
    </row>
    <row r="1592" ht="22.5" customHeight="1">
      <c r="C1592" s="19" t="s">
        <v>5298</v>
      </c>
      <c r="D1592" s="39" t="s">
        <v>5299</v>
      </c>
      <c r="E1592" s="43" t="s">
        <v>5300</v>
      </c>
      <c r="F1592" s="43" t="s">
        <v>3952</v>
      </c>
      <c r="G1592" s="43" t="s">
        <v>26</v>
      </c>
      <c r="H1592" s="44">
        <v>3.219479361E9</v>
      </c>
      <c r="I1592" s="18">
        <f t="shared" si="16"/>
        <v>45957</v>
      </c>
      <c r="J1592" s="19" t="s">
        <v>28</v>
      </c>
      <c r="K1592" s="19" t="s">
        <v>5170</v>
      </c>
      <c r="L1592" s="40"/>
    </row>
    <row r="1593" ht="22.5" customHeight="1">
      <c r="C1593" s="19" t="s">
        <v>5298</v>
      </c>
      <c r="D1593" s="39" t="s">
        <v>5301</v>
      </c>
      <c r="E1593" s="43" t="s">
        <v>5302</v>
      </c>
      <c r="F1593" s="43" t="s">
        <v>5303</v>
      </c>
      <c r="G1593" s="43" t="s">
        <v>421</v>
      </c>
      <c r="H1593" s="42" t="s">
        <v>5304</v>
      </c>
      <c r="I1593" s="18">
        <f t="shared" si="16"/>
        <v>45957</v>
      </c>
      <c r="J1593" s="19" t="s">
        <v>28</v>
      </c>
      <c r="K1593" s="19" t="s">
        <v>5170</v>
      </c>
      <c r="L1593" s="40"/>
    </row>
    <row r="1594" ht="22.5" customHeight="1">
      <c r="C1594" s="19" t="s">
        <v>5298</v>
      </c>
      <c r="D1594" s="39" t="s">
        <v>5305</v>
      </c>
      <c r="E1594" s="43" t="s">
        <v>5306</v>
      </c>
      <c r="F1594" s="43" t="s">
        <v>885</v>
      </c>
      <c r="G1594" s="43" t="s">
        <v>886</v>
      </c>
      <c r="H1594" s="42" t="s">
        <v>5307</v>
      </c>
      <c r="I1594" s="18">
        <f t="shared" si="16"/>
        <v>45957</v>
      </c>
      <c r="J1594" s="19" t="s">
        <v>28</v>
      </c>
      <c r="K1594" s="19" t="s">
        <v>5170</v>
      </c>
      <c r="L1594" s="40"/>
    </row>
    <row r="1595" ht="22.5" customHeight="1">
      <c r="C1595" s="19" t="s">
        <v>5298</v>
      </c>
      <c r="D1595" s="39" t="s">
        <v>5308</v>
      </c>
      <c r="E1595" s="43" t="s">
        <v>5309</v>
      </c>
      <c r="F1595" s="43" t="s">
        <v>5310</v>
      </c>
      <c r="G1595" s="43" t="s">
        <v>5311</v>
      </c>
      <c r="H1595" s="44">
        <v>9.543369748E9</v>
      </c>
      <c r="I1595" s="18">
        <f t="shared" si="16"/>
        <v>45957</v>
      </c>
      <c r="J1595" s="19" t="s">
        <v>28</v>
      </c>
      <c r="K1595" s="19" t="s">
        <v>5170</v>
      </c>
      <c r="L1595" s="40"/>
    </row>
    <row r="1596" ht="22.5" customHeight="1">
      <c r="C1596" s="19" t="s">
        <v>5298</v>
      </c>
      <c r="D1596" s="39" t="s">
        <v>5312</v>
      </c>
      <c r="E1596" s="43" t="s">
        <v>5313</v>
      </c>
      <c r="F1596" s="43" t="s">
        <v>5314</v>
      </c>
      <c r="G1596" s="43" t="s">
        <v>717</v>
      </c>
      <c r="H1596" s="42" t="s">
        <v>5315</v>
      </c>
      <c r="I1596" s="18">
        <f t="shared" si="16"/>
        <v>45957</v>
      </c>
      <c r="J1596" s="19" t="s">
        <v>28</v>
      </c>
      <c r="K1596" s="19" t="s">
        <v>5170</v>
      </c>
      <c r="L1596" s="40"/>
    </row>
    <row r="1597" ht="22.5" customHeight="1">
      <c r="C1597" s="19" t="s">
        <v>5298</v>
      </c>
      <c r="D1597" s="39" t="s">
        <v>5316</v>
      </c>
      <c r="E1597" s="43" t="s">
        <v>5317</v>
      </c>
      <c r="F1597" s="43" t="s">
        <v>5318</v>
      </c>
      <c r="G1597" s="43" t="s">
        <v>490</v>
      </c>
      <c r="H1597" s="42" t="s">
        <v>5319</v>
      </c>
      <c r="I1597" s="18">
        <f t="shared" si="16"/>
        <v>45957</v>
      </c>
      <c r="J1597" s="19" t="s">
        <v>28</v>
      </c>
      <c r="K1597" s="19" t="s">
        <v>5170</v>
      </c>
      <c r="L1597" s="40"/>
    </row>
    <row r="1598" ht="22.5" customHeight="1">
      <c r="C1598" s="19" t="s">
        <v>5298</v>
      </c>
      <c r="D1598" s="39" t="s">
        <v>5320</v>
      </c>
      <c r="E1598" s="43" t="s">
        <v>5321</v>
      </c>
      <c r="F1598" s="43" t="s">
        <v>5322</v>
      </c>
      <c r="G1598" s="43" t="s">
        <v>126</v>
      </c>
      <c r="H1598" s="42" t="s">
        <v>5323</v>
      </c>
      <c r="I1598" s="18">
        <f t="shared" si="16"/>
        <v>45957</v>
      </c>
      <c r="J1598" s="19" t="s">
        <v>28</v>
      </c>
      <c r="K1598" s="19" t="s">
        <v>5170</v>
      </c>
      <c r="L1598" s="40"/>
    </row>
    <row r="1599" ht="22.5" customHeight="1">
      <c r="C1599" s="19" t="s">
        <v>5298</v>
      </c>
      <c r="D1599" s="39" t="s">
        <v>5324</v>
      </c>
      <c r="E1599" s="43" t="s">
        <v>5325</v>
      </c>
      <c r="F1599" s="43" t="s">
        <v>5326</v>
      </c>
      <c r="G1599" s="43" t="s">
        <v>57</v>
      </c>
      <c r="H1599" s="42" t="s">
        <v>5327</v>
      </c>
      <c r="I1599" s="18">
        <f t="shared" si="16"/>
        <v>45957</v>
      </c>
      <c r="J1599" s="19" t="s">
        <v>28</v>
      </c>
      <c r="K1599" s="19" t="s">
        <v>5170</v>
      </c>
      <c r="L1599" s="40"/>
    </row>
    <row r="1600" ht="22.5" customHeight="1">
      <c r="C1600" s="19" t="s">
        <v>5298</v>
      </c>
      <c r="D1600" s="39" t="s">
        <v>5328</v>
      </c>
      <c r="E1600" s="43" t="s">
        <v>5329</v>
      </c>
      <c r="F1600" s="43" t="s">
        <v>5330</v>
      </c>
      <c r="G1600" s="43" t="s">
        <v>170</v>
      </c>
      <c r="H1600" s="42" t="s">
        <v>5331</v>
      </c>
      <c r="I1600" s="18">
        <f t="shared" si="16"/>
        <v>45957</v>
      </c>
      <c r="J1600" s="19" t="s">
        <v>28</v>
      </c>
      <c r="K1600" s="19" t="s">
        <v>5170</v>
      </c>
      <c r="L1600" s="40"/>
    </row>
    <row r="1601" ht="22.5" customHeight="1">
      <c r="C1601" s="19" t="s">
        <v>5298</v>
      </c>
      <c r="D1601" s="39" t="s">
        <v>5332</v>
      </c>
      <c r="E1601" s="43" t="s">
        <v>5333</v>
      </c>
      <c r="F1601" s="43" t="s">
        <v>5334</v>
      </c>
      <c r="G1601" s="43" t="s">
        <v>67</v>
      </c>
      <c r="H1601" s="44">
        <v>9.547094432E9</v>
      </c>
      <c r="I1601" s="18">
        <f t="shared" si="16"/>
        <v>45957</v>
      </c>
      <c r="J1601" s="19" t="s">
        <v>28</v>
      </c>
      <c r="K1601" s="19" t="s">
        <v>5170</v>
      </c>
      <c r="L1601" s="40"/>
    </row>
    <row r="1602" ht="22.5" customHeight="1">
      <c r="C1602" s="19" t="s">
        <v>5298</v>
      </c>
      <c r="D1602" s="39" t="s">
        <v>5335</v>
      </c>
      <c r="E1602" s="43" t="s">
        <v>5336</v>
      </c>
      <c r="F1602" s="43" t="s">
        <v>5337</v>
      </c>
      <c r="G1602" s="43" t="s">
        <v>72</v>
      </c>
      <c r="H1602" s="44">
        <v>9.549371226E9</v>
      </c>
      <c r="I1602" s="18">
        <f t="shared" si="16"/>
        <v>45957</v>
      </c>
      <c r="J1602" s="19" t="s">
        <v>28</v>
      </c>
      <c r="K1602" s="19" t="s">
        <v>5170</v>
      </c>
      <c r="L1602" s="40"/>
    </row>
    <row r="1603" ht="22.5" customHeight="1">
      <c r="C1603" s="19" t="s">
        <v>5298</v>
      </c>
      <c r="D1603" s="39" t="s">
        <v>5338</v>
      </c>
      <c r="E1603" s="43" t="s">
        <v>5339</v>
      </c>
      <c r="F1603" s="43" t="s">
        <v>5340</v>
      </c>
      <c r="G1603" s="43" t="s">
        <v>786</v>
      </c>
      <c r="H1603" s="44">
        <v>7.864756411E9</v>
      </c>
      <c r="I1603" s="18">
        <f t="shared" si="16"/>
        <v>45957</v>
      </c>
      <c r="J1603" s="19" t="s">
        <v>28</v>
      </c>
      <c r="K1603" s="19" t="s">
        <v>5170</v>
      </c>
      <c r="L1603" s="40"/>
    </row>
    <row r="1604" ht="22.5" customHeight="1">
      <c r="C1604" s="19" t="s">
        <v>5298</v>
      </c>
      <c r="D1604" s="39" t="s">
        <v>5341</v>
      </c>
      <c r="E1604" s="43" t="s">
        <v>5342</v>
      </c>
      <c r="F1604" s="43" t="s">
        <v>5343</v>
      </c>
      <c r="G1604" s="43" t="s">
        <v>108</v>
      </c>
      <c r="H1604" s="42" t="s">
        <v>5344</v>
      </c>
      <c r="I1604" s="18">
        <f t="shared" si="16"/>
        <v>45957</v>
      </c>
      <c r="J1604" s="19" t="s">
        <v>28</v>
      </c>
      <c r="K1604" s="19" t="s">
        <v>5170</v>
      </c>
      <c r="L1604" s="40"/>
    </row>
    <row r="1605" ht="22.5" customHeight="1">
      <c r="C1605" s="19" t="s">
        <v>5298</v>
      </c>
      <c r="D1605" s="39" t="s">
        <v>5345</v>
      </c>
      <c r="E1605" s="43" t="s">
        <v>5346</v>
      </c>
      <c r="F1605" s="43" t="s">
        <v>5347</v>
      </c>
      <c r="G1605" s="43" t="s">
        <v>346</v>
      </c>
      <c r="H1605" s="42" t="s">
        <v>5348</v>
      </c>
      <c r="I1605" s="18">
        <f t="shared" si="16"/>
        <v>45957</v>
      </c>
      <c r="J1605" s="19" t="s">
        <v>28</v>
      </c>
      <c r="K1605" s="19" t="s">
        <v>5170</v>
      </c>
      <c r="L1605" s="40"/>
    </row>
    <row r="1606" ht="22.5" customHeight="1">
      <c r="C1606" s="19" t="s">
        <v>5298</v>
      </c>
      <c r="D1606" s="39" t="s">
        <v>5349</v>
      </c>
      <c r="E1606" s="43" t="s">
        <v>5350</v>
      </c>
      <c r="F1606" s="43" t="s">
        <v>3636</v>
      </c>
      <c r="G1606" s="43" t="s">
        <v>77</v>
      </c>
      <c r="H1606" s="42" t="s">
        <v>5351</v>
      </c>
      <c r="I1606" s="18">
        <f t="shared" si="16"/>
        <v>45957</v>
      </c>
      <c r="J1606" s="19" t="s">
        <v>28</v>
      </c>
      <c r="K1606" s="19" t="s">
        <v>5170</v>
      </c>
      <c r="L1606" s="40"/>
    </row>
    <row r="1607" ht="22.5" customHeight="1">
      <c r="C1607" s="19" t="s">
        <v>5298</v>
      </c>
      <c r="D1607" s="39" t="s">
        <v>5352</v>
      </c>
      <c r="E1607" s="43" t="s">
        <v>5353</v>
      </c>
      <c r="F1607" s="43" t="s">
        <v>675</v>
      </c>
      <c r="G1607" s="43" t="s">
        <v>152</v>
      </c>
      <c r="H1607" s="42" t="s">
        <v>5354</v>
      </c>
      <c r="I1607" s="18">
        <f t="shared" si="16"/>
        <v>45957</v>
      </c>
      <c r="J1607" s="19" t="s">
        <v>28</v>
      </c>
      <c r="K1607" s="19" t="s">
        <v>5170</v>
      </c>
      <c r="L1607" s="40"/>
    </row>
    <row r="1608" ht="22.5" customHeight="1">
      <c r="C1608" s="19" t="s">
        <v>5355</v>
      </c>
      <c r="D1608" s="39" t="s">
        <v>5299</v>
      </c>
      <c r="E1608" s="43" t="s">
        <v>5356</v>
      </c>
      <c r="F1608" s="43" t="s">
        <v>5357</v>
      </c>
      <c r="G1608" s="43" t="s">
        <v>26</v>
      </c>
      <c r="H1608" s="42" t="s">
        <v>5358</v>
      </c>
      <c r="I1608" s="18">
        <f t="shared" si="16"/>
        <v>45957</v>
      </c>
      <c r="J1608" s="19" t="s">
        <v>28</v>
      </c>
      <c r="K1608" s="19" t="s">
        <v>5170</v>
      </c>
      <c r="L1608" s="40"/>
    </row>
    <row r="1609" ht="22.5" customHeight="1">
      <c r="C1609" s="19" t="s">
        <v>5355</v>
      </c>
      <c r="D1609" s="39" t="s">
        <v>5301</v>
      </c>
      <c r="E1609" s="43" t="s">
        <v>5359</v>
      </c>
      <c r="F1609" s="43" t="s">
        <v>5360</v>
      </c>
      <c r="G1609" s="43" t="s">
        <v>126</v>
      </c>
      <c r="H1609" s="44">
        <v>9.545472852E9</v>
      </c>
      <c r="I1609" s="18">
        <f t="shared" si="16"/>
        <v>45957</v>
      </c>
      <c r="J1609" s="19" t="s">
        <v>28</v>
      </c>
      <c r="K1609" s="19" t="s">
        <v>5170</v>
      </c>
      <c r="L1609" s="40"/>
    </row>
    <row r="1610" ht="22.5" customHeight="1">
      <c r="C1610" s="19" t="s">
        <v>5355</v>
      </c>
      <c r="D1610" s="39" t="s">
        <v>5305</v>
      </c>
      <c r="E1610" s="43" t="s">
        <v>5361</v>
      </c>
      <c r="F1610" s="43" t="s">
        <v>5362</v>
      </c>
      <c r="G1610" s="43" t="s">
        <v>3988</v>
      </c>
      <c r="H1610" s="42" t="s">
        <v>5363</v>
      </c>
      <c r="I1610" s="18">
        <f t="shared" si="16"/>
        <v>45957</v>
      </c>
      <c r="J1610" s="19" t="s">
        <v>28</v>
      </c>
      <c r="K1610" s="19" t="s">
        <v>5170</v>
      </c>
      <c r="L1610" s="40"/>
    </row>
    <row r="1611" ht="22.5" customHeight="1">
      <c r="C1611" s="19" t="s">
        <v>5355</v>
      </c>
      <c r="D1611" s="39" t="s">
        <v>5308</v>
      </c>
      <c r="E1611" s="43" t="s">
        <v>5364</v>
      </c>
      <c r="F1611" s="43" t="s">
        <v>5365</v>
      </c>
      <c r="G1611" s="43" t="s">
        <v>915</v>
      </c>
      <c r="H1611" s="42" t="s">
        <v>5366</v>
      </c>
      <c r="I1611" s="18">
        <f t="shared" si="16"/>
        <v>45957</v>
      </c>
      <c r="J1611" s="19" t="s">
        <v>28</v>
      </c>
      <c r="K1611" s="19" t="s">
        <v>5170</v>
      </c>
      <c r="L1611" s="40"/>
    </row>
    <row r="1612" ht="22.5" customHeight="1">
      <c r="C1612" s="19" t="s">
        <v>5355</v>
      </c>
      <c r="D1612" s="39" t="s">
        <v>5312</v>
      </c>
      <c r="E1612" s="43" t="s">
        <v>5367</v>
      </c>
      <c r="F1612" s="43" t="s">
        <v>3982</v>
      </c>
      <c r="G1612" s="43" t="s">
        <v>52</v>
      </c>
      <c r="H1612" s="44">
        <v>3.057267647E9</v>
      </c>
      <c r="I1612" s="18">
        <f t="shared" si="16"/>
        <v>45957</v>
      </c>
      <c r="J1612" s="19" t="s">
        <v>28</v>
      </c>
      <c r="K1612" s="19" t="s">
        <v>5170</v>
      </c>
      <c r="L1612" s="40"/>
    </row>
    <row r="1613" ht="22.5" customHeight="1">
      <c r="C1613" s="19" t="s">
        <v>5355</v>
      </c>
      <c r="D1613" s="39" t="s">
        <v>5316</v>
      </c>
      <c r="E1613" s="43" t="s">
        <v>5368</v>
      </c>
      <c r="F1613" s="43" t="s">
        <v>5369</v>
      </c>
      <c r="G1613" s="43" t="s">
        <v>2336</v>
      </c>
      <c r="H1613" s="42" t="s">
        <v>5370</v>
      </c>
      <c r="I1613" s="18">
        <f t="shared" si="16"/>
        <v>45957</v>
      </c>
      <c r="J1613" s="19" t="s">
        <v>28</v>
      </c>
      <c r="K1613" s="19" t="s">
        <v>5170</v>
      </c>
      <c r="L1613" s="40"/>
    </row>
    <row r="1614" ht="22.5" customHeight="1">
      <c r="C1614" s="19" t="s">
        <v>5355</v>
      </c>
      <c r="D1614" s="39" t="s">
        <v>5320</v>
      </c>
      <c r="E1614" s="43" t="s">
        <v>5371</v>
      </c>
      <c r="F1614" s="43" t="s">
        <v>5372</v>
      </c>
      <c r="G1614" s="43" t="s">
        <v>113</v>
      </c>
      <c r="H1614" s="42" t="s">
        <v>5373</v>
      </c>
      <c r="I1614" s="18">
        <f t="shared" si="16"/>
        <v>45957</v>
      </c>
      <c r="J1614" s="19" t="s">
        <v>28</v>
      </c>
      <c r="K1614" s="19" t="s">
        <v>5170</v>
      </c>
      <c r="L1614" s="40"/>
    </row>
    <row r="1615" ht="22.5" customHeight="1">
      <c r="C1615" s="19" t="s">
        <v>5355</v>
      </c>
      <c r="D1615" s="39" t="s">
        <v>5324</v>
      </c>
      <c r="E1615" s="43" t="s">
        <v>5374</v>
      </c>
      <c r="F1615" s="43" t="s">
        <v>5375</v>
      </c>
      <c r="G1615" s="43" t="s">
        <v>360</v>
      </c>
      <c r="H1615" s="44">
        <v>7.867749425E9</v>
      </c>
      <c r="I1615" s="18">
        <f t="shared" si="16"/>
        <v>45957</v>
      </c>
      <c r="J1615" s="19" t="s">
        <v>28</v>
      </c>
      <c r="K1615" s="19" t="s">
        <v>5170</v>
      </c>
      <c r="L1615" s="40"/>
    </row>
    <row r="1616" ht="22.5" customHeight="1">
      <c r="C1616" s="19" t="s">
        <v>5355</v>
      </c>
      <c r="D1616" s="39" t="s">
        <v>5328</v>
      </c>
      <c r="E1616" s="43" t="s">
        <v>5376</v>
      </c>
      <c r="F1616" s="43" t="s">
        <v>5377</v>
      </c>
      <c r="G1616" s="43" t="s">
        <v>97</v>
      </c>
      <c r="H1616" s="42" t="s">
        <v>5378</v>
      </c>
      <c r="I1616" s="18">
        <f t="shared" si="16"/>
        <v>45957</v>
      </c>
      <c r="J1616" s="19" t="s">
        <v>28</v>
      </c>
      <c r="K1616" s="19" t="s">
        <v>5170</v>
      </c>
      <c r="L1616" s="40"/>
    </row>
    <row r="1617" ht="22.5" customHeight="1">
      <c r="C1617" s="19" t="s">
        <v>5355</v>
      </c>
      <c r="D1617" s="39" t="s">
        <v>5332</v>
      </c>
      <c r="E1617" s="43" t="s">
        <v>5379</v>
      </c>
      <c r="F1617" s="43" t="s">
        <v>5380</v>
      </c>
      <c r="G1617" s="43" t="s">
        <v>170</v>
      </c>
      <c r="H1617" s="44">
        <v>9.542895189E9</v>
      </c>
      <c r="I1617" s="18">
        <f t="shared" si="16"/>
        <v>45957</v>
      </c>
      <c r="J1617" s="19" t="s">
        <v>28</v>
      </c>
      <c r="K1617" s="19" t="s">
        <v>5170</v>
      </c>
      <c r="L1617" s="40"/>
    </row>
    <row r="1618" ht="22.5" customHeight="1">
      <c r="C1618" s="19" t="s">
        <v>5355</v>
      </c>
      <c r="D1618" s="39" t="s">
        <v>5335</v>
      </c>
      <c r="E1618" s="43" t="s">
        <v>5381</v>
      </c>
      <c r="F1618" s="43" t="s">
        <v>5382</v>
      </c>
      <c r="G1618" s="43" t="s">
        <v>67</v>
      </c>
      <c r="H1618" s="44">
        <v>9.545881243E9</v>
      </c>
      <c r="I1618" s="18">
        <f t="shared" si="16"/>
        <v>45957</v>
      </c>
      <c r="J1618" s="19" t="s">
        <v>28</v>
      </c>
      <c r="K1618" s="19" t="s">
        <v>5170</v>
      </c>
      <c r="L1618" s="40"/>
    </row>
    <row r="1619" ht="22.5" customHeight="1">
      <c r="C1619" s="19" t="s">
        <v>5383</v>
      </c>
      <c r="D1619" s="39" t="s">
        <v>5384</v>
      </c>
      <c r="E1619" s="43" t="s">
        <v>5385</v>
      </c>
      <c r="F1619" s="43" t="s">
        <v>5386</v>
      </c>
      <c r="G1619" s="43" t="s">
        <v>915</v>
      </c>
      <c r="H1619" s="42" t="s">
        <v>5387</v>
      </c>
      <c r="I1619" s="18">
        <f t="shared" si="16"/>
        <v>45957</v>
      </c>
      <c r="J1619" s="19" t="s">
        <v>28</v>
      </c>
      <c r="K1619" s="19" t="s">
        <v>5170</v>
      </c>
      <c r="L1619" s="40"/>
    </row>
    <row r="1620" ht="22.5" customHeight="1">
      <c r="C1620" s="19" t="s">
        <v>5383</v>
      </c>
      <c r="D1620" s="39" t="s">
        <v>5388</v>
      </c>
      <c r="E1620" s="43" t="s">
        <v>5389</v>
      </c>
      <c r="F1620" s="43" t="s">
        <v>5390</v>
      </c>
      <c r="G1620" s="43" t="s">
        <v>2000</v>
      </c>
      <c r="H1620" s="42" t="s">
        <v>5391</v>
      </c>
      <c r="I1620" s="18">
        <f t="shared" si="16"/>
        <v>45957</v>
      </c>
      <c r="J1620" s="19" t="s">
        <v>28</v>
      </c>
      <c r="K1620" s="19" t="s">
        <v>5170</v>
      </c>
      <c r="L1620" s="4" t="s">
        <v>99</v>
      </c>
    </row>
    <row r="1621" ht="22.5" customHeight="1">
      <c r="C1621" s="19" t="s">
        <v>5383</v>
      </c>
      <c r="D1621" s="39" t="s">
        <v>5392</v>
      </c>
      <c r="E1621" s="43" t="s">
        <v>5393</v>
      </c>
      <c r="F1621" s="43" t="s">
        <v>5394</v>
      </c>
      <c r="G1621" s="43" t="s">
        <v>622</v>
      </c>
      <c r="H1621" s="44">
        <v>2.396033153E9</v>
      </c>
      <c r="I1621" s="18">
        <f t="shared" si="16"/>
        <v>45957</v>
      </c>
      <c r="J1621" s="19" t="s">
        <v>28</v>
      </c>
      <c r="K1621" s="19" t="s">
        <v>5170</v>
      </c>
      <c r="L1621" s="40"/>
    </row>
    <row r="1622" ht="22.5" customHeight="1">
      <c r="C1622" s="19" t="s">
        <v>5383</v>
      </c>
      <c r="D1622" s="39" t="s">
        <v>5395</v>
      </c>
      <c r="E1622" s="43" t="s">
        <v>5396</v>
      </c>
      <c r="F1622" s="43" t="s">
        <v>5397</v>
      </c>
      <c r="G1622" s="43" t="s">
        <v>1318</v>
      </c>
      <c r="H1622" s="42" t="s">
        <v>5398</v>
      </c>
      <c r="I1622" s="18">
        <f t="shared" si="16"/>
        <v>45957</v>
      </c>
      <c r="J1622" s="19" t="s">
        <v>28</v>
      </c>
      <c r="K1622" s="19" t="s">
        <v>5170</v>
      </c>
      <c r="L1622" s="40"/>
    </row>
    <row r="1623" ht="22.5" customHeight="1">
      <c r="C1623" s="19" t="s">
        <v>5383</v>
      </c>
      <c r="D1623" s="39" t="s">
        <v>5399</v>
      </c>
      <c r="E1623" s="43" t="s">
        <v>5400</v>
      </c>
      <c r="F1623" s="43" t="s">
        <v>5401</v>
      </c>
      <c r="G1623" s="43" t="s">
        <v>727</v>
      </c>
      <c r="H1623" s="44">
        <v>7.542745088E9</v>
      </c>
      <c r="I1623" s="18">
        <f t="shared" si="16"/>
        <v>45957</v>
      </c>
      <c r="J1623" s="19" t="s">
        <v>28</v>
      </c>
      <c r="K1623" s="19" t="s">
        <v>5170</v>
      </c>
      <c r="L1623" s="40"/>
    </row>
    <row r="1624" ht="22.5" customHeight="1">
      <c r="C1624" s="19" t="s">
        <v>5383</v>
      </c>
      <c r="D1624" s="39" t="s">
        <v>5402</v>
      </c>
      <c r="E1624" s="43" t="s">
        <v>5403</v>
      </c>
      <c r="F1624" s="43" t="s">
        <v>5404</v>
      </c>
      <c r="G1624" s="43" t="s">
        <v>4507</v>
      </c>
      <c r="H1624" s="42" t="s">
        <v>5405</v>
      </c>
      <c r="I1624" s="18">
        <f t="shared" si="16"/>
        <v>45957</v>
      </c>
      <c r="J1624" s="19" t="s">
        <v>28</v>
      </c>
      <c r="K1624" s="19" t="s">
        <v>5170</v>
      </c>
      <c r="L1624" s="4" t="s">
        <v>148</v>
      </c>
    </row>
    <row r="1625" ht="22.5" customHeight="1">
      <c r="C1625" s="19" t="s">
        <v>5383</v>
      </c>
      <c r="D1625" s="39" t="s">
        <v>5406</v>
      </c>
      <c r="E1625" s="43" t="s">
        <v>5407</v>
      </c>
      <c r="F1625" s="43" t="s">
        <v>5408</v>
      </c>
      <c r="G1625" s="43" t="s">
        <v>886</v>
      </c>
      <c r="H1625" s="42" t="s">
        <v>5409</v>
      </c>
      <c r="I1625" s="18">
        <f t="shared" si="16"/>
        <v>45957</v>
      </c>
      <c r="J1625" s="19" t="s">
        <v>28</v>
      </c>
      <c r="K1625" s="19" t="s">
        <v>5170</v>
      </c>
      <c r="L1625" s="40"/>
    </row>
    <row r="1626" ht="22.5" customHeight="1">
      <c r="C1626" s="19" t="s">
        <v>5383</v>
      </c>
      <c r="D1626" s="39" t="s">
        <v>5410</v>
      </c>
      <c r="E1626" s="43" t="s">
        <v>5411</v>
      </c>
      <c r="F1626" s="43" t="s">
        <v>3017</v>
      </c>
      <c r="G1626" s="43" t="s">
        <v>346</v>
      </c>
      <c r="H1626" s="42" t="s">
        <v>5412</v>
      </c>
      <c r="I1626" s="18">
        <f t="shared" si="16"/>
        <v>45957</v>
      </c>
      <c r="J1626" s="19" t="s">
        <v>28</v>
      </c>
      <c r="K1626" s="19" t="s">
        <v>5170</v>
      </c>
      <c r="L1626" s="40"/>
    </row>
    <row r="1627" ht="22.5" customHeight="1">
      <c r="C1627" s="19" t="s">
        <v>5383</v>
      </c>
      <c r="D1627" s="39" t="s">
        <v>5413</v>
      </c>
      <c r="E1627" s="43" t="s">
        <v>5414</v>
      </c>
      <c r="F1627" s="43" t="s">
        <v>5415</v>
      </c>
      <c r="G1627" s="43" t="s">
        <v>301</v>
      </c>
      <c r="H1627" s="44">
        <v>9.547328245E9</v>
      </c>
      <c r="I1627" s="18">
        <f t="shared" si="16"/>
        <v>45957</v>
      </c>
      <c r="J1627" s="19" t="s">
        <v>28</v>
      </c>
      <c r="K1627" s="19" t="s">
        <v>5170</v>
      </c>
      <c r="L1627" s="40"/>
    </row>
    <row r="1628" ht="22.5" customHeight="1">
      <c r="C1628" s="19" t="s">
        <v>5383</v>
      </c>
      <c r="D1628" s="39" t="s">
        <v>5416</v>
      </c>
      <c r="E1628" s="43" t="s">
        <v>5417</v>
      </c>
      <c r="F1628" s="43" t="s">
        <v>5418</v>
      </c>
      <c r="G1628" s="43" t="s">
        <v>946</v>
      </c>
      <c r="H1628" s="42" t="s">
        <v>182</v>
      </c>
      <c r="I1628" s="18">
        <f t="shared" si="16"/>
        <v>45957</v>
      </c>
      <c r="J1628" s="19" t="s">
        <v>28</v>
      </c>
      <c r="K1628" s="19" t="s">
        <v>5170</v>
      </c>
      <c r="L1628" s="40"/>
    </row>
    <row r="1629" ht="22.5" customHeight="1">
      <c r="C1629" s="19" t="s">
        <v>5383</v>
      </c>
      <c r="D1629" s="39" t="s">
        <v>5419</v>
      </c>
      <c r="E1629" s="43" t="s">
        <v>5420</v>
      </c>
      <c r="F1629" s="43" t="s">
        <v>5421</v>
      </c>
      <c r="G1629" s="43" t="s">
        <v>118</v>
      </c>
      <c r="H1629" s="42" t="s">
        <v>5422</v>
      </c>
      <c r="I1629" s="18">
        <f t="shared" si="16"/>
        <v>45957</v>
      </c>
      <c r="J1629" s="19" t="s">
        <v>28</v>
      </c>
      <c r="K1629" s="19" t="s">
        <v>5170</v>
      </c>
      <c r="L1629" s="40"/>
    </row>
    <row r="1630" ht="22.5" customHeight="1">
      <c r="C1630" s="19" t="s">
        <v>5383</v>
      </c>
      <c r="D1630" s="39" t="s">
        <v>5423</v>
      </c>
      <c r="E1630" s="43" t="s">
        <v>5424</v>
      </c>
      <c r="F1630" s="43" t="s">
        <v>5425</v>
      </c>
      <c r="G1630" s="43" t="s">
        <v>97</v>
      </c>
      <c r="H1630" s="42" t="s">
        <v>5426</v>
      </c>
      <c r="I1630" s="18">
        <f t="shared" si="16"/>
        <v>45957</v>
      </c>
      <c r="J1630" s="19" t="s">
        <v>28</v>
      </c>
      <c r="K1630" s="19" t="s">
        <v>5170</v>
      </c>
      <c r="L1630" s="40"/>
    </row>
    <row r="1631" ht="22.5" customHeight="1">
      <c r="C1631" s="19" t="s">
        <v>5383</v>
      </c>
      <c r="D1631" s="39" t="s">
        <v>5427</v>
      </c>
      <c r="E1631" s="43" t="s">
        <v>5428</v>
      </c>
      <c r="F1631" s="43" t="s">
        <v>5429</v>
      </c>
      <c r="G1631" s="43" t="s">
        <v>3681</v>
      </c>
      <c r="H1631" s="42" t="s">
        <v>5430</v>
      </c>
      <c r="I1631" s="18">
        <f t="shared" si="16"/>
        <v>45957</v>
      </c>
      <c r="J1631" s="19" t="s">
        <v>28</v>
      </c>
      <c r="K1631" s="19" t="s">
        <v>5170</v>
      </c>
      <c r="L1631" s="40"/>
    </row>
    <row r="1632" ht="22.5" customHeight="1">
      <c r="C1632" s="19" t="s">
        <v>5383</v>
      </c>
      <c r="D1632" s="39" t="s">
        <v>5431</v>
      </c>
      <c r="E1632" s="43" t="s">
        <v>5432</v>
      </c>
      <c r="F1632" s="43" t="s">
        <v>5433</v>
      </c>
      <c r="G1632" s="43" t="s">
        <v>3364</v>
      </c>
      <c r="H1632" s="44">
        <v>8.333349987E9</v>
      </c>
      <c r="I1632" s="18">
        <f t="shared" si="16"/>
        <v>45957</v>
      </c>
      <c r="J1632" s="19" t="s">
        <v>28</v>
      </c>
      <c r="K1632" s="19" t="s">
        <v>5170</v>
      </c>
      <c r="L1632" s="40"/>
    </row>
    <row r="1633" ht="22.5" customHeight="1">
      <c r="C1633" s="19" t="s">
        <v>5383</v>
      </c>
      <c r="D1633" s="39" t="s">
        <v>5434</v>
      </c>
      <c r="E1633" s="43" t="s">
        <v>5435</v>
      </c>
      <c r="F1633" s="43" t="s">
        <v>5436</v>
      </c>
      <c r="G1633" s="43" t="s">
        <v>1819</v>
      </c>
      <c r="H1633" s="42" t="s">
        <v>5437</v>
      </c>
      <c r="I1633" s="18">
        <f t="shared" si="16"/>
        <v>45957</v>
      </c>
      <c r="J1633" s="19" t="s">
        <v>28</v>
      </c>
      <c r="K1633" s="19" t="s">
        <v>5170</v>
      </c>
      <c r="L1633" s="40"/>
    </row>
    <row r="1634" ht="22.5" customHeight="1">
      <c r="C1634" s="19" t="s">
        <v>5383</v>
      </c>
      <c r="D1634" s="39" t="s">
        <v>5438</v>
      </c>
      <c r="E1634" s="43" t="s">
        <v>5439</v>
      </c>
      <c r="F1634" s="43" t="s">
        <v>5440</v>
      </c>
      <c r="G1634" s="43" t="s">
        <v>5311</v>
      </c>
      <c r="H1634" s="42" t="s">
        <v>5441</v>
      </c>
      <c r="I1634" s="18">
        <f t="shared" si="16"/>
        <v>45957</v>
      </c>
      <c r="J1634" s="19" t="s">
        <v>28</v>
      </c>
      <c r="K1634" s="19" t="s">
        <v>5170</v>
      </c>
      <c r="L1634" s="40"/>
    </row>
    <row r="1635" ht="22.5" customHeight="1">
      <c r="C1635" s="19" t="s">
        <v>5383</v>
      </c>
      <c r="D1635" s="39" t="s">
        <v>5442</v>
      </c>
      <c r="E1635" s="43" t="s">
        <v>5443</v>
      </c>
      <c r="F1635" s="43" t="s">
        <v>5444</v>
      </c>
      <c r="G1635" s="43" t="s">
        <v>247</v>
      </c>
      <c r="H1635" s="42" t="s">
        <v>5445</v>
      </c>
      <c r="I1635" s="18">
        <f t="shared" si="16"/>
        <v>45957</v>
      </c>
      <c r="J1635" s="19" t="s">
        <v>28</v>
      </c>
      <c r="K1635" s="19" t="s">
        <v>5170</v>
      </c>
      <c r="L1635" s="40"/>
    </row>
    <row r="1636" ht="22.5" customHeight="1">
      <c r="C1636" s="19" t="s">
        <v>5383</v>
      </c>
      <c r="D1636" s="39" t="s">
        <v>5446</v>
      </c>
      <c r="E1636" s="43" t="s">
        <v>5447</v>
      </c>
      <c r="F1636" s="43" t="s">
        <v>5448</v>
      </c>
      <c r="G1636" s="43" t="s">
        <v>118</v>
      </c>
      <c r="H1636" s="44">
        <v>7.543173149E9</v>
      </c>
      <c r="I1636" s="18">
        <f t="shared" si="16"/>
        <v>45957</v>
      </c>
      <c r="J1636" s="19" t="s">
        <v>28</v>
      </c>
      <c r="K1636" s="19" t="s">
        <v>5170</v>
      </c>
      <c r="L1636" s="40"/>
    </row>
    <row r="1637" ht="22.5" customHeight="1">
      <c r="C1637" s="19" t="s">
        <v>5383</v>
      </c>
      <c r="D1637" s="39" t="s">
        <v>5449</v>
      </c>
      <c r="E1637" s="43" t="s">
        <v>5450</v>
      </c>
      <c r="F1637" s="43" t="s">
        <v>5451</v>
      </c>
      <c r="G1637" s="43" t="s">
        <v>103</v>
      </c>
      <c r="H1637" s="42" t="s">
        <v>5452</v>
      </c>
      <c r="I1637" s="18">
        <f t="shared" si="16"/>
        <v>45957</v>
      </c>
      <c r="J1637" s="19" t="s">
        <v>28</v>
      </c>
      <c r="K1637" s="19" t="s">
        <v>5170</v>
      </c>
      <c r="L1637" s="40"/>
    </row>
    <row r="1638" ht="22.5" customHeight="1">
      <c r="C1638" s="19" t="s">
        <v>5383</v>
      </c>
      <c r="D1638" s="39" t="s">
        <v>5453</v>
      </c>
      <c r="E1638" s="43" t="s">
        <v>5454</v>
      </c>
      <c r="F1638" s="43" t="s">
        <v>5455</v>
      </c>
      <c r="G1638" s="43" t="s">
        <v>26</v>
      </c>
      <c r="H1638" s="42" t="s">
        <v>5456</v>
      </c>
      <c r="I1638" s="18">
        <f t="shared" si="16"/>
        <v>45957</v>
      </c>
      <c r="J1638" s="19" t="s">
        <v>28</v>
      </c>
      <c r="K1638" s="19" t="s">
        <v>5170</v>
      </c>
      <c r="L1638" s="40"/>
    </row>
    <row r="1639" ht="22.5" customHeight="1">
      <c r="C1639" s="19" t="s">
        <v>5383</v>
      </c>
      <c r="D1639" s="39" t="s">
        <v>5457</v>
      </c>
      <c r="E1639" s="43" t="s">
        <v>5458</v>
      </c>
      <c r="F1639" s="43" t="s">
        <v>5459</v>
      </c>
      <c r="G1639" s="43" t="s">
        <v>2596</v>
      </c>
      <c r="H1639" s="42" t="s">
        <v>3486</v>
      </c>
      <c r="I1639" s="18">
        <f t="shared" si="16"/>
        <v>45957</v>
      </c>
      <c r="J1639" s="19" t="s">
        <v>28</v>
      </c>
      <c r="K1639" s="19" t="s">
        <v>5170</v>
      </c>
      <c r="L1639" s="40"/>
    </row>
    <row r="1640" ht="22.5" customHeight="1">
      <c r="C1640" s="19" t="s">
        <v>5383</v>
      </c>
      <c r="D1640" s="39" t="s">
        <v>5460</v>
      </c>
      <c r="E1640" s="43" t="s">
        <v>5461</v>
      </c>
      <c r="F1640" s="43" t="s">
        <v>658</v>
      </c>
      <c r="G1640" s="43" t="s">
        <v>3345</v>
      </c>
      <c r="H1640" s="44">
        <v>7.864571133E9</v>
      </c>
      <c r="I1640" s="18">
        <f t="shared" si="16"/>
        <v>45957</v>
      </c>
      <c r="J1640" s="19" t="s">
        <v>28</v>
      </c>
      <c r="K1640" s="19" t="s">
        <v>5170</v>
      </c>
      <c r="L1640" s="40"/>
    </row>
    <row r="1641" ht="22.5" customHeight="1">
      <c r="C1641" s="19" t="s">
        <v>5383</v>
      </c>
      <c r="D1641" s="39" t="s">
        <v>5462</v>
      </c>
      <c r="E1641" s="43" t="s">
        <v>5463</v>
      </c>
      <c r="F1641" s="43" t="s">
        <v>5464</v>
      </c>
      <c r="G1641" s="43" t="s">
        <v>62</v>
      </c>
      <c r="H1641" s="42" t="s">
        <v>5465</v>
      </c>
      <c r="I1641" s="18">
        <f t="shared" si="16"/>
        <v>45957</v>
      </c>
      <c r="J1641" s="19" t="s">
        <v>28</v>
      </c>
      <c r="K1641" s="19" t="s">
        <v>5170</v>
      </c>
      <c r="L1641" s="40"/>
    </row>
    <row r="1642" ht="22.5" customHeight="1">
      <c r="C1642" s="19" t="s">
        <v>5383</v>
      </c>
      <c r="D1642" s="39" t="s">
        <v>5466</v>
      </c>
      <c r="E1642" s="43" t="s">
        <v>5467</v>
      </c>
      <c r="F1642" s="43" t="s">
        <v>3464</v>
      </c>
      <c r="G1642" s="43" t="s">
        <v>421</v>
      </c>
      <c r="H1642" s="42" t="s">
        <v>5468</v>
      </c>
      <c r="I1642" s="18">
        <f t="shared" si="16"/>
        <v>45957</v>
      </c>
      <c r="J1642" s="19" t="s">
        <v>28</v>
      </c>
      <c r="K1642" s="19" t="s">
        <v>5170</v>
      </c>
      <c r="L1642" s="40"/>
    </row>
    <row r="1643" ht="22.5" customHeight="1">
      <c r="C1643" s="19" t="s">
        <v>5383</v>
      </c>
      <c r="D1643" s="39" t="s">
        <v>5469</v>
      </c>
      <c r="E1643" s="43" t="s">
        <v>5470</v>
      </c>
      <c r="F1643" s="43" t="s">
        <v>5471</v>
      </c>
      <c r="G1643" s="43" t="s">
        <v>333</v>
      </c>
      <c r="H1643" s="42" t="s">
        <v>5472</v>
      </c>
      <c r="I1643" s="18">
        <f t="shared" si="16"/>
        <v>45957</v>
      </c>
      <c r="J1643" s="19" t="s">
        <v>28</v>
      </c>
      <c r="K1643" s="19" t="s">
        <v>5170</v>
      </c>
      <c r="L1643" s="40"/>
    </row>
    <row r="1644" ht="22.5" customHeight="1">
      <c r="C1644" s="19" t="s">
        <v>5383</v>
      </c>
      <c r="D1644" s="39" t="s">
        <v>5473</v>
      </c>
      <c r="E1644" s="43" t="s">
        <v>5474</v>
      </c>
      <c r="F1644" s="43" t="s">
        <v>5475</v>
      </c>
      <c r="G1644" s="43" t="s">
        <v>1588</v>
      </c>
      <c r="H1644" s="44">
        <v>9.545297156E9</v>
      </c>
      <c r="I1644" s="18">
        <f t="shared" si="16"/>
        <v>45957</v>
      </c>
      <c r="J1644" s="19" t="s">
        <v>28</v>
      </c>
      <c r="K1644" s="19" t="s">
        <v>5170</v>
      </c>
      <c r="L1644" s="40"/>
    </row>
    <row r="1645" ht="22.5" customHeight="1">
      <c r="C1645" s="19" t="s">
        <v>5383</v>
      </c>
      <c r="D1645" s="39" t="s">
        <v>5476</v>
      </c>
      <c r="E1645" s="43" t="s">
        <v>5477</v>
      </c>
      <c r="F1645" s="43" t="s">
        <v>5478</v>
      </c>
      <c r="G1645" s="43" t="s">
        <v>152</v>
      </c>
      <c r="H1645" s="44">
        <v>9.545917105E9</v>
      </c>
      <c r="I1645" s="18">
        <f t="shared" si="16"/>
        <v>45957</v>
      </c>
      <c r="J1645" s="19" t="s">
        <v>28</v>
      </c>
      <c r="K1645" s="19" t="s">
        <v>5170</v>
      </c>
      <c r="L1645" s="40"/>
    </row>
    <row r="1646" ht="22.5" customHeight="1">
      <c r="C1646" s="19" t="s">
        <v>5383</v>
      </c>
      <c r="D1646" s="39" t="s">
        <v>5479</v>
      </c>
      <c r="E1646" s="43" t="s">
        <v>5480</v>
      </c>
      <c r="F1646" s="43" t="s">
        <v>5481</v>
      </c>
      <c r="G1646" s="43" t="s">
        <v>636</v>
      </c>
      <c r="H1646" s="44">
        <v>9.5491698E9</v>
      </c>
      <c r="I1646" s="18">
        <f t="shared" si="16"/>
        <v>45957</v>
      </c>
      <c r="J1646" s="19" t="s">
        <v>28</v>
      </c>
      <c r="K1646" s="19" t="s">
        <v>5170</v>
      </c>
      <c r="L1646" s="40"/>
    </row>
    <row r="1647" ht="22.5" customHeight="1">
      <c r="C1647" s="19" t="s">
        <v>5383</v>
      </c>
      <c r="D1647" s="39" t="s">
        <v>5482</v>
      </c>
      <c r="E1647" s="43" t="s">
        <v>5483</v>
      </c>
      <c r="F1647" s="43" t="s">
        <v>5484</v>
      </c>
      <c r="G1647" s="43" t="s">
        <v>170</v>
      </c>
      <c r="H1647" s="44">
        <v>3.055420571E9</v>
      </c>
      <c r="I1647" s="18">
        <f t="shared" si="16"/>
        <v>45957</v>
      </c>
      <c r="J1647" s="19" t="s">
        <v>28</v>
      </c>
      <c r="K1647" s="19" t="s">
        <v>5170</v>
      </c>
      <c r="L1647" s="40"/>
    </row>
    <row r="1648" ht="22.5" customHeight="1">
      <c r="C1648" s="19" t="s">
        <v>5383</v>
      </c>
      <c r="D1648" s="39" t="s">
        <v>5485</v>
      </c>
      <c r="E1648" s="43" t="s">
        <v>5486</v>
      </c>
      <c r="F1648" s="43" t="s">
        <v>5487</v>
      </c>
      <c r="G1648" s="43" t="s">
        <v>599</v>
      </c>
      <c r="H1648" s="44">
        <v>6.785203039E9</v>
      </c>
      <c r="I1648" s="18">
        <f t="shared" si="16"/>
        <v>45957</v>
      </c>
      <c r="J1648" s="19" t="s">
        <v>28</v>
      </c>
      <c r="K1648" s="19" t="s">
        <v>5170</v>
      </c>
      <c r="L1648" s="40"/>
    </row>
    <row r="1649" ht="22.5" customHeight="1">
      <c r="C1649" s="19" t="s">
        <v>5383</v>
      </c>
      <c r="D1649" s="39" t="s">
        <v>5488</v>
      </c>
      <c r="E1649" s="43" t="s">
        <v>5489</v>
      </c>
      <c r="F1649" s="43" t="s">
        <v>5490</v>
      </c>
      <c r="G1649" s="43" t="s">
        <v>360</v>
      </c>
      <c r="H1649" s="44">
        <v>9.5470615E9</v>
      </c>
      <c r="I1649" s="18">
        <f t="shared" si="16"/>
        <v>45957</v>
      </c>
      <c r="J1649" s="19" t="s">
        <v>28</v>
      </c>
      <c r="K1649" s="19" t="s">
        <v>5170</v>
      </c>
      <c r="L1649" s="40"/>
    </row>
    <row r="1650" ht="22.5" customHeight="1">
      <c r="C1650" s="19" t="s">
        <v>5383</v>
      </c>
      <c r="D1650" s="39" t="s">
        <v>5491</v>
      </c>
      <c r="E1650" s="43" t="s">
        <v>5492</v>
      </c>
      <c r="F1650" s="43" t="s">
        <v>5493</v>
      </c>
      <c r="G1650" s="43" t="s">
        <v>142</v>
      </c>
      <c r="H1650" s="44">
        <v>7.546009281E9</v>
      </c>
      <c r="I1650" s="18">
        <f t="shared" si="16"/>
        <v>45957</v>
      </c>
      <c r="J1650" s="19" t="s">
        <v>28</v>
      </c>
      <c r="K1650" s="19" t="s">
        <v>5170</v>
      </c>
      <c r="L1650" s="40"/>
    </row>
    <row r="1651" ht="22.5" customHeight="1">
      <c r="C1651" s="19" t="s">
        <v>5383</v>
      </c>
      <c r="D1651" s="39" t="s">
        <v>5494</v>
      </c>
      <c r="E1651" s="43" t="s">
        <v>5495</v>
      </c>
      <c r="F1651" s="43" t="s">
        <v>5496</v>
      </c>
      <c r="G1651" s="43" t="s">
        <v>131</v>
      </c>
      <c r="H1651" s="42" t="s">
        <v>5497</v>
      </c>
      <c r="I1651" s="18">
        <f t="shared" si="16"/>
        <v>45957</v>
      </c>
      <c r="J1651" s="19" t="s">
        <v>28</v>
      </c>
      <c r="K1651" s="19" t="s">
        <v>5170</v>
      </c>
      <c r="L1651" s="40"/>
    </row>
    <row r="1652" ht="22.5" customHeight="1">
      <c r="C1652" s="19" t="s">
        <v>5383</v>
      </c>
      <c r="D1652" s="39" t="s">
        <v>5498</v>
      </c>
      <c r="E1652" s="43" t="s">
        <v>5499</v>
      </c>
      <c r="F1652" s="43" t="s">
        <v>5500</v>
      </c>
      <c r="G1652" s="43" t="s">
        <v>67</v>
      </c>
      <c r="H1652" s="44">
        <v>9.54253049E9</v>
      </c>
      <c r="I1652" s="18">
        <f t="shared" si="16"/>
        <v>45957</v>
      </c>
      <c r="J1652" s="19" t="s">
        <v>28</v>
      </c>
      <c r="K1652" s="19" t="s">
        <v>5170</v>
      </c>
      <c r="L1652" s="40"/>
    </row>
    <row r="1653" ht="22.5" customHeight="1">
      <c r="C1653" s="19" t="s">
        <v>5383</v>
      </c>
      <c r="D1653" s="39" t="s">
        <v>5501</v>
      </c>
      <c r="E1653" s="43" t="s">
        <v>5502</v>
      </c>
      <c r="F1653" s="43" t="s">
        <v>5503</v>
      </c>
      <c r="G1653" s="43" t="s">
        <v>680</v>
      </c>
      <c r="H1653" s="42" t="s">
        <v>5504</v>
      </c>
      <c r="I1653" s="18">
        <f t="shared" si="16"/>
        <v>45957</v>
      </c>
      <c r="J1653" s="19" t="s">
        <v>28</v>
      </c>
      <c r="K1653" s="19" t="s">
        <v>5170</v>
      </c>
      <c r="L1653" s="40"/>
    </row>
    <row r="1654" ht="22.5" customHeight="1">
      <c r="C1654" s="19" t="s">
        <v>5383</v>
      </c>
      <c r="D1654" s="39" t="s">
        <v>5505</v>
      </c>
      <c r="E1654" s="43" t="s">
        <v>5506</v>
      </c>
      <c r="F1654" s="43" t="s">
        <v>5507</v>
      </c>
      <c r="G1654" s="43" t="s">
        <v>1777</v>
      </c>
      <c r="H1654" s="44">
        <v>9.545135216E9</v>
      </c>
      <c r="I1654" s="18">
        <f t="shared" si="16"/>
        <v>45957</v>
      </c>
      <c r="J1654" s="19" t="s">
        <v>28</v>
      </c>
      <c r="K1654" s="19" t="s">
        <v>5170</v>
      </c>
      <c r="L1654" s="40"/>
    </row>
    <row r="1655" ht="22.5" customHeight="1">
      <c r="C1655" s="19" t="s">
        <v>5383</v>
      </c>
      <c r="D1655" s="39" t="s">
        <v>5508</v>
      </c>
      <c r="E1655" s="43" t="s">
        <v>5509</v>
      </c>
      <c r="F1655" s="43" t="s">
        <v>5510</v>
      </c>
      <c r="G1655" s="43" t="s">
        <v>1060</v>
      </c>
      <c r="H1655" s="44">
        <v>2.404222262E9</v>
      </c>
      <c r="I1655" s="18">
        <f t="shared" si="16"/>
        <v>45957</v>
      </c>
      <c r="J1655" s="19" t="s">
        <v>28</v>
      </c>
      <c r="K1655" s="19" t="s">
        <v>5170</v>
      </c>
      <c r="L1655" s="40"/>
    </row>
    <row r="1656" ht="22.5" customHeight="1">
      <c r="C1656" s="19" t="s">
        <v>5383</v>
      </c>
      <c r="D1656" s="39" t="s">
        <v>5511</v>
      </c>
      <c r="E1656" s="43" t="s">
        <v>5512</v>
      </c>
      <c r="F1656" s="43" t="s">
        <v>5513</v>
      </c>
      <c r="G1656" s="43" t="s">
        <v>553</v>
      </c>
      <c r="H1656" s="42" t="s">
        <v>5514</v>
      </c>
      <c r="I1656" s="18">
        <f t="shared" si="16"/>
        <v>45957</v>
      </c>
      <c r="J1656" s="19" t="s">
        <v>28</v>
      </c>
      <c r="K1656" s="19" t="s">
        <v>5170</v>
      </c>
      <c r="L1656" s="40"/>
    </row>
    <row r="1657" ht="22.5" customHeight="1">
      <c r="C1657" s="19" t="s">
        <v>5383</v>
      </c>
      <c r="D1657" s="39" t="s">
        <v>5515</v>
      </c>
      <c r="E1657" s="43" t="s">
        <v>5516</v>
      </c>
      <c r="F1657" s="43" t="s">
        <v>5517</v>
      </c>
      <c r="G1657" s="43" t="s">
        <v>52</v>
      </c>
      <c r="H1657" s="42" t="s">
        <v>5518</v>
      </c>
      <c r="I1657" s="18">
        <f t="shared" si="16"/>
        <v>45957</v>
      </c>
      <c r="J1657" s="19" t="s">
        <v>28</v>
      </c>
      <c r="K1657" s="19" t="s">
        <v>5170</v>
      </c>
      <c r="L1657" s="40"/>
    </row>
    <row r="1658" ht="22.5" customHeight="1">
      <c r="C1658" s="19" t="s">
        <v>5383</v>
      </c>
      <c r="D1658" s="39" t="s">
        <v>5519</v>
      </c>
      <c r="E1658" s="43" t="s">
        <v>5520</v>
      </c>
      <c r="F1658" s="43" t="s">
        <v>5521</v>
      </c>
      <c r="G1658" s="43" t="s">
        <v>136</v>
      </c>
      <c r="H1658" s="42" t="s">
        <v>5522</v>
      </c>
      <c r="I1658" s="18">
        <f t="shared" si="16"/>
        <v>45957</v>
      </c>
      <c r="J1658" s="19" t="s">
        <v>28</v>
      </c>
      <c r="K1658" s="19" t="s">
        <v>5170</v>
      </c>
      <c r="L1658" s="40"/>
    </row>
    <row r="1659" ht="22.5" customHeight="1">
      <c r="C1659" s="19" t="s">
        <v>5383</v>
      </c>
      <c r="D1659" s="39" t="s">
        <v>5523</v>
      </c>
      <c r="E1659" s="43" t="s">
        <v>5524</v>
      </c>
      <c r="F1659" s="43" t="s">
        <v>3071</v>
      </c>
      <c r="G1659" s="43" t="s">
        <v>77</v>
      </c>
      <c r="H1659" s="42" t="s">
        <v>5525</v>
      </c>
      <c r="I1659" s="18">
        <f t="shared" si="16"/>
        <v>45957</v>
      </c>
      <c r="J1659" s="19" t="s">
        <v>28</v>
      </c>
      <c r="K1659" s="19" t="s">
        <v>5170</v>
      </c>
      <c r="L1659" s="40"/>
    </row>
    <row r="1660" ht="22.5" customHeight="1">
      <c r="C1660" s="19" t="s">
        <v>5383</v>
      </c>
      <c r="D1660" s="39" t="s">
        <v>5526</v>
      </c>
      <c r="E1660" s="43" t="s">
        <v>5527</v>
      </c>
      <c r="F1660" s="43" t="s">
        <v>5528</v>
      </c>
      <c r="G1660" s="43" t="s">
        <v>1976</v>
      </c>
      <c r="H1660" s="42" t="s">
        <v>5529</v>
      </c>
      <c r="I1660" s="18">
        <f t="shared" si="16"/>
        <v>45957</v>
      </c>
      <c r="J1660" s="19" t="s">
        <v>28</v>
      </c>
      <c r="K1660" s="19" t="s">
        <v>5170</v>
      </c>
      <c r="L1660" s="40"/>
    </row>
    <row r="1661" ht="22.5" customHeight="1">
      <c r="C1661" s="19" t="s">
        <v>5383</v>
      </c>
      <c r="D1661" s="39" t="s">
        <v>5530</v>
      </c>
      <c r="E1661" s="43" t="s">
        <v>5531</v>
      </c>
      <c r="F1661" s="43" t="s">
        <v>5532</v>
      </c>
      <c r="G1661" s="43" t="s">
        <v>72</v>
      </c>
      <c r="H1661" s="42" t="s">
        <v>5533</v>
      </c>
      <c r="I1661" s="18">
        <f t="shared" si="16"/>
        <v>45957</v>
      </c>
      <c r="J1661" s="19" t="s">
        <v>28</v>
      </c>
      <c r="K1661" s="19" t="s">
        <v>5170</v>
      </c>
      <c r="L1661" s="40"/>
    </row>
    <row r="1662" ht="22.5" customHeight="1">
      <c r="C1662" s="19" t="s">
        <v>5383</v>
      </c>
      <c r="D1662" s="39" t="s">
        <v>5534</v>
      </c>
      <c r="E1662" s="43" t="s">
        <v>5535</v>
      </c>
      <c r="F1662" s="43" t="s">
        <v>5536</v>
      </c>
      <c r="G1662" s="43" t="s">
        <v>126</v>
      </c>
      <c r="H1662" s="42" t="s">
        <v>5537</v>
      </c>
      <c r="I1662" s="18">
        <f t="shared" si="16"/>
        <v>45957</v>
      </c>
      <c r="J1662" s="19" t="s">
        <v>28</v>
      </c>
      <c r="K1662" s="19" t="s">
        <v>5170</v>
      </c>
      <c r="L1662" s="40"/>
    </row>
    <row r="1663" ht="22.5" customHeight="1">
      <c r="C1663" s="19" t="s">
        <v>5383</v>
      </c>
      <c r="D1663" s="39" t="s">
        <v>5538</v>
      </c>
      <c r="E1663" s="43" t="s">
        <v>5539</v>
      </c>
      <c r="F1663" s="43" t="s">
        <v>5540</v>
      </c>
      <c r="G1663" s="43" t="s">
        <v>57</v>
      </c>
      <c r="H1663" s="42" t="s">
        <v>5541</v>
      </c>
      <c r="I1663" s="18">
        <f t="shared" si="16"/>
        <v>45957</v>
      </c>
      <c r="J1663" s="19" t="s">
        <v>28</v>
      </c>
      <c r="K1663" s="19" t="s">
        <v>5170</v>
      </c>
      <c r="L1663" s="40"/>
    </row>
    <row r="1664" ht="22.5" customHeight="1">
      <c r="C1664" s="19" t="s">
        <v>5383</v>
      </c>
      <c r="D1664" s="39" t="s">
        <v>5542</v>
      </c>
      <c r="E1664" s="43" t="s">
        <v>5543</v>
      </c>
      <c r="F1664" s="43" t="s">
        <v>5544</v>
      </c>
      <c r="G1664" s="43" t="s">
        <v>47</v>
      </c>
      <c r="H1664" s="42" t="s">
        <v>5545</v>
      </c>
      <c r="I1664" s="18">
        <f t="shared" si="16"/>
        <v>45957</v>
      </c>
      <c r="J1664" s="19" t="s">
        <v>28</v>
      </c>
      <c r="K1664" s="19" t="s">
        <v>5170</v>
      </c>
      <c r="L1664" s="40"/>
    </row>
    <row r="1665" ht="22.5" customHeight="1">
      <c r="C1665" s="19" t="s">
        <v>5546</v>
      </c>
      <c r="D1665" s="39" t="s">
        <v>5547</v>
      </c>
      <c r="E1665" s="43" t="s">
        <v>5548</v>
      </c>
      <c r="F1665" s="43" t="s">
        <v>1095</v>
      </c>
      <c r="G1665" s="43" t="s">
        <v>4433</v>
      </c>
      <c r="H1665" s="44">
        <v>3.059925056E9</v>
      </c>
      <c r="I1665" s="18">
        <f t="shared" si="16"/>
        <v>45957</v>
      </c>
      <c r="J1665" s="19" t="s">
        <v>28</v>
      </c>
      <c r="K1665" s="19" t="s">
        <v>5170</v>
      </c>
      <c r="L1665" s="40"/>
    </row>
    <row r="1666" ht="22.5" customHeight="1">
      <c r="C1666" s="19" t="s">
        <v>5546</v>
      </c>
      <c r="D1666" s="39" t="s">
        <v>5549</v>
      </c>
      <c r="E1666" s="43" t="s">
        <v>5550</v>
      </c>
      <c r="F1666" s="43" t="s">
        <v>5551</v>
      </c>
      <c r="G1666" s="43" t="s">
        <v>915</v>
      </c>
      <c r="H1666" s="44">
        <v>7.866121579E9</v>
      </c>
      <c r="I1666" s="18">
        <f t="shared" si="16"/>
        <v>45957</v>
      </c>
      <c r="J1666" s="19" t="s">
        <v>28</v>
      </c>
      <c r="K1666" s="19" t="s">
        <v>5170</v>
      </c>
      <c r="L1666" s="40"/>
    </row>
    <row r="1667" ht="22.5" customHeight="1">
      <c r="C1667" s="19" t="s">
        <v>5546</v>
      </c>
      <c r="D1667" s="39" t="s">
        <v>5552</v>
      </c>
      <c r="E1667" s="43" t="s">
        <v>5553</v>
      </c>
      <c r="F1667" s="43" t="s">
        <v>5554</v>
      </c>
      <c r="G1667" s="43" t="s">
        <v>82</v>
      </c>
      <c r="H1667" s="42" t="s">
        <v>5555</v>
      </c>
      <c r="I1667" s="18">
        <f t="shared" si="16"/>
        <v>45957</v>
      </c>
      <c r="J1667" s="19" t="s">
        <v>28</v>
      </c>
      <c r="K1667" s="19" t="s">
        <v>5170</v>
      </c>
      <c r="L1667" s="40"/>
    </row>
    <row r="1668" ht="22.5" customHeight="1">
      <c r="C1668" s="19" t="s">
        <v>5546</v>
      </c>
      <c r="D1668" s="39" t="s">
        <v>5556</v>
      </c>
      <c r="E1668" s="43" t="s">
        <v>5557</v>
      </c>
      <c r="F1668" s="43" t="s">
        <v>5558</v>
      </c>
      <c r="G1668" s="43" t="s">
        <v>680</v>
      </c>
      <c r="H1668" s="42" t="s">
        <v>5559</v>
      </c>
      <c r="I1668" s="18">
        <f t="shared" si="16"/>
        <v>45957</v>
      </c>
      <c r="J1668" s="19" t="s">
        <v>28</v>
      </c>
      <c r="K1668" s="19" t="s">
        <v>5170</v>
      </c>
      <c r="L1668" s="40"/>
    </row>
    <row r="1669" ht="22.5" customHeight="1">
      <c r="C1669" s="19" t="s">
        <v>5546</v>
      </c>
      <c r="D1669" s="39" t="s">
        <v>5560</v>
      </c>
      <c r="E1669" s="43" t="s">
        <v>5561</v>
      </c>
      <c r="F1669" s="43" t="s">
        <v>5562</v>
      </c>
      <c r="G1669" s="43" t="s">
        <v>5563</v>
      </c>
      <c r="H1669" s="42" t="s">
        <v>5564</v>
      </c>
      <c r="I1669" s="18">
        <f t="shared" si="16"/>
        <v>45957</v>
      </c>
      <c r="J1669" s="19" t="s">
        <v>28</v>
      </c>
      <c r="K1669" s="19" t="s">
        <v>5170</v>
      </c>
      <c r="L1669" s="40"/>
    </row>
    <row r="1670" ht="22.5" customHeight="1">
      <c r="C1670" s="19" t="s">
        <v>5546</v>
      </c>
      <c r="D1670" s="39" t="s">
        <v>5565</v>
      </c>
      <c r="E1670" s="43" t="s">
        <v>5566</v>
      </c>
      <c r="F1670" s="43" t="s">
        <v>5567</v>
      </c>
      <c r="G1670" s="43" t="s">
        <v>170</v>
      </c>
      <c r="H1670" s="42" t="s">
        <v>5568</v>
      </c>
      <c r="I1670" s="18">
        <f t="shared" si="16"/>
        <v>45957</v>
      </c>
      <c r="J1670" s="19" t="s">
        <v>28</v>
      </c>
      <c r="K1670" s="19" t="s">
        <v>5170</v>
      </c>
      <c r="L1670" s="40"/>
    </row>
    <row r="1671" ht="22.5" customHeight="1">
      <c r="C1671" s="19" t="s">
        <v>5546</v>
      </c>
      <c r="D1671" s="39" t="s">
        <v>5569</v>
      </c>
      <c r="E1671" s="43" t="s">
        <v>5570</v>
      </c>
      <c r="F1671" s="43" t="s">
        <v>5571</v>
      </c>
      <c r="G1671" s="43" t="s">
        <v>982</v>
      </c>
      <c r="H1671" s="42" t="s">
        <v>5572</v>
      </c>
      <c r="I1671" s="18">
        <f t="shared" si="16"/>
        <v>45957</v>
      </c>
      <c r="J1671" s="19" t="s">
        <v>28</v>
      </c>
      <c r="K1671" s="19" t="s">
        <v>5170</v>
      </c>
      <c r="L1671" s="40"/>
    </row>
    <row r="1672" ht="22.5" customHeight="1">
      <c r="C1672" s="19" t="s">
        <v>5546</v>
      </c>
      <c r="D1672" s="39" t="s">
        <v>5573</v>
      </c>
      <c r="E1672" s="43" t="s">
        <v>5574</v>
      </c>
      <c r="F1672" s="43" t="s">
        <v>5575</v>
      </c>
      <c r="G1672" s="43" t="s">
        <v>654</v>
      </c>
      <c r="H1672" s="42" t="s">
        <v>182</v>
      </c>
      <c r="I1672" s="18">
        <f t="shared" si="16"/>
        <v>45957</v>
      </c>
      <c r="J1672" s="19" t="s">
        <v>28</v>
      </c>
      <c r="K1672" s="19" t="s">
        <v>5170</v>
      </c>
      <c r="L1672" s="40"/>
    </row>
    <row r="1673" ht="22.5" customHeight="1">
      <c r="C1673" s="19" t="s">
        <v>5546</v>
      </c>
      <c r="D1673" s="39" t="s">
        <v>5576</v>
      </c>
      <c r="E1673" s="43" t="s">
        <v>5577</v>
      </c>
      <c r="F1673" s="43" t="s">
        <v>5578</v>
      </c>
      <c r="G1673" s="43" t="s">
        <v>3681</v>
      </c>
      <c r="H1673" s="44">
        <v>3.866271915E9</v>
      </c>
      <c r="I1673" s="18">
        <f t="shared" si="16"/>
        <v>45957</v>
      </c>
      <c r="J1673" s="19" t="s">
        <v>28</v>
      </c>
      <c r="K1673" s="19" t="s">
        <v>5170</v>
      </c>
      <c r="L1673" s="40"/>
    </row>
    <row r="1674" ht="22.5" customHeight="1">
      <c r="C1674" s="19" t="s">
        <v>5546</v>
      </c>
      <c r="D1674" s="39" t="s">
        <v>5579</v>
      </c>
      <c r="E1674" s="43" t="s">
        <v>5580</v>
      </c>
      <c r="F1674" s="43" t="s">
        <v>5581</v>
      </c>
      <c r="G1674" s="43" t="s">
        <v>2000</v>
      </c>
      <c r="H1674" s="42" t="s">
        <v>5582</v>
      </c>
      <c r="I1674" s="18">
        <f t="shared" si="16"/>
        <v>45957</v>
      </c>
      <c r="J1674" s="19" t="s">
        <v>28</v>
      </c>
      <c r="K1674" s="19" t="s">
        <v>5170</v>
      </c>
      <c r="L1674" s="40"/>
    </row>
    <row r="1675" ht="22.5" customHeight="1">
      <c r="C1675" s="19" t="s">
        <v>5546</v>
      </c>
      <c r="D1675" s="39" t="s">
        <v>5583</v>
      </c>
      <c r="E1675" s="43" t="s">
        <v>5584</v>
      </c>
      <c r="F1675" s="43" t="s">
        <v>5585</v>
      </c>
      <c r="G1675" s="43" t="s">
        <v>540</v>
      </c>
      <c r="H1675" s="42" t="s">
        <v>5586</v>
      </c>
      <c r="I1675" s="18">
        <f t="shared" si="16"/>
        <v>45957</v>
      </c>
      <c r="J1675" s="19" t="s">
        <v>28</v>
      </c>
      <c r="K1675" s="19" t="s">
        <v>5170</v>
      </c>
      <c r="L1675" s="40"/>
    </row>
    <row r="1676" ht="22.5" customHeight="1">
      <c r="C1676" s="19" t="s">
        <v>5546</v>
      </c>
      <c r="D1676" s="39" t="s">
        <v>5587</v>
      </c>
      <c r="E1676" s="43" t="s">
        <v>5588</v>
      </c>
      <c r="F1676" s="43" t="s">
        <v>5589</v>
      </c>
      <c r="G1676" s="43" t="s">
        <v>333</v>
      </c>
      <c r="H1676" s="44">
        <v>9.543949952E9</v>
      </c>
      <c r="I1676" s="18">
        <f t="shared" si="16"/>
        <v>45957</v>
      </c>
      <c r="J1676" s="19" t="s">
        <v>28</v>
      </c>
      <c r="K1676" s="19" t="s">
        <v>5170</v>
      </c>
      <c r="L1676" s="40"/>
    </row>
    <row r="1677" ht="22.5" customHeight="1">
      <c r="C1677" s="19" t="s">
        <v>5546</v>
      </c>
      <c r="D1677" s="39" t="s">
        <v>5590</v>
      </c>
      <c r="E1677" s="43" t="s">
        <v>5591</v>
      </c>
      <c r="F1677" s="43" t="s">
        <v>5592</v>
      </c>
      <c r="G1677" s="43" t="s">
        <v>1230</v>
      </c>
      <c r="H1677" s="44">
        <v>9.542009399E9</v>
      </c>
      <c r="I1677" s="18">
        <f t="shared" si="16"/>
        <v>45957</v>
      </c>
      <c r="J1677" s="19" t="s">
        <v>28</v>
      </c>
      <c r="K1677" s="19" t="s">
        <v>5170</v>
      </c>
      <c r="L1677" s="40"/>
    </row>
    <row r="1678" ht="22.5" customHeight="1">
      <c r="C1678" s="19" t="s">
        <v>5546</v>
      </c>
      <c r="D1678" s="39" t="s">
        <v>5593</v>
      </c>
      <c r="E1678" s="43" t="s">
        <v>5594</v>
      </c>
      <c r="F1678" s="43" t="s">
        <v>5595</v>
      </c>
      <c r="G1678" s="43" t="s">
        <v>72</v>
      </c>
      <c r="H1678" s="42" t="s">
        <v>5596</v>
      </c>
      <c r="I1678" s="18">
        <f t="shared" si="16"/>
        <v>45957</v>
      </c>
      <c r="J1678" s="19" t="s">
        <v>28</v>
      </c>
      <c r="K1678" s="19" t="s">
        <v>5170</v>
      </c>
      <c r="L1678" s="40"/>
    </row>
    <row r="1679" ht="22.5" customHeight="1">
      <c r="C1679" s="19" t="s">
        <v>5546</v>
      </c>
      <c r="D1679" s="39" t="s">
        <v>5597</v>
      </c>
      <c r="E1679" s="43" t="s">
        <v>5598</v>
      </c>
      <c r="F1679" s="43" t="s">
        <v>5599</v>
      </c>
      <c r="G1679" s="43" t="s">
        <v>2596</v>
      </c>
      <c r="H1679" s="42" t="s">
        <v>5600</v>
      </c>
      <c r="I1679" s="18">
        <f t="shared" si="16"/>
        <v>45957</v>
      </c>
      <c r="J1679" s="19" t="s">
        <v>28</v>
      </c>
      <c r="K1679" s="19" t="s">
        <v>5170</v>
      </c>
      <c r="L1679" s="40"/>
    </row>
    <row r="1680" ht="22.5" customHeight="1">
      <c r="C1680" s="19" t="s">
        <v>5546</v>
      </c>
      <c r="D1680" s="39" t="s">
        <v>5601</v>
      </c>
      <c r="E1680" s="43" t="s">
        <v>5602</v>
      </c>
      <c r="F1680" s="43" t="s">
        <v>5603</v>
      </c>
      <c r="G1680" s="43" t="s">
        <v>97</v>
      </c>
      <c r="H1680" s="42" t="s">
        <v>5604</v>
      </c>
      <c r="I1680" s="18">
        <f t="shared" si="16"/>
        <v>45957</v>
      </c>
      <c r="J1680" s="19" t="s">
        <v>28</v>
      </c>
      <c r="K1680" s="19" t="s">
        <v>5170</v>
      </c>
      <c r="L1680" s="40"/>
    </row>
    <row r="1681" ht="22.5" customHeight="1">
      <c r="C1681" s="19" t="s">
        <v>5546</v>
      </c>
      <c r="D1681" s="39" t="s">
        <v>5605</v>
      </c>
      <c r="E1681" s="43" t="s">
        <v>5606</v>
      </c>
      <c r="F1681" s="43" t="s">
        <v>2951</v>
      </c>
      <c r="G1681" s="43" t="s">
        <v>77</v>
      </c>
      <c r="H1681" s="42" t="s">
        <v>5607</v>
      </c>
      <c r="I1681" s="18">
        <f t="shared" si="16"/>
        <v>45957</v>
      </c>
      <c r="J1681" s="19" t="s">
        <v>28</v>
      </c>
      <c r="K1681" s="19" t="s">
        <v>5170</v>
      </c>
      <c r="L1681" s="40"/>
    </row>
    <row r="1682" ht="22.5" customHeight="1">
      <c r="C1682" s="19" t="s">
        <v>5546</v>
      </c>
      <c r="D1682" s="39" t="s">
        <v>5608</v>
      </c>
      <c r="E1682" s="43" t="s">
        <v>5609</v>
      </c>
      <c r="F1682" s="43" t="s">
        <v>5610</v>
      </c>
      <c r="G1682" s="43" t="s">
        <v>3751</v>
      </c>
      <c r="H1682" s="44">
        <v>9.543476146E9</v>
      </c>
      <c r="I1682" s="18">
        <f t="shared" si="16"/>
        <v>45957</v>
      </c>
      <c r="J1682" s="19" t="s">
        <v>28</v>
      </c>
      <c r="K1682" s="19" t="s">
        <v>5170</v>
      </c>
      <c r="L1682" s="40"/>
    </row>
    <row r="1683" ht="22.5" customHeight="1">
      <c r="C1683" s="19" t="s">
        <v>5546</v>
      </c>
      <c r="D1683" s="39" t="s">
        <v>5611</v>
      </c>
      <c r="E1683" s="43" t="s">
        <v>5612</v>
      </c>
      <c r="F1683" s="43" t="s">
        <v>5451</v>
      </c>
      <c r="G1683" s="43" t="s">
        <v>103</v>
      </c>
      <c r="H1683" s="42" t="s">
        <v>5613</v>
      </c>
      <c r="I1683" s="18">
        <f t="shared" si="16"/>
        <v>45957</v>
      </c>
      <c r="J1683" s="19" t="s">
        <v>28</v>
      </c>
      <c r="K1683" s="19" t="s">
        <v>5170</v>
      </c>
      <c r="L1683" s="40"/>
    </row>
    <row r="1684" ht="22.5" customHeight="1">
      <c r="C1684" s="19" t="s">
        <v>5546</v>
      </c>
      <c r="D1684" s="39" t="s">
        <v>5614</v>
      </c>
      <c r="E1684" s="43" t="s">
        <v>5615</v>
      </c>
      <c r="F1684" s="43" t="s">
        <v>5616</v>
      </c>
      <c r="G1684" s="43" t="s">
        <v>52</v>
      </c>
      <c r="H1684" s="44">
        <v>7.864315016E9</v>
      </c>
      <c r="I1684" s="18">
        <f t="shared" si="16"/>
        <v>45957</v>
      </c>
      <c r="J1684" s="19" t="s">
        <v>28</v>
      </c>
      <c r="K1684" s="19" t="s">
        <v>5170</v>
      </c>
      <c r="L1684" s="40"/>
    </row>
    <row r="1685" ht="22.5" customHeight="1">
      <c r="C1685" s="19" t="s">
        <v>5546</v>
      </c>
      <c r="D1685" s="39" t="s">
        <v>5617</v>
      </c>
      <c r="E1685" s="43" t="s">
        <v>5618</v>
      </c>
      <c r="F1685" s="43" t="s">
        <v>5619</v>
      </c>
      <c r="G1685" s="43" t="s">
        <v>333</v>
      </c>
      <c r="H1685" s="44">
        <v>9.547876453E9</v>
      </c>
      <c r="I1685" s="18">
        <f t="shared" si="16"/>
        <v>45957</v>
      </c>
      <c r="J1685" s="19" t="s">
        <v>28</v>
      </c>
      <c r="K1685" s="19" t="s">
        <v>5170</v>
      </c>
      <c r="L1685" s="40"/>
    </row>
    <row r="1686" ht="22.5" customHeight="1">
      <c r="C1686" s="19" t="s">
        <v>5546</v>
      </c>
      <c r="D1686" s="39" t="s">
        <v>5620</v>
      </c>
      <c r="E1686" s="43" t="s">
        <v>5621</v>
      </c>
      <c r="F1686" s="43" t="s">
        <v>5622</v>
      </c>
      <c r="G1686" s="43" t="s">
        <v>4360</v>
      </c>
      <c r="H1686" s="42" t="s">
        <v>5623</v>
      </c>
      <c r="I1686" s="18">
        <f t="shared" si="16"/>
        <v>45957</v>
      </c>
      <c r="J1686" s="19" t="s">
        <v>28</v>
      </c>
      <c r="K1686" s="19" t="s">
        <v>5170</v>
      </c>
      <c r="L1686" s="40"/>
    </row>
    <row r="1687" ht="22.5" customHeight="1">
      <c r="C1687" s="19" t="s">
        <v>5546</v>
      </c>
      <c r="D1687" s="39" t="s">
        <v>5624</v>
      </c>
      <c r="E1687" s="43" t="s">
        <v>5625</v>
      </c>
      <c r="F1687" s="43" t="s">
        <v>5626</v>
      </c>
      <c r="G1687" s="43" t="s">
        <v>599</v>
      </c>
      <c r="H1687" s="42" t="s">
        <v>5627</v>
      </c>
      <c r="I1687" s="18">
        <f t="shared" si="16"/>
        <v>45957</v>
      </c>
      <c r="J1687" s="19" t="s">
        <v>28</v>
      </c>
      <c r="K1687" s="19" t="s">
        <v>5170</v>
      </c>
      <c r="L1687" s="40"/>
    </row>
    <row r="1688" ht="22.5" customHeight="1">
      <c r="C1688" s="19" t="s">
        <v>5546</v>
      </c>
      <c r="D1688" s="39" t="s">
        <v>5628</v>
      </c>
      <c r="E1688" s="43" t="s">
        <v>5629</v>
      </c>
      <c r="F1688" s="43" t="s">
        <v>5630</v>
      </c>
      <c r="G1688" s="43" t="s">
        <v>377</v>
      </c>
      <c r="H1688" s="44">
        <v>3.057134153E9</v>
      </c>
      <c r="I1688" s="18">
        <f t="shared" si="16"/>
        <v>45957</v>
      </c>
      <c r="J1688" s="19" t="s">
        <v>28</v>
      </c>
      <c r="K1688" s="19" t="s">
        <v>5170</v>
      </c>
      <c r="L1688" s="40"/>
    </row>
    <row r="1689" ht="22.5" customHeight="1">
      <c r="C1689" s="19" t="s">
        <v>5546</v>
      </c>
      <c r="D1689" s="39" t="s">
        <v>5631</v>
      </c>
      <c r="E1689" s="43" t="s">
        <v>5632</v>
      </c>
      <c r="F1689" s="43" t="s">
        <v>5633</v>
      </c>
      <c r="G1689" s="43" t="s">
        <v>1370</v>
      </c>
      <c r="H1689" s="42" t="s">
        <v>5634</v>
      </c>
      <c r="I1689" s="18">
        <f t="shared" si="16"/>
        <v>45957</v>
      </c>
      <c r="J1689" s="19" t="s">
        <v>28</v>
      </c>
      <c r="K1689" s="19" t="s">
        <v>5170</v>
      </c>
      <c r="L1689" s="40"/>
    </row>
    <row r="1690" ht="22.5" customHeight="1">
      <c r="C1690" s="19" t="s">
        <v>5546</v>
      </c>
      <c r="D1690" s="39" t="s">
        <v>5635</v>
      </c>
      <c r="E1690" s="43" t="s">
        <v>5636</v>
      </c>
      <c r="F1690" s="43" t="s">
        <v>5637</v>
      </c>
      <c r="G1690" s="43" t="s">
        <v>636</v>
      </c>
      <c r="H1690" s="42" t="s">
        <v>5638</v>
      </c>
      <c r="I1690" s="18">
        <f t="shared" si="16"/>
        <v>45957</v>
      </c>
      <c r="J1690" s="19" t="s">
        <v>28</v>
      </c>
      <c r="K1690" s="19" t="s">
        <v>5170</v>
      </c>
      <c r="L1690" s="40"/>
    </row>
    <row r="1691" ht="22.5" customHeight="1">
      <c r="C1691" s="19" t="s">
        <v>5546</v>
      </c>
      <c r="D1691" s="39" t="s">
        <v>5639</v>
      </c>
      <c r="E1691" s="43" t="s">
        <v>5640</v>
      </c>
      <c r="F1691" s="43" t="s">
        <v>5640</v>
      </c>
      <c r="G1691" s="43" t="s">
        <v>26</v>
      </c>
      <c r="H1691" s="42" t="s">
        <v>5641</v>
      </c>
      <c r="I1691" s="18">
        <f t="shared" si="16"/>
        <v>45957</v>
      </c>
      <c r="J1691" s="19" t="s">
        <v>28</v>
      </c>
      <c r="K1691" s="19" t="s">
        <v>5170</v>
      </c>
      <c r="L1691" s="40"/>
    </row>
    <row r="1692" ht="22.5" customHeight="1">
      <c r="C1692" s="19" t="s">
        <v>5546</v>
      </c>
      <c r="D1692" s="39" t="s">
        <v>5642</v>
      </c>
      <c r="E1692" s="43" t="s">
        <v>5643</v>
      </c>
      <c r="F1692" s="43" t="s">
        <v>5644</v>
      </c>
      <c r="G1692" s="43" t="s">
        <v>152</v>
      </c>
      <c r="H1692" s="42" t="s">
        <v>5645</v>
      </c>
      <c r="I1692" s="18">
        <f t="shared" si="16"/>
        <v>45957</v>
      </c>
      <c r="J1692" s="19" t="s">
        <v>28</v>
      </c>
      <c r="K1692" s="19" t="s">
        <v>5170</v>
      </c>
      <c r="L1692" s="40"/>
    </row>
    <row r="1693" ht="22.5" customHeight="1">
      <c r="C1693" s="19" t="s">
        <v>5546</v>
      </c>
      <c r="D1693" s="39" t="s">
        <v>5646</v>
      </c>
      <c r="E1693" s="43" t="s">
        <v>5647</v>
      </c>
      <c r="F1693" s="43" t="s">
        <v>5648</v>
      </c>
      <c r="G1693" s="43" t="s">
        <v>360</v>
      </c>
      <c r="H1693" s="42" t="s">
        <v>5649</v>
      </c>
      <c r="I1693" s="18">
        <f t="shared" si="16"/>
        <v>45957</v>
      </c>
      <c r="J1693" s="19" t="s">
        <v>28</v>
      </c>
      <c r="K1693" s="19" t="s">
        <v>5170</v>
      </c>
      <c r="L1693" s="40"/>
    </row>
    <row r="1694" ht="22.5" customHeight="1">
      <c r="C1694" s="19" t="s">
        <v>5546</v>
      </c>
      <c r="D1694" s="39" t="s">
        <v>5650</v>
      </c>
      <c r="E1694" s="43" t="s">
        <v>5651</v>
      </c>
      <c r="F1694" s="43" t="s">
        <v>5652</v>
      </c>
      <c r="G1694" s="43" t="s">
        <v>224</v>
      </c>
      <c r="H1694" s="44">
        <v>9.54763555E9</v>
      </c>
      <c r="I1694" s="18">
        <f t="shared" si="16"/>
        <v>45957</v>
      </c>
      <c r="J1694" s="19" t="s">
        <v>28</v>
      </c>
      <c r="K1694" s="19" t="s">
        <v>5170</v>
      </c>
      <c r="L1694" s="40"/>
    </row>
    <row r="1695" ht="22.5" customHeight="1">
      <c r="C1695" s="19" t="s">
        <v>5546</v>
      </c>
      <c r="D1695" s="39" t="s">
        <v>5653</v>
      </c>
      <c r="E1695" s="43" t="s">
        <v>5654</v>
      </c>
      <c r="F1695" s="43" t="s">
        <v>5655</v>
      </c>
      <c r="G1695" s="43" t="s">
        <v>421</v>
      </c>
      <c r="H1695" s="44">
        <v>9.549473838E9</v>
      </c>
      <c r="I1695" s="18">
        <f t="shared" si="16"/>
        <v>45957</v>
      </c>
      <c r="J1695" s="19" t="s">
        <v>28</v>
      </c>
      <c r="K1695" s="19" t="s">
        <v>5170</v>
      </c>
      <c r="L1695" s="40"/>
    </row>
    <row r="1696" ht="22.5" customHeight="1">
      <c r="C1696" s="19" t="s">
        <v>5546</v>
      </c>
      <c r="D1696" s="39" t="s">
        <v>5656</v>
      </c>
      <c r="E1696" s="43" t="s">
        <v>5657</v>
      </c>
      <c r="F1696" s="43" t="s">
        <v>5658</v>
      </c>
      <c r="G1696" s="43" t="s">
        <v>67</v>
      </c>
      <c r="H1696" s="42" t="s">
        <v>5659</v>
      </c>
      <c r="I1696" s="18">
        <f t="shared" si="16"/>
        <v>45957</v>
      </c>
      <c r="J1696" s="19" t="s">
        <v>28</v>
      </c>
      <c r="K1696" s="19" t="s">
        <v>5170</v>
      </c>
      <c r="L1696" s="40"/>
    </row>
    <row r="1697" ht="22.5" customHeight="1">
      <c r="C1697" s="19" t="s">
        <v>5546</v>
      </c>
      <c r="D1697" s="39" t="s">
        <v>5660</v>
      </c>
      <c r="E1697" s="43" t="s">
        <v>5661</v>
      </c>
      <c r="F1697" s="43" t="s">
        <v>5662</v>
      </c>
      <c r="G1697" s="43" t="s">
        <v>230</v>
      </c>
      <c r="H1697" s="42" t="s">
        <v>5663</v>
      </c>
      <c r="I1697" s="18">
        <f t="shared" si="16"/>
        <v>45957</v>
      </c>
      <c r="J1697" s="19" t="s">
        <v>28</v>
      </c>
      <c r="K1697" s="19" t="s">
        <v>5170</v>
      </c>
      <c r="L1697" s="4" t="s">
        <v>148</v>
      </c>
    </row>
    <row r="1698" ht="22.5" customHeight="1">
      <c r="C1698" s="19" t="s">
        <v>5546</v>
      </c>
      <c r="D1698" s="39" t="s">
        <v>5664</v>
      </c>
      <c r="E1698" s="43" t="s">
        <v>5665</v>
      </c>
      <c r="F1698" s="43" t="s">
        <v>5666</v>
      </c>
      <c r="G1698" s="43" t="s">
        <v>1050</v>
      </c>
      <c r="H1698" s="44">
        <v>9.542240723E9</v>
      </c>
      <c r="I1698" s="18">
        <f t="shared" si="16"/>
        <v>45957</v>
      </c>
      <c r="J1698" s="19" t="s">
        <v>28</v>
      </c>
      <c r="K1698" s="19" t="s">
        <v>5170</v>
      </c>
      <c r="L1698" s="40"/>
    </row>
    <row r="1699" ht="22.5" customHeight="1">
      <c r="C1699" s="19" t="s">
        <v>5546</v>
      </c>
      <c r="D1699" s="39" t="s">
        <v>5667</v>
      </c>
      <c r="E1699" s="43" t="s">
        <v>5668</v>
      </c>
      <c r="F1699" s="43" t="s">
        <v>5669</v>
      </c>
      <c r="G1699" s="43" t="s">
        <v>57</v>
      </c>
      <c r="H1699" s="42" t="s">
        <v>5670</v>
      </c>
      <c r="I1699" s="18">
        <f t="shared" si="16"/>
        <v>45957</v>
      </c>
      <c r="J1699" s="19" t="s">
        <v>28</v>
      </c>
      <c r="K1699" s="19" t="s">
        <v>5170</v>
      </c>
      <c r="L1699" s="40"/>
    </row>
    <row r="1700" ht="22.5" customHeight="1">
      <c r="C1700" s="19" t="s">
        <v>5671</v>
      </c>
      <c r="D1700" s="39" t="s">
        <v>2339</v>
      </c>
      <c r="E1700" s="43" t="s">
        <v>5672</v>
      </c>
      <c r="F1700" s="43" t="s">
        <v>5673</v>
      </c>
      <c r="G1700" s="43" t="s">
        <v>408</v>
      </c>
      <c r="H1700" s="42" t="s">
        <v>5674</v>
      </c>
      <c r="I1700" s="18">
        <f t="shared" si="16"/>
        <v>45957</v>
      </c>
      <c r="J1700" s="19" t="s">
        <v>28</v>
      </c>
      <c r="K1700" s="19" t="s">
        <v>325</v>
      </c>
      <c r="L1700" s="40"/>
    </row>
    <row r="1701" ht="22.5" customHeight="1">
      <c r="C1701" s="19" t="s">
        <v>5671</v>
      </c>
      <c r="D1701" s="39" t="s">
        <v>2339</v>
      </c>
      <c r="E1701" s="43" t="s">
        <v>5675</v>
      </c>
      <c r="F1701" s="43" t="s">
        <v>5676</v>
      </c>
      <c r="G1701" s="43" t="s">
        <v>3129</v>
      </c>
      <c r="H1701" s="44">
        <v>7.145492969E9</v>
      </c>
      <c r="I1701" s="18">
        <f t="shared" si="16"/>
        <v>45957</v>
      </c>
      <c r="J1701" s="19" t="s">
        <v>28</v>
      </c>
      <c r="K1701" s="19" t="s">
        <v>325</v>
      </c>
      <c r="L1701" s="4" t="s">
        <v>99</v>
      </c>
    </row>
    <row r="1702" ht="22.5" customHeight="1">
      <c r="C1702" s="19" t="s">
        <v>5671</v>
      </c>
      <c r="D1702" s="39" t="s">
        <v>2339</v>
      </c>
      <c r="E1702" s="43" t="s">
        <v>5677</v>
      </c>
      <c r="F1702" s="43" t="s">
        <v>5678</v>
      </c>
      <c r="G1702" s="43" t="s">
        <v>490</v>
      </c>
      <c r="H1702" s="42" t="s">
        <v>5679</v>
      </c>
      <c r="I1702" s="18">
        <f t="shared" si="16"/>
        <v>45957</v>
      </c>
      <c r="J1702" s="19" t="s">
        <v>28</v>
      </c>
      <c r="K1702" s="19" t="s">
        <v>325</v>
      </c>
      <c r="L1702" s="40"/>
    </row>
    <row r="1703" ht="22.5" customHeight="1">
      <c r="C1703" s="19" t="s">
        <v>5671</v>
      </c>
      <c r="D1703" s="39" t="s">
        <v>2339</v>
      </c>
      <c r="E1703" s="43" t="s">
        <v>5680</v>
      </c>
      <c r="F1703" s="43" t="s">
        <v>5681</v>
      </c>
      <c r="G1703" s="43" t="s">
        <v>982</v>
      </c>
      <c r="H1703" s="42" t="s">
        <v>5682</v>
      </c>
      <c r="I1703" s="18">
        <f t="shared" si="16"/>
        <v>45957</v>
      </c>
      <c r="J1703" s="19" t="s">
        <v>28</v>
      </c>
      <c r="K1703" s="19" t="s">
        <v>325</v>
      </c>
      <c r="L1703" s="40"/>
    </row>
    <row r="1704" ht="22.5" customHeight="1">
      <c r="C1704" s="19" t="s">
        <v>5671</v>
      </c>
      <c r="D1704" s="39" t="s">
        <v>2339</v>
      </c>
      <c r="E1704" s="43" t="s">
        <v>5683</v>
      </c>
      <c r="F1704" s="43" t="s">
        <v>5684</v>
      </c>
      <c r="G1704" s="43" t="s">
        <v>599</v>
      </c>
      <c r="H1704" s="44">
        <v>7.145323909E9</v>
      </c>
      <c r="I1704" s="18">
        <f t="shared" si="16"/>
        <v>45957</v>
      </c>
      <c r="J1704" s="19" t="s">
        <v>28</v>
      </c>
      <c r="K1704" s="19" t="s">
        <v>325</v>
      </c>
      <c r="L1704" s="40"/>
    </row>
    <row r="1705" ht="22.5" customHeight="1">
      <c r="C1705" s="19" t="s">
        <v>5671</v>
      </c>
      <c r="D1705" s="39" t="s">
        <v>2339</v>
      </c>
      <c r="E1705" s="43" t="s">
        <v>5685</v>
      </c>
      <c r="F1705" s="43" t="s">
        <v>5686</v>
      </c>
      <c r="G1705" s="43" t="s">
        <v>57</v>
      </c>
      <c r="H1705" s="42" t="s">
        <v>5687</v>
      </c>
      <c r="I1705" s="18">
        <f t="shared" si="16"/>
        <v>45957</v>
      </c>
      <c r="J1705" s="19" t="s">
        <v>28</v>
      </c>
      <c r="K1705" s="19" t="s">
        <v>325</v>
      </c>
      <c r="L1705" s="40"/>
    </row>
    <row r="1706" ht="22.5" customHeight="1">
      <c r="C1706" s="19" t="s">
        <v>5671</v>
      </c>
      <c r="D1706" s="39" t="s">
        <v>2339</v>
      </c>
      <c r="E1706" s="43" t="s">
        <v>5688</v>
      </c>
      <c r="F1706" s="43" t="s">
        <v>5689</v>
      </c>
      <c r="G1706" s="43" t="s">
        <v>77</v>
      </c>
      <c r="H1706" s="42" t="s">
        <v>5690</v>
      </c>
      <c r="I1706" s="18">
        <f t="shared" si="16"/>
        <v>45957</v>
      </c>
      <c r="J1706" s="19" t="s">
        <v>28</v>
      </c>
      <c r="K1706" s="19" t="s">
        <v>325</v>
      </c>
      <c r="L1706" s="40"/>
    </row>
    <row r="1707" ht="22.5" customHeight="1">
      <c r="C1707" s="19" t="s">
        <v>5671</v>
      </c>
      <c r="D1707" s="39" t="s">
        <v>2339</v>
      </c>
      <c r="E1707" s="43" t="s">
        <v>5691</v>
      </c>
      <c r="F1707" s="43" t="s">
        <v>5692</v>
      </c>
      <c r="G1707" s="43" t="s">
        <v>62</v>
      </c>
      <c r="H1707" s="44">
        <v>9.498730662E9</v>
      </c>
      <c r="I1707" s="18">
        <f t="shared" si="16"/>
        <v>45957</v>
      </c>
      <c r="J1707" s="19" t="s">
        <v>28</v>
      </c>
      <c r="K1707" s="19" t="s">
        <v>325</v>
      </c>
      <c r="L1707" s="40"/>
    </row>
    <row r="1708" ht="22.5" customHeight="1">
      <c r="C1708" s="19" t="s">
        <v>5671</v>
      </c>
      <c r="D1708" s="39" t="s">
        <v>2339</v>
      </c>
      <c r="E1708" s="43" t="s">
        <v>5693</v>
      </c>
      <c r="F1708" s="43" t="s">
        <v>5694</v>
      </c>
      <c r="G1708" s="43" t="s">
        <v>346</v>
      </c>
      <c r="H1708" s="42" t="s">
        <v>5695</v>
      </c>
      <c r="I1708" s="18">
        <f t="shared" si="16"/>
        <v>45957</v>
      </c>
      <c r="J1708" s="19" t="s">
        <v>28</v>
      </c>
      <c r="K1708" s="19" t="s">
        <v>325</v>
      </c>
      <c r="L1708" s="40"/>
    </row>
    <row r="1709" ht="22.5" customHeight="1">
      <c r="C1709" s="19" t="s">
        <v>5671</v>
      </c>
      <c r="D1709" s="39" t="s">
        <v>2339</v>
      </c>
      <c r="E1709" s="43" t="s">
        <v>5696</v>
      </c>
      <c r="F1709" s="43" t="s">
        <v>5697</v>
      </c>
      <c r="G1709" s="43" t="s">
        <v>126</v>
      </c>
      <c r="H1709" s="44">
        <v>7.143433947E9</v>
      </c>
      <c r="I1709" s="18">
        <f t="shared" si="16"/>
        <v>45957</v>
      </c>
      <c r="J1709" s="19" t="s">
        <v>28</v>
      </c>
      <c r="K1709" s="19" t="s">
        <v>325</v>
      </c>
      <c r="L1709" s="40"/>
    </row>
    <row r="1710" ht="22.5" customHeight="1">
      <c r="C1710" s="19" t="s">
        <v>5671</v>
      </c>
      <c r="D1710" s="39" t="s">
        <v>2339</v>
      </c>
      <c r="E1710" s="43" t="s">
        <v>5698</v>
      </c>
      <c r="F1710" s="43" t="s">
        <v>5699</v>
      </c>
      <c r="G1710" s="43" t="s">
        <v>717</v>
      </c>
      <c r="H1710" s="42" t="s">
        <v>5700</v>
      </c>
      <c r="I1710" s="18">
        <f t="shared" si="16"/>
        <v>45957</v>
      </c>
      <c r="J1710" s="19" t="s">
        <v>28</v>
      </c>
      <c r="K1710" s="19" t="s">
        <v>325</v>
      </c>
      <c r="L1710" s="40"/>
    </row>
    <row r="1711" ht="22.5" customHeight="1">
      <c r="C1711" s="19" t="s">
        <v>5671</v>
      </c>
      <c r="D1711" s="39" t="s">
        <v>2339</v>
      </c>
      <c r="E1711" s="43" t="s">
        <v>5701</v>
      </c>
      <c r="F1711" s="43" t="s">
        <v>5702</v>
      </c>
      <c r="G1711" s="43" t="s">
        <v>67</v>
      </c>
      <c r="H1711" s="42" t="s">
        <v>5703</v>
      </c>
      <c r="I1711" s="18">
        <f t="shared" si="16"/>
        <v>45957</v>
      </c>
      <c r="J1711" s="19" t="s">
        <v>28</v>
      </c>
      <c r="K1711" s="19" t="s">
        <v>325</v>
      </c>
      <c r="L1711" s="40"/>
    </row>
    <row r="1712" ht="22.5" customHeight="1">
      <c r="C1712" s="19" t="s">
        <v>5671</v>
      </c>
      <c r="D1712" s="39" t="s">
        <v>2339</v>
      </c>
      <c r="E1712" s="43" t="s">
        <v>5704</v>
      </c>
      <c r="F1712" s="43" t="s">
        <v>5705</v>
      </c>
      <c r="G1712" s="43" t="s">
        <v>72</v>
      </c>
      <c r="H1712" s="42" t="s">
        <v>5706</v>
      </c>
      <c r="I1712" s="18">
        <f t="shared" si="16"/>
        <v>45957</v>
      </c>
      <c r="J1712" s="19" t="s">
        <v>28</v>
      </c>
      <c r="K1712" s="19" t="s">
        <v>325</v>
      </c>
      <c r="L1712" s="40"/>
    </row>
    <row r="1713" ht="22.5" customHeight="1">
      <c r="C1713" s="19" t="s">
        <v>5707</v>
      </c>
      <c r="D1713" s="39" t="s">
        <v>5708</v>
      </c>
      <c r="E1713" s="43" t="s">
        <v>5709</v>
      </c>
      <c r="F1713" s="43" t="s">
        <v>5710</v>
      </c>
      <c r="G1713" s="43" t="s">
        <v>108</v>
      </c>
      <c r="H1713" s="44">
        <v>2.1268206E9</v>
      </c>
      <c r="I1713" s="18">
        <f t="shared" si="16"/>
        <v>45957</v>
      </c>
      <c r="J1713" s="19" t="s">
        <v>28</v>
      </c>
      <c r="K1713" s="19" t="s">
        <v>325</v>
      </c>
      <c r="L1713" s="40"/>
    </row>
    <row r="1714" ht="22.5" customHeight="1">
      <c r="C1714" s="19" t="s">
        <v>5707</v>
      </c>
      <c r="D1714" s="39" t="s">
        <v>5708</v>
      </c>
      <c r="E1714" s="43" t="s">
        <v>5711</v>
      </c>
      <c r="F1714" s="43" t="s">
        <v>5712</v>
      </c>
      <c r="G1714" s="43" t="s">
        <v>2056</v>
      </c>
      <c r="H1714" s="44">
        <v>4.153203828E9</v>
      </c>
      <c r="I1714" s="18">
        <f t="shared" si="16"/>
        <v>45957</v>
      </c>
      <c r="J1714" s="19" t="s">
        <v>28</v>
      </c>
      <c r="K1714" s="19" t="s">
        <v>325</v>
      </c>
      <c r="L1714" s="40"/>
    </row>
    <row r="1715" ht="22.5" customHeight="1">
      <c r="C1715" s="19" t="s">
        <v>5707</v>
      </c>
      <c r="D1715" s="39" t="s">
        <v>5708</v>
      </c>
      <c r="E1715" s="43" t="s">
        <v>5713</v>
      </c>
      <c r="F1715" s="43" t="s">
        <v>5714</v>
      </c>
      <c r="G1715" s="43" t="s">
        <v>77</v>
      </c>
      <c r="H1715" s="42" t="s">
        <v>5715</v>
      </c>
      <c r="I1715" s="18">
        <f t="shared" si="16"/>
        <v>45957</v>
      </c>
      <c r="J1715" s="19" t="s">
        <v>28</v>
      </c>
      <c r="K1715" s="19" t="s">
        <v>325</v>
      </c>
      <c r="L1715" s="4" t="s">
        <v>148</v>
      </c>
    </row>
    <row r="1716" ht="22.5" customHeight="1">
      <c r="C1716" s="19" t="s">
        <v>5707</v>
      </c>
      <c r="D1716" s="39" t="s">
        <v>5708</v>
      </c>
      <c r="E1716" s="43" t="s">
        <v>5716</v>
      </c>
      <c r="F1716" s="43" t="s">
        <v>5717</v>
      </c>
      <c r="G1716" s="43" t="s">
        <v>126</v>
      </c>
      <c r="H1716" s="44">
        <v>5.1640873E9</v>
      </c>
      <c r="I1716" s="18">
        <f t="shared" si="16"/>
        <v>45957</v>
      </c>
      <c r="J1716" s="19" t="s">
        <v>28</v>
      </c>
      <c r="K1716" s="19" t="s">
        <v>325</v>
      </c>
      <c r="L1716" s="40"/>
    </row>
    <row r="1717" ht="22.5" customHeight="1">
      <c r="C1717" s="19" t="s">
        <v>5707</v>
      </c>
      <c r="D1717" s="39" t="s">
        <v>5708</v>
      </c>
      <c r="E1717" s="43" t="s">
        <v>5718</v>
      </c>
      <c r="F1717" s="43" t="s">
        <v>5719</v>
      </c>
      <c r="G1717" s="43" t="s">
        <v>387</v>
      </c>
      <c r="H1717" s="44">
        <v>6.465311831E9</v>
      </c>
      <c r="I1717" s="18">
        <f t="shared" si="16"/>
        <v>45957</v>
      </c>
      <c r="J1717" s="19" t="s">
        <v>28</v>
      </c>
      <c r="K1717" s="19" t="s">
        <v>325</v>
      </c>
      <c r="L1717" s="40"/>
    </row>
    <row r="1718" ht="22.5" customHeight="1">
      <c r="C1718" s="19" t="s">
        <v>5707</v>
      </c>
      <c r="D1718" s="39" t="s">
        <v>5708</v>
      </c>
      <c r="E1718" s="43" t="s">
        <v>5720</v>
      </c>
      <c r="F1718" s="43" t="s">
        <v>5721</v>
      </c>
      <c r="G1718" s="43" t="s">
        <v>847</v>
      </c>
      <c r="H1718" s="42" t="s">
        <v>5722</v>
      </c>
      <c r="I1718" s="18">
        <f t="shared" si="16"/>
        <v>45957</v>
      </c>
      <c r="J1718" s="19" t="s">
        <v>28</v>
      </c>
      <c r="K1718" s="19" t="s">
        <v>325</v>
      </c>
      <c r="L1718" s="40"/>
    </row>
    <row r="1719" ht="22.5" customHeight="1">
      <c r="C1719" s="19" t="s">
        <v>5707</v>
      </c>
      <c r="D1719" s="39" t="s">
        <v>5708</v>
      </c>
      <c r="E1719" s="43" t="s">
        <v>5723</v>
      </c>
      <c r="F1719" s="43" t="s">
        <v>1871</v>
      </c>
      <c r="G1719" s="43" t="s">
        <v>346</v>
      </c>
      <c r="H1719" s="42" t="s">
        <v>5724</v>
      </c>
      <c r="I1719" s="18">
        <f t="shared" si="16"/>
        <v>45957</v>
      </c>
      <c r="J1719" s="19" t="s">
        <v>28</v>
      </c>
      <c r="K1719" s="19" t="s">
        <v>325</v>
      </c>
      <c r="L1719" s="40"/>
    </row>
    <row r="1720" ht="22.5" customHeight="1">
      <c r="C1720" s="19" t="s">
        <v>5707</v>
      </c>
      <c r="D1720" s="39" t="s">
        <v>5708</v>
      </c>
      <c r="E1720" s="43" t="s">
        <v>5725</v>
      </c>
      <c r="F1720" s="43" t="s">
        <v>5726</v>
      </c>
      <c r="G1720" s="43" t="s">
        <v>97</v>
      </c>
      <c r="H1720" s="42" t="s">
        <v>182</v>
      </c>
      <c r="I1720" s="18">
        <f t="shared" si="16"/>
        <v>45957</v>
      </c>
      <c r="J1720" s="19" t="s">
        <v>28</v>
      </c>
      <c r="K1720" s="19" t="s">
        <v>325</v>
      </c>
      <c r="L1720" s="40"/>
    </row>
    <row r="1721" ht="22.5" customHeight="1">
      <c r="C1721" s="19" t="s">
        <v>5707</v>
      </c>
      <c r="D1721" s="39" t="s">
        <v>5708</v>
      </c>
      <c r="E1721" s="43" t="s">
        <v>5727</v>
      </c>
      <c r="F1721" s="43" t="s">
        <v>5728</v>
      </c>
      <c r="G1721" s="43" t="s">
        <v>524</v>
      </c>
      <c r="H1721" s="44">
        <v>7.183623355E9</v>
      </c>
      <c r="I1721" s="18">
        <f t="shared" si="16"/>
        <v>45957</v>
      </c>
      <c r="J1721" s="19" t="s">
        <v>28</v>
      </c>
      <c r="K1721" s="19" t="s">
        <v>325</v>
      </c>
      <c r="L1721" s="40"/>
    </row>
    <row r="1722" ht="22.5" customHeight="1">
      <c r="C1722" s="19" t="s">
        <v>5707</v>
      </c>
      <c r="D1722" s="39" t="s">
        <v>5708</v>
      </c>
      <c r="E1722" s="43" t="s">
        <v>5729</v>
      </c>
      <c r="F1722" s="43" t="s">
        <v>5730</v>
      </c>
      <c r="G1722" s="43" t="s">
        <v>67</v>
      </c>
      <c r="H1722" s="42" t="s">
        <v>5731</v>
      </c>
      <c r="I1722" s="18">
        <f t="shared" si="16"/>
        <v>45957</v>
      </c>
      <c r="J1722" s="19" t="s">
        <v>28</v>
      </c>
      <c r="K1722" s="19" t="s">
        <v>325</v>
      </c>
      <c r="L1722" s="40"/>
    </row>
    <row r="1723" ht="22.5" customHeight="1">
      <c r="C1723" s="19" t="s">
        <v>5707</v>
      </c>
      <c r="D1723" s="39" t="s">
        <v>5708</v>
      </c>
      <c r="E1723" s="43" t="s">
        <v>5732</v>
      </c>
      <c r="F1723" s="43" t="s">
        <v>5733</v>
      </c>
      <c r="G1723" s="43" t="s">
        <v>26</v>
      </c>
      <c r="H1723" s="42" t="s">
        <v>182</v>
      </c>
      <c r="I1723" s="18">
        <f t="shared" si="16"/>
        <v>45957</v>
      </c>
      <c r="J1723" s="19" t="s">
        <v>28</v>
      </c>
      <c r="K1723" s="19" t="s">
        <v>325</v>
      </c>
      <c r="L1723" s="40"/>
    </row>
    <row r="1724" ht="22.5" customHeight="1">
      <c r="C1724" s="19" t="s">
        <v>5707</v>
      </c>
      <c r="D1724" s="39" t="s">
        <v>5708</v>
      </c>
      <c r="E1724" s="43" t="s">
        <v>5734</v>
      </c>
      <c r="F1724" s="43" t="s">
        <v>5735</v>
      </c>
      <c r="G1724" s="43" t="s">
        <v>62</v>
      </c>
      <c r="H1724" s="44">
        <v>9.175239359E9</v>
      </c>
      <c r="I1724" s="18">
        <f t="shared" si="16"/>
        <v>45957</v>
      </c>
      <c r="J1724" s="19" t="s">
        <v>28</v>
      </c>
      <c r="K1724" s="19" t="s">
        <v>325</v>
      </c>
      <c r="L1724" s="40"/>
    </row>
    <row r="1725" ht="22.5" customHeight="1">
      <c r="C1725" s="19" t="s">
        <v>5707</v>
      </c>
      <c r="D1725" s="39" t="s">
        <v>5708</v>
      </c>
      <c r="E1725" s="43" t="s">
        <v>5736</v>
      </c>
      <c r="F1725" s="43" t="s">
        <v>5737</v>
      </c>
      <c r="G1725" s="43" t="s">
        <v>377</v>
      </c>
      <c r="H1725" s="44">
        <v>9.175695546E9</v>
      </c>
      <c r="I1725" s="18">
        <f t="shared" si="16"/>
        <v>45957</v>
      </c>
      <c r="J1725" s="19" t="s">
        <v>28</v>
      </c>
      <c r="K1725" s="19" t="s">
        <v>325</v>
      </c>
      <c r="L1725" s="40"/>
    </row>
    <row r="1726" ht="22.5" customHeight="1">
      <c r="C1726" s="19" t="s">
        <v>5707</v>
      </c>
      <c r="D1726" s="39" t="s">
        <v>5708</v>
      </c>
      <c r="E1726" s="43" t="s">
        <v>5738</v>
      </c>
      <c r="F1726" s="43" t="s">
        <v>5739</v>
      </c>
      <c r="G1726" s="43" t="s">
        <v>722</v>
      </c>
      <c r="H1726" s="44">
        <v>9.175966632E9</v>
      </c>
      <c r="I1726" s="18">
        <f t="shared" si="16"/>
        <v>45957</v>
      </c>
      <c r="J1726" s="19" t="s">
        <v>28</v>
      </c>
      <c r="K1726" s="19" t="s">
        <v>325</v>
      </c>
      <c r="L1726" s="40"/>
    </row>
    <row r="1727" ht="22.5" customHeight="1">
      <c r="C1727" s="19" t="s">
        <v>5707</v>
      </c>
      <c r="D1727" s="39" t="s">
        <v>5708</v>
      </c>
      <c r="E1727" s="43" t="s">
        <v>5740</v>
      </c>
      <c r="F1727" s="43" t="s">
        <v>5741</v>
      </c>
      <c r="G1727" s="43" t="s">
        <v>3751</v>
      </c>
      <c r="H1727" s="42" t="s">
        <v>5742</v>
      </c>
      <c r="I1727" s="18">
        <f t="shared" si="16"/>
        <v>45957</v>
      </c>
      <c r="J1727" s="19" t="s">
        <v>28</v>
      </c>
      <c r="K1727" s="19" t="s">
        <v>325</v>
      </c>
      <c r="L1727" s="40"/>
    </row>
    <row r="1728" ht="22.5" customHeight="1">
      <c r="C1728" s="19" t="s">
        <v>5707</v>
      </c>
      <c r="D1728" s="39" t="s">
        <v>5708</v>
      </c>
      <c r="E1728" s="43" t="s">
        <v>5743</v>
      </c>
      <c r="F1728" s="43" t="s">
        <v>5744</v>
      </c>
      <c r="G1728" s="43" t="s">
        <v>72</v>
      </c>
      <c r="H1728" s="44">
        <v>5.16240034E9</v>
      </c>
      <c r="I1728" s="18">
        <f t="shared" si="16"/>
        <v>45957</v>
      </c>
      <c r="J1728" s="19" t="s">
        <v>28</v>
      </c>
      <c r="K1728" s="19" t="s">
        <v>325</v>
      </c>
      <c r="L1728" s="40"/>
    </row>
    <row r="1729" ht="22.5" customHeight="1">
      <c r="C1729" s="19" t="s">
        <v>5707</v>
      </c>
      <c r="D1729" s="39" t="s">
        <v>5708</v>
      </c>
      <c r="E1729" s="43" t="s">
        <v>5745</v>
      </c>
      <c r="F1729" s="43" t="s">
        <v>5746</v>
      </c>
      <c r="G1729" s="43" t="s">
        <v>3956</v>
      </c>
      <c r="H1729" s="44">
        <v>2.019560595E9</v>
      </c>
      <c r="I1729" s="18">
        <f t="shared" si="16"/>
        <v>45957</v>
      </c>
      <c r="J1729" s="19" t="s">
        <v>28</v>
      </c>
      <c r="K1729" s="19" t="s">
        <v>325</v>
      </c>
      <c r="L1729" s="40"/>
    </row>
    <row r="1730" ht="22.5" customHeight="1">
      <c r="C1730" s="19" t="s">
        <v>5707</v>
      </c>
      <c r="D1730" s="39" t="s">
        <v>5708</v>
      </c>
      <c r="E1730" s="43" t="s">
        <v>5747</v>
      </c>
      <c r="F1730" s="43" t="s">
        <v>5748</v>
      </c>
      <c r="G1730" s="43" t="s">
        <v>170</v>
      </c>
      <c r="H1730" s="42" t="s">
        <v>5749</v>
      </c>
      <c r="I1730" s="18">
        <f t="shared" si="16"/>
        <v>45957</v>
      </c>
      <c r="J1730" s="19" t="s">
        <v>28</v>
      </c>
      <c r="K1730" s="19" t="s">
        <v>325</v>
      </c>
      <c r="L1730" s="40"/>
    </row>
    <row r="1731" ht="22.5" customHeight="1">
      <c r="C1731" s="19" t="s">
        <v>5707</v>
      </c>
      <c r="D1731" s="39" t="s">
        <v>5708</v>
      </c>
      <c r="E1731" s="43" t="s">
        <v>5750</v>
      </c>
      <c r="F1731" s="43" t="s">
        <v>1060</v>
      </c>
      <c r="G1731" s="43" t="s">
        <v>4424</v>
      </c>
      <c r="H1731" s="42" t="s">
        <v>182</v>
      </c>
      <c r="I1731" s="18">
        <f t="shared" si="16"/>
        <v>45957</v>
      </c>
      <c r="J1731" s="19" t="s">
        <v>28</v>
      </c>
      <c r="K1731" s="19" t="s">
        <v>325</v>
      </c>
      <c r="L1731" s="40"/>
    </row>
    <row r="1732" ht="22.5" customHeight="1">
      <c r="C1732" s="19" t="s">
        <v>5707</v>
      </c>
      <c r="D1732" s="39" t="s">
        <v>5708</v>
      </c>
      <c r="E1732" s="43" t="s">
        <v>5751</v>
      </c>
      <c r="F1732" s="43" t="s">
        <v>5752</v>
      </c>
      <c r="G1732" s="43" t="s">
        <v>5037</v>
      </c>
      <c r="H1732" s="42" t="s">
        <v>5753</v>
      </c>
      <c r="I1732" s="18">
        <f t="shared" si="16"/>
        <v>45957</v>
      </c>
      <c r="J1732" s="19" t="s">
        <v>28</v>
      </c>
      <c r="K1732" s="19" t="s">
        <v>325</v>
      </c>
      <c r="L1732" s="40"/>
    </row>
    <row r="1733" ht="22.5" customHeight="1">
      <c r="C1733" s="19" t="s">
        <v>5707</v>
      </c>
      <c r="D1733" s="39" t="s">
        <v>5708</v>
      </c>
      <c r="E1733" s="43" t="s">
        <v>5754</v>
      </c>
      <c r="F1733" s="43" t="s">
        <v>5755</v>
      </c>
      <c r="G1733" s="43" t="s">
        <v>118</v>
      </c>
      <c r="H1733" s="42" t="s">
        <v>5756</v>
      </c>
      <c r="I1733" s="18">
        <f t="shared" si="16"/>
        <v>45957</v>
      </c>
      <c r="J1733" s="19" t="s">
        <v>28</v>
      </c>
      <c r="K1733" s="19" t="s">
        <v>325</v>
      </c>
      <c r="L1733" s="40"/>
    </row>
    <row r="1734" ht="22.5" customHeight="1">
      <c r="C1734" s="19" t="s">
        <v>5757</v>
      </c>
      <c r="D1734" s="39" t="s">
        <v>5758</v>
      </c>
      <c r="E1734" s="43" t="s">
        <v>5759</v>
      </c>
      <c r="F1734" s="43" t="s">
        <v>5760</v>
      </c>
      <c r="G1734" s="43" t="s">
        <v>886</v>
      </c>
      <c r="H1734" s="44">
        <v>9.543609098E9</v>
      </c>
      <c r="I1734" s="18">
        <f t="shared" ref="I1734:I2028" si="17">DATE(2025, 10, 28)</f>
        <v>45958</v>
      </c>
      <c r="J1734" s="19" t="s">
        <v>28</v>
      </c>
      <c r="K1734" s="19" t="s">
        <v>5170</v>
      </c>
      <c r="L1734" s="40"/>
    </row>
    <row r="1735" ht="22.5" customHeight="1">
      <c r="C1735" s="19" t="s">
        <v>5757</v>
      </c>
      <c r="D1735" s="39" t="s">
        <v>5761</v>
      </c>
      <c r="E1735" s="43" t="s">
        <v>5762</v>
      </c>
      <c r="F1735" s="43" t="s">
        <v>5763</v>
      </c>
      <c r="G1735" s="43" t="s">
        <v>108</v>
      </c>
      <c r="H1735" s="42" t="s">
        <v>5764</v>
      </c>
      <c r="I1735" s="18">
        <f t="shared" si="17"/>
        <v>45958</v>
      </c>
      <c r="J1735" s="19" t="s">
        <v>28</v>
      </c>
      <c r="K1735" s="19" t="s">
        <v>5170</v>
      </c>
      <c r="L1735" s="40"/>
    </row>
    <row r="1736" ht="22.5" customHeight="1">
      <c r="C1736" s="19" t="s">
        <v>5757</v>
      </c>
      <c r="D1736" s="39" t="s">
        <v>5765</v>
      </c>
      <c r="E1736" s="43" t="s">
        <v>5766</v>
      </c>
      <c r="F1736" s="43" t="s">
        <v>3619</v>
      </c>
      <c r="G1736" s="43" t="s">
        <v>5767</v>
      </c>
      <c r="H1736" s="42" t="s">
        <v>5768</v>
      </c>
      <c r="I1736" s="18">
        <f t="shared" si="17"/>
        <v>45958</v>
      </c>
      <c r="J1736" s="19" t="s">
        <v>28</v>
      </c>
      <c r="K1736" s="19" t="s">
        <v>5170</v>
      </c>
      <c r="L1736" s="40"/>
    </row>
    <row r="1737" ht="22.5" customHeight="1">
      <c r="C1737" s="19" t="s">
        <v>5757</v>
      </c>
      <c r="D1737" s="39" t="s">
        <v>5769</v>
      </c>
      <c r="E1737" s="43" t="s">
        <v>5770</v>
      </c>
      <c r="F1737" s="43" t="s">
        <v>5771</v>
      </c>
      <c r="G1737" s="43" t="s">
        <v>301</v>
      </c>
      <c r="H1737" s="42" t="s">
        <v>5772</v>
      </c>
      <c r="I1737" s="18">
        <f t="shared" si="17"/>
        <v>45958</v>
      </c>
      <c r="J1737" s="19" t="s">
        <v>28</v>
      </c>
      <c r="K1737" s="19" t="s">
        <v>5170</v>
      </c>
      <c r="L1737" s="40"/>
    </row>
    <row r="1738" ht="22.5" customHeight="1">
      <c r="C1738" s="19" t="s">
        <v>5757</v>
      </c>
      <c r="D1738" s="39" t="s">
        <v>5773</v>
      </c>
      <c r="E1738" s="43" t="s">
        <v>5774</v>
      </c>
      <c r="F1738" s="43" t="s">
        <v>2449</v>
      </c>
      <c r="G1738" s="43" t="s">
        <v>77</v>
      </c>
      <c r="H1738" s="44">
        <v>3.055194549E9</v>
      </c>
      <c r="I1738" s="18">
        <f t="shared" si="17"/>
        <v>45958</v>
      </c>
      <c r="J1738" s="19" t="s">
        <v>28</v>
      </c>
      <c r="K1738" s="19" t="s">
        <v>5170</v>
      </c>
      <c r="L1738" s="40"/>
    </row>
    <row r="1739" ht="22.5" customHeight="1">
      <c r="C1739" s="19" t="s">
        <v>5757</v>
      </c>
      <c r="D1739" s="39" t="s">
        <v>5775</v>
      </c>
      <c r="E1739" s="43" t="s">
        <v>5776</v>
      </c>
      <c r="F1739" s="43" t="s">
        <v>4362</v>
      </c>
      <c r="G1739" s="43" t="s">
        <v>126</v>
      </c>
      <c r="H1739" s="44">
        <v>3.125053658E9</v>
      </c>
      <c r="I1739" s="18">
        <f t="shared" si="17"/>
        <v>45958</v>
      </c>
      <c r="J1739" s="19" t="s">
        <v>28</v>
      </c>
      <c r="K1739" s="19" t="s">
        <v>5170</v>
      </c>
      <c r="L1739" s="40"/>
    </row>
    <row r="1740" ht="22.5" customHeight="1">
      <c r="C1740" s="19" t="s">
        <v>5757</v>
      </c>
      <c r="D1740" s="39" t="s">
        <v>5777</v>
      </c>
      <c r="E1740" s="43" t="s">
        <v>5778</v>
      </c>
      <c r="F1740" s="43" t="s">
        <v>5779</v>
      </c>
      <c r="G1740" s="43" t="s">
        <v>2022</v>
      </c>
      <c r="H1740" s="42" t="s">
        <v>5780</v>
      </c>
      <c r="I1740" s="18">
        <f t="shared" si="17"/>
        <v>45958</v>
      </c>
      <c r="J1740" s="19" t="s">
        <v>28</v>
      </c>
      <c r="K1740" s="19" t="s">
        <v>5170</v>
      </c>
      <c r="L1740" s="40"/>
    </row>
    <row r="1741" ht="22.5" customHeight="1">
      <c r="C1741" s="19" t="s">
        <v>5757</v>
      </c>
      <c r="D1741" s="39" t="s">
        <v>5781</v>
      </c>
      <c r="E1741" s="43" t="s">
        <v>5782</v>
      </c>
      <c r="F1741" s="43" t="s">
        <v>5783</v>
      </c>
      <c r="G1741" s="43" t="s">
        <v>540</v>
      </c>
      <c r="H1741" s="42" t="s">
        <v>5784</v>
      </c>
      <c r="I1741" s="18">
        <f t="shared" si="17"/>
        <v>45958</v>
      </c>
      <c r="J1741" s="19" t="s">
        <v>28</v>
      </c>
      <c r="K1741" s="19" t="s">
        <v>5170</v>
      </c>
      <c r="L1741" s="40"/>
    </row>
    <row r="1742" ht="22.5" customHeight="1">
      <c r="C1742" s="19" t="s">
        <v>5757</v>
      </c>
      <c r="D1742" s="39" t="s">
        <v>5785</v>
      </c>
      <c r="E1742" s="43" t="s">
        <v>5786</v>
      </c>
      <c r="F1742" s="43" t="s">
        <v>872</v>
      </c>
      <c r="G1742" s="43" t="s">
        <v>346</v>
      </c>
      <c r="H1742" s="44">
        <v>5.61849029E9</v>
      </c>
      <c r="I1742" s="18">
        <f t="shared" si="17"/>
        <v>45958</v>
      </c>
      <c r="J1742" s="19" t="s">
        <v>28</v>
      </c>
      <c r="K1742" s="19" t="s">
        <v>5170</v>
      </c>
      <c r="L1742" s="40"/>
    </row>
    <row r="1743" ht="22.5" customHeight="1">
      <c r="C1743" s="19" t="s">
        <v>5757</v>
      </c>
      <c r="D1743" s="39" t="s">
        <v>5787</v>
      </c>
      <c r="E1743" s="43" t="s">
        <v>5788</v>
      </c>
      <c r="F1743" s="43" t="s">
        <v>5789</v>
      </c>
      <c r="G1743" s="43" t="s">
        <v>524</v>
      </c>
      <c r="H1743" s="42" t="s">
        <v>5790</v>
      </c>
      <c r="I1743" s="18">
        <f t="shared" si="17"/>
        <v>45958</v>
      </c>
      <c r="J1743" s="19" t="s">
        <v>28</v>
      </c>
      <c r="K1743" s="19" t="s">
        <v>5170</v>
      </c>
      <c r="L1743" s="40"/>
    </row>
    <row r="1744" ht="22.5" customHeight="1">
      <c r="C1744" s="19" t="s">
        <v>5757</v>
      </c>
      <c r="D1744" s="39" t="s">
        <v>5791</v>
      </c>
      <c r="E1744" s="43" t="s">
        <v>5792</v>
      </c>
      <c r="F1744" s="43" t="s">
        <v>5793</v>
      </c>
      <c r="G1744" s="43" t="s">
        <v>3039</v>
      </c>
      <c r="H1744" s="42" t="s">
        <v>5794</v>
      </c>
      <c r="I1744" s="18">
        <f t="shared" si="17"/>
        <v>45958</v>
      </c>
      <c r="J1744" s="19" t="s">
        <v>28</v>
      </c>
      <c r="K1744" s="19" t="s">
        <v>5170</v>
      </c>
      <c r="L1744" s="40"/>
    </row>
    <row r="1745" ht="22.5" customHeight="1">
      <c r="C1745" s="19" t="s">
        <v>5757</v>
      </c>
      <c r="D1745" s="39" t="s">
        <v>5795</v>
      </c>
      <c r="E1745" s="43" t="s">
        <v>5796</v>
      </c>
      <c r="F1745" s="43" t="s">
        <v>5797</v>
      </c>
      <c r="G1745" s="43" t="s">
        <v>636</v>
      </c>
      <c r="H1745" s="44">
        <v>9.545407972E9</v>
      </c>
      <c r="I1745" s="18">
        <f t="shared" si="17"/>
        <v>45958</v>
      </c>
      <c r="J1745" s="19" t="s">
        <v>28</v>
      </c>
      <c r="K1745" s="19" t="s">
        <v>5170</v>
      </c>
      <c r="L1745" s="40"/>
    </row>
    <row r="1746" ht="22.5" customHeight="1">
      <c r="C1746" s="19" t="s">
        <v>5757</v>
      </c>
      <c r="D1746" s="39" t="s">
        <v>5798</v>
      </c>
      <c r="E1746" s="43" t="s">
        <v>5799</v>
      </c>
      <c r="F1746" s="43" t="s">
        <v>309</v>
      </c>
      <c r="G1746" s="43" t="s">
        <v>67</v>
      </c>
      <c r="H1746" s="42" t="s">
        <v>5800</v>
      </c>
      <c r="I1746" s="18">
        <f t="shared" si="17"/>
        <v>45958</v>
      </c>
      <c r="J1746" s="19" t="s">
        <v>28</v>
      </c>
      <c r="K1746" s="19" t="s">
        <v>5170</v>
      </c>
      <c r="L1746" s="40"/>
    </row>
    <row r="1747" ht="22.5" customHeight="1">
      <c r="C1747" s="19" t="s">
        <v>5757</v>
      </c>
      <c r="D1747" s="39" t="s">
        <v>5801</v>
      </c>
      <c r="E1747" s="43" t="s">
        <v>5802</v>
      </c>
      <c r="F1747" s="43" t="s">
        <v>5803</v>
      </c>
      <c r="G1747" s="43" t="s">
        <v>72</v>
      </c>
      <c r="H1747" s="44">
        <v>9.544341077E9</v>
      </c>
      <c r="I1747" s="18">
        <f t="shared" si="17"/>
        <v>45958</v>
      </c>
      <c r="J1747" s="19" t="s">
        <v>28</v>
      </c>
      <c r="K1747" s="19" t="s">
        <v>5170</v>
      </c>
      <c r="L1747" s="40"/>
    </row>
    <row r="1748" ht="22.5" customHeight="1">
      <c r="C1748" s="19" t="s">
        <v>5757</v>
      </c>
      <c r="D1748" s="39" t="s">
        <v>5804</v>
      </c>
      <c r="E1748" s="43" t="s">
        <v>5805</v>
      </c>
      <c r="F1748" s="43" t="s">
        <v>679</v>
      </c>
      <c r="G1748" s="43" t="s">
        <v>680</v>
      </c>
      <c r="H1748" s="42" t="s">
        <v>5806</v>
      </c>
      <c r="I1748" s="18">
        <f t="shared" si="17"/>
        <v>45958</v>
      </c>
      <c r="J1748" s="19" t="s">
        <v>28</v>
      </c>
      <c r="K1748" s="19" t="s">
        <v>5170</v>
      </c>
      <c r="L1748" s="40"/>
    </row>
    <row r="1749" ht="22.5" customHeight="1">
      <c r="C1749" s="19" t="s">
        <v>5807</v>
      </c>
      <c r="D1749" s="39" t="s">
        <v>5808</v>
      </c>
      <c r="E1749" s="43" t="s">
        <v>5809</v>
      </c>
      <c r="F1749" s="43" t="s">
        <v>5810</v>
      </c>
      <c r="G1749" s="43" t="s">
        <v>5811</v>
      </c>
      <c r="H1749" s="42" t="s">
        <v>5812</v>
      </c>
      <c r="I1749" s="18">
        <f t="shared" si="17"/>
        <v>45958</v>
      </c>
      <c r="J1749" s="19" t="s">
        <v>28</v>
      </c>
      <c r="K1749" s="19" t="s">
        <v>5170</v>
      </c>
      <c r="L1749" s="40"/>
    </row>
    <row r="1750" ht="22.5" customHeight="1">
      <c r="C1750" s="19" t="s">
        <v>5807</v>
      </c>
      <c r="D1750" s="39" t="s">
        <v>5813</v>
      </c>
      <c r="E1750" s="43" t="s">
        <v>5814</v>
      </c>
      <c r="F1750" s="43" t="s">
        <v>5815</v>
      </c>
      <c r="G1750" s="43" t="s">
        <v>5816</v>
      </c>
      <c r="H1750" s="44">
        <v>3.057254664E9</v>
      </c>
      <c r="I1750" s="18">
        <f t="shared" si="17"/>
        <v>45958</v>
      </c>
      <c r="J1750" s="19" t="s">
        <v>28</v>
      </c>
      <c r="K1750" s="19" t="s">
        <v>5170</v>
      </c>
      <c r="L1750" s="40"/>
    </row>
    <row r="1751" ht="22.5" customHeight="1">
      <c r="C1751" s="19" t="s">
        <v>5807</v>
      </c>
      <c r="D1751" s="39" t="s">
        <v>5817</v>
      </c>
      <c r="E1751" s="43" t="s">
        <v>5818</v>
      </c>
      <c r="F1751" s="43" t="s">
        <v>5819</v>
      </c>
      <c r="G1751" s="43" t="s">
        <v>5820</v>
      </c>
      <c r="H1751" s="42" t="s">
        <v>5821</v>
      </c>
      <c r="I1751" s="18">
        <f t="shared" si="17"/>
        <v>45958</v>
      </c>
      <c r="J1751" s="19" t="s">
        <v>28</v>
      </c>
      <c r="K1751" s="19" t="s">
        <v>5170</v>
      </c>
      <c r="L1751" s="40"/>
    </row>
    <row r="1752" ht="22.5" customHeight="1">
      <c r="C1752" s="19" t="s">
        <v>5807</v>
      </c>
      <c r="D1752" s="39" t="s">
        <v>5822</v>
      </c>
      <c r="E1752" s="43" t="s">
        <v>5823</v>
      </c>
      <c r="F1752" s="43" t="s">
        <v>5824</v>
      </c>
      <c r="G1752" s="43" t="s">
        <v>5825</v>
      </c>
      <c r="H1752" s="44">
        <v>3.052092843E9</v>
      </c>
      <c r="I1752" s="18">
        <f t="shared" si="17"/>
        <v>45958</v>
      </c>
      <c r="J1752" s="19" t="s">
        <v>28</v>
      </c>
      <c r="K1752" s="19" t="s">
        <v>5170</v>
      </c>
      <c r="L1752" s="40"/>
    </row>
    <row r="1753" ht="22.5" customHeight="1">
      <c r="C1753" s="19" t="s">
        <v>5807</v>
      </c>
      <c r="D1753" s="39" t="s">
        <v>5826</v>
      </c>
      <c r="E1753" s="43" t="s">
        <v>5827</v>
      </c>
      <c r="F1753" s="43" t="s">
        <v>5828</v>
      </c>
      <c r="G1753" s="43" t="s">
        <v>5829</v>
      </c>
      <c r="H1753" s="42" t="s">
        <v>5830</v>
      </c>
      <c r="I1753" s="18">
        <f t="shared" si="17"/>
        <v>45958</v>
      </c>
      <c r="J1753" s="19" t="s">
        <v>28</v>
      </c>
      <c r="K1753" s="19" t="s">
        <v>5170</v>
      </c>
      <c r="L1753" s="40"/>
    </row>
    <row r="1754" ht="22.5" customHeight="1">
      <c r="C1754" s="19" t="s">
        <v>5807</v>
      </c>
      <c r="D1754" s="39" t="s">
        <v>5831</v>
      </c>
      <c r="E1754" s="43" t="s">
        <v>5832</v>
      </c>
      <c r="F1754" s="43" t="s">
        <v>5833</v>
      </c>
      <c r="G1754" s="43" t="s">
        <v>5834</v>
      </c>
      <c r="H1754" s="44">
        <v>7.86755546E9</v>
      </c>
      <c r="I1754" s="18">
        <f t="shared" si="17"/>
        <v>45958</v>
      </c>
      <c r="J1754" s="19" t="s">
        <v>28</v>
      </c>
      <c r="K1754" s="19" t="s">
        <v>5170</v>
      </c>
      <c r="L1754" s="40"/>
    </row>
    <row r="1755" ht="22.5" customHeight="1">
      <c r="C1755" s="19" t="s">
        <v>5807</v>
      </c>
      <c r="D1755" s="39" t="s">
        <v>5835</v>
      </c>
      <c r="E1755" s="43" t="s">
        <v>5836</v>
      </c>
      <c r="F1755" s="43" t="s">
        <v>5837</v>
      </c>
      <c r="G1755" s="43" t="s">
        <v>5838</v>
      </c>
      <c r="H1755" s="44">
        <v>7.865413322E9</v>
      </c>
      <c r="I1755" s="18">
        <f t="shared" si="17"/>
        <v>45958</v>
      </c>
      <c r="J1755" s="19" t="s">
        <v>28</v>
      </c>
      <c r="K1755" s="19" t="s">
        <v>5170</v>
      </c>
      <c r="L1755" s="40"/>
    </row>
    <row r="1756" ht="22.5" customHeight="1">
      <c r="C1756" s="19" t="s">
        <v>5807</v>
      </c>
      <c r="D1756" s="39" t="s">
        <v>5839</v>
      </c>
      <c r="E1756" s="43" t="s">
        <v>5840</v>
      </c>
      <c r="F1756" s="43" t="s">
        <v>5841</v>
      </c>
      <c r="G1756" s="43" t="s">
        <v>5842</v>
      </c>
      <c r="H1756" s="44">
        <v>7.866576829E9</v>
      </c>
      <c r="I1756" s="18">
        <f t="shared" si="17"/>
        <v>45958</v>
      </c>
      <c r="J1756" s="19" t="s">
        <v>28</v>
      </c>
      <c r="K1756" s="19" t="s">
        <v>5170</v>
      </c>
      <c r="L1756" s="40"/>
    </row>
    <row r="1757" ht="22.5" customHeight="1">
      <c r="C1757" s="19" t="s">
        <v>5807</v>
      </c>
      <c r="D1757" s="39" t="s">
        <v>5843</v>
      </c>
      <c r="E1757" s="43" t="s">
        <v>5844</v>
      </c>
      <c r="F1757" s="43" t="s">
        <v>5845</v>
      </c>
      <c r="G1757" s="43" t="s">
        <v>5846</v>
      </c>
      <c r="H1757" s="44">
        <v>3.059061878E9</v>
      </c>
      <c r="I1757" s="18">
        <f t="shared" si="17"/>
        <v>45958</v>
      </c>
      <c r="J1757" s="19" t="s">
        <v>28</v>
      </c>
      <c r="K1757" s="19" t="s">
        <v>5170</v>
      </c>
      <c r="L1757" s="40"/>
    </row>
    <row r="1758" ht="22.5" customHeight="1">
      <c r="C1758" s="19" t="s">
        <v>5807</v>
      </c>
      <c r="D1758" s="39" t="s">
        <v>5847</v>
      </c>
      <c r="E1758" s="43" t="s">
        <v>5848</v>
      </c>
      <c r="F1758" s="43" t="s">
        <v>5849</v>
      </c>
      <c r="G1758" s="43" t="s">
        <v>5850</v>
      </c>
      <c r="H1758" s="42" t="s">
        <v>182</v>
      </c>
      <c r="I1758" s="18">
        <f t="shared" si="17"/>
        <v>45958</v>
      </c>
      <c r="J1758" s="19" t="s">
        <v>28</v>
      </c>
      <c r="K1758" s="19" t="s">
        <v>5170</v>
      </c>
      <c r="L1758" s="40"/>
    </row>
    <row r="1759" ht="22.5" customHeight="1">
      <c r="C1759" s="19" t="s">
        <v>5807</v>
      </c>
      <c r="D1759" s="39" t="s">
        <v>5851</v>
      </c>
      <c r="E1759" s="43" t="s">
        <v>5852</v>
      </c>
      <c r="F1759" s="43" t="s">
        <v>5853</v>
      </c>
      <c r="G1759" s="43" t="s">
        <v>5854</v>
      </c>
      <c r="H1759" s="44">
        <v>5.61504344E9</v>
      </c>
      <c r="I1759" s="18">
        <f t="shared" si="17"/>
        <v>45958</v>
      </c>
      <c r="J1759" s="19" t="s">
        <v>28</v>
      </c>
      <c r="K1759" s="19" t="s">
        <v>5170</v>
      </c>
      <c r="L1759" s="40"/>
    </row>
    <row r="1760" ht="22.5" customHeight="1">
      <c r="C1760" s="19" t="s">
        <v>5807</v>
      </c>
      <c r="D1760" s="39" t="s">
        <v>5855</v>
      </c>
      <c r="E1760" s="43" t="s">
        <v>5856</v>
      </c>
      <c r="F1760" s="43" t="s">
        <v>5857</v>
      </c>
      <c r="G1760" s="43" t="s">
        <v>5858</v>
      </c>
      <c r="H1760" s="44">
        <v>3.055040906E9</v>
      </c>
      <c r="I1760" s="18">
        <f t="shared" si="17"/>
        <v>45958</v>
      </c>
      <c r="J1760" s="19" t="s">
        <v>28</v>
      </c>
      <c r="K1760" s="19" t="s">
        <v>5170</v>
      </c>
      <c r="L1760" s="40"/>
    </row>
    <row r="1761" ht="22.5" customHeight="1">
      <c r="C1761" s="19" t="s">
        <v>5807</v>
      </c>
      <c r="D1761" s="39" t="s">
        <v>5859</v>
      </c>
      <c r="E1761" s="43" t="s">
        <v>5860</v>
      </c>
      <c r="F1761" s="43" t="s">
        <v>5861</v>
      </c>
      <c r="G1761" s="43" t="s">
        <v>5862</v>
      </c>
      <c r="H1761" s="44">
        <v>3.059261556E9</v>
      </c>
      <c r="I1761" s="18">
        <f t="shared" si="17"/>
        <v>45958</v>
      </c>
      <c r="J1761" s="19" t="s">
        <v>28</v>
      </c>
      <c r="K1761" s="19" t="s">
        <v>5170</v>
      </c>
      <c r="L1761" s="40"/>
    </row>
    <row r="1762" ht="22.5" customHeight="1">
      <c r="C1762" s="19" t="s">
        <v>5807</v>
      </c>
      <c r="D1762" s="39" t="s">
        <v>5863</v>
      </c>
      <c r="E1762" s="43" t="s">
        <v>5864</v>
      </c>
      <c r="F1762" s="43" t="s">
        <v>5865</v>
      </c>
      <c r="G1762" s="43" t="s">
        <v>5866</v>
      </c>
      <c r="H1762" s="44">
        <v>9.548168034E9</v>
      </c>
      <c r="I1762" s="18">
        <f t="shared" si="17"/>
        <v>45958</v>
      </c>
      <c r="J1762" s="19" t="s">
        <v>28</v>
      </c>
      <c r="K1762" s="19" t="s">
        <v>5170</v>
      </c>
      <c r="L1762" s="40"/>
    </row>
    <row r="1763" ht="22.5" customHeight="1">
      <c r="C1763" s="19" t="s">
        <v>5807</v>
      </c>
      <c r="D1763" s="39" t="s">
        <v>5867</v>
      </c>
      <c r="E1763" s="43" t="s">
        <v>5868</v>
      </c>
      <c r="F1763" s="43" t="s">
        <v>5869</v>
      </c>
      <c r="G1763" s="43" t="s">
        <v>5870</v>
      </c>
      <c r="H1763" s="44">
        <v>7.865370241E9</v>
      </c>
      <c r="I1763" s="18">
        <f t="shared" si="17"/>
        <v>45958</v>
      </c>
      <c r="J1763" s="19" t="s">
        <v>28</v>
      </c>
      <c r="K1763" s="19" t="s">
        <v>5170</v>
      </c>
      <c r="L1763" s="40"/>
    </row>
    <row r="1764" ht="22.5" customHeight="1">
      <c r="C1764" s="19" t="s">
        <v>5807</v>
      </c>
      <c r="D1764" s="39" t="s">
        <v>5871</v>
      </c>
      <c r="E1764" s="43" t="s">
        <v>5872</v>
      </c>
      <c r="F1764" s="43" t="s">
        <v>5873</v>
      </c>
      <c r="G1764" s="43" t="s">
        <v>5874</v>
      </c>
      <c r="H1764" s="42" t="s">
        <v>182</v>
      </c>
      <c r="I1764" s="18">
        <f t="shared" si="17"/>
        <v>45958</v>
      </c>
      <c r="J1764" s="19" t="s">
        <v>28</v>
      </c>
      <c r="K1764" s="19" t="s">
        <v>5170</v>
      </c>
      <c r="L1764" s="40"/>
    </row>
    <row r="1765" ht="22.5" customHeight="1">
      <c r="C1765" s="19" t="s">
        <v>5807</v>
      </c>
      <c r="D1765" s="39" t="s">
        <v>5875</v>
      </c>
      <c r="E1765" s="43" t="s">
        <v>5876</v>
      </c>
      <c r="F1765" s="43" t="s">
        <v>5877</v>
      </c>
      <c r="G1765" s="43" t="s">
        <v>5878</v>
      </c>
      <c r="H1765" s="44">
        <v>7.863900083E9</v>
      </c>
      <c r="I1765" s="18">
        <f t="shared" si="17"/>
        <v>45958</v>
      </c>
      <c r="J1765" s="19" t="s">
        <v>28</v>
      </c>
      <c r="K1765" s="19" t="s">
        <v>5170</v>
      </c>
      <c r="L1765" s="40"/>
    </row>
    <row r="1766" ht="22.5" customHeight="1">
      <c r="C1766" s="19" t="s">
        <v>5807</v>
      </c>
      <c r="D1766" s="39" t="s">
        <v>5879</v>
      </c>
      <c r="E1766" s="43" t="s">
        <v>5880</v>
      </c>
      <c r="F1766" s="43" t="s">
        <v>5881</v>
      </c>
      <c r="G1766" s="43" t="s">
        <v>5882</v>
      </c>
      <c r="H1766" s="42" t="s">
        <v>5883</v>
      </c>
      <c r="I1766" s="18">
        <f t="shared" si="17"/>
        <v>45958</v>
      </c>
      <c r="J1766" s="19" t="s">
        <v>28</v>
      </c>
      <c r="K1766" s="19" t="s">
        <v>5170</v>
      </c>
      <c r="L1766" s="40"/>
    </row>
    <row r="1767" ht="22.5" customHeight="1">
      <c r="C1767" s="19" t="s">
        <v>5807</v>
      </c>
      <c r="D1767" s="39" t="s">
        <v>5884</v>
      </c>
      <c r="E1767" s="43" t="s">
        <v>5885</v>
      </c>
      <c r="F1767" s="43" t="s">
        <v>5886</v>
      </c>
      <c r="G1767" s="43" t="s">
        <v>5887</v>
      </c>
      <c r="H1767" s="44">
        <v>3.057536758E9</v>
      </c>
      <c r="I1767" s="18">
        <f t="shared" si="17"/>
        <v>45958</v>
      </c>
      <c r="J1767" s="19" t="s">
        <v>28</v>
      </c>
      <c r="K1767" s="19" t="s">
        <v>5170</v>
      </c>
      <c r="L1767" s="40"/>
    </row>
    <row r="1768" ht="22.5" customHeight="1">
      <c r="C1768" s="19" t="s">
        <v>5807</v>
      </c>
      <c r="D1768" s="39" t="s">
        <v>5888</v>
      </c>
      <c r="E1768" s="43" t="s">
        <v>5889</v>
      </c>
      <c r="F1768" s="43" t="s">
        <v>5890</v>
      </c>
      <c r="G1768" s="43" t="s">
        <v>5891</v>
      </c>
      <c r="H1768" s="44">
        <v>3.053325255E9</v>
      </c>
      <c r="I1768" s="18">
        <f t="shared" si="17"/>
        <v>45958</v>
      </c>
      <c r="J1768" s="19" t="s">
        <v>28</v>
      </c>
      <c r="K1768" s="19" t="s">
        <v>5170</v>
      </c>
      <c r="L1768" s="40"/>
    </row>
    <row r="1769" ht="22.5" customHeight="1">
      <c r="C1769" s="19" t="s">
        <v>5807</v>
      </c>
      <c r="D1769" s="39" t="s">
        <v>5892</v>
      </c>
      <c r="E1769" s="43" t="s">
        <v>5893</v>
      </c>
      <c r="F1769" s="43" t="s">
        <v>5894</v>
      </c>
      <c r="G1769" s="43" t="s">
        <v>5895</v>
      </c>
      <c r="H1769" s="42" t="s">
        <v>5896</v>
      </c>
      <c r="I1769" s="18">
        <f t="shared" si="17"/>
        <v>45958</v>
      </c>
      <c r="J1769" s="19" t="s">
        <v>28</v>
      </c>
      <c r="K1769" s="19" t="s">
        <v>5170</v>
      </c>
      <c r="L1769" s="40"/>
    </row>
    <row r="1770" ht="22.5" customHeight="1">
      <c r="C1770" s="19" t="s">
        <v>5807</v>
      </c>
      <c r="D1770" s="39" t="s">
        <v>5897</v>
      </c>
      <c r="E1770" s="43" t="s">
        <v>5898</v>
      </c>
      <c r="F1770" s="43" t="s">
        <v>5899</v>
      </c>
      <c r="G1770" s="43" t="s">
        <v>5900</v>
      </c>
      <c r="H1770" s="44">
        <v>3.0533382E9</v>
      </c>
      <c r="I1770" s="18">
        <f t="shared" si="17"/>
        <v>45958</v>
      </c>
      <c r="J1770" s="19" t="s">
        <v>28</v>
      </c>
      <c r="K1770" s="19" t="s">
        <v>5170</v>
      </c>
      <c r="L1770" s="40"/>
    </row>
    <row r="1771" ht="22.5" customHeight="1">
      <c r="C1771" s="19" t="s">
        <v>5807</v>
      </c>
      <c r="D1771" s="39" t="s">
        <v>5901</v>
      </c>
      <c r="E1771" s="43" t="s">
        <v>5902</v>
      </c>
      <c r="F1771" s="43" t="s">
        <v>5903</v>
      </c>
      <c r="G1771" s="43" t="s">
        <v>5904</v>
      </c>
      <c r="H1771" s="44">
        <v>3.053370578E9</v>
      </c>
      <c r="I1771" s="18">
        <f t="shared" si="17"/>
        <v>45958</v>
      </c>
      <c r="J1771" s="19" t="s">
        <v>28</v>
      </c>
      <c r="K1771" s="19" t="s">
        <v>5170</v>
      </c>
      <c r="L1771" s="40"/>
    </row>
    <row r="1772" ht="22.5" customHeight="1">
      <c r="C1772" s="19" t="s">
        <v>5807</v>
      </c>
      <c r="D1772" s="39" t="s">
        <v>5905</v>
      </c>
      <c r="E1772" s="43" t="s">
        <v>5906</v>
      </c>
      <c r="F1772" s="43" t="s">
        <v>5907</v>
      </c>
      <c r="G1772" s="43" t="s">
        <v>5908</v>
      </c>
      <c r="H1772" s="42" t="s">
        <v>5909</v>
      </c>
      <c r="I1772" s="18">
        <f t="shared" si="17"/>
        <v>45958</v>
      </c>
      <c r="J1772" s="19" t="s">
        <v>28</v>
      </c>
      <c r="K1772" s="19" t="s">
        <v>5170</v>
      </c>
      <c r="L1772" s="40"/>
    </row>
    <row r="1773" ht="22.5" customHeight="1">
      <c r="C1773" s="19" t="s">
        <v>5807</v>
      </c>
      <c r="D1773" s="39" t="s">
        <v>5910</v>
      </c>
      <c r="E1773" s="43" t="s">
        <v>5911</v>
      </c>
      <c r="F1773" s="43" t="s">
        <v>5912</v>
      </c>
      <c r="G1773" s="43" t="s">
        <v>5913</v>
      </c>
      <c r="H1773" s="44">
        <v>7.862285917E9</v>
      </c>
      <c r="I1773" s="18">
        <f t="shared" si="17"/>
        <v>45958</v>
      </c>
      <c r="J1773" s="19" t="s">
        <v>28</v>
      </c>
      <c r="K1773" s="19" t="s">
        <v>5170</v>
      </c>
      <c r="L1773" s="40"/>
    </row>
    <row r="1774" ht="22.5" customHeight="1">
      <c r="C1774" s="19" t="s">
        <v>5807</v>
      </c>
      <c r="D1774" s="39" t="s">
        <v>5914</v>
      </c>
      <c r="E1774" s="43" t="s">
        <v>5915</v>
      </c>
      <c r="F1774" s="43" t="s">
        <v>5916</v>
      </c>
      <c r="G1774" s="43" t="s">
        <v>5917</v>
      </c>
      <c r="H1774" s="44">
        <v>7.542814299E9</v>
      </c>
      <c r="I1774" s="18">
        <f t="shared" si="17"/>
        <v>45958</v>
      </c>
      <c r="J1774" s="19" t="s">
        <v>28</v>
      </c>
      <c r="K1774" s="19" t="s">
        <v>5170</v>
      </c>
      <c r="L1774" s="4" t="s">
        <v>148</v>
      </c>
    </row>
    <row r="1775" ht="22.5" customHeight="1">
      <c r="C1775" s="19" t="s">
        <v>5807</v>
      </c>
      <c r="D1775" s="39" t="s">
        <v>5918</v>
      </c>
      <c r="E1775" s="43" t="s">
        <v>5919</v>
      </c>
      <c r="F1775" s="43" t="s">
        <v>5920</v>
      </c>
      <c r="G1775" s="43" t="s">
        <v>5921</v>
      </c>
      <c r="H1775" s="42" t="s">
        <v>5922</v>
      </c>
      <c r="I1775" s="18">
        <f t="shared" si="17"/>
        <v>45958</v>
      </c>
      <c r="J1775" s="19" t="s">
        <v>28</v>
      </c>
      <c r="K1775" s="19" t="s">
        <v>5170</v>
      </c>
      <c r="L1775" s="40"/>
    </row>
    <row r="1776" ht="22.5" customHeight="1">
      <c r="C1776" s="19" t="s">
        <v>5807</v>
      </c>
      <c r="D1776" s="39" t="s">
        <v>5923</v>
      </c>
      <c r="E1776" s="43" t="s">
        <v>5924</v>
      </c>
      <c r="F1776" s="43" t="s">
        <v>5925</v>
      </c>
      <c r="G1776" s="43" t="s">
        <v>5926</v>
      </c>
      <c r="H1776" s="44">
        <v>9.545601986E9</v>
      </c>
      <c r="I1776" s="18">
        <f t="shared" si="17"/>
        <v>45958</v>
      </c>
      <c r="J1776" s="19" t="s">
        <v>28</v>
      </c>
      <c r="K1776" s="19" t="s">
        <v>5170</v>
      </c>
      <c r="L1776" s="40"/>
    </row>
    <row r="1777" ht="22.5" customHeight="1">
      <c r="C1777" s="19" t="s">
        <v>5807</v>
      </c>
      <c r="D1777" s="39" t="s">
        <v>5927</v>
      </c>
      <c r="E1777" s="43" t="s">
        <v>5928</v>
      </c>
      <c r="F1777" s="43" t="s">
        <v>2449</v>
      </c>
      <c r="G1777" s="43" t="s">
        <v>5929</v>
      </c>
      <c r="H1777" s="42" t="s">
        <v>5930</v>
      </c>
      <c r="I1777" s="18">
        <f t="shared" si="17"/>
        <v>45958</v>
      </c>
      <c r="J1777" s="19" t="s">
        <v>28</v>
      </c>
      <c r="K1777" s="19" t="s">
        <v>5170</v>
      </c>
      <c r="L1777" s="40"/>
    </row>
    <row r="1778" ht="22.5" customHeight="1">
      <c r="C1778" s="19" t="s">
        <v>5807</v>
      </c>
      <c r="D1778" s="39" t="s">
        <v>5931</v>
      </c>
      <c r="E1778" s="43" t="s">
        <v>5932</v>
      </c>
      <c r="F1778" s="43" t="s">
        <v>5933</v>
      </c>
      <c r="G1778" s="43" t="s">
        <v>5934</v>
      </c>
      <c r="H1778" s="42" t="s">
        <v>5935</v>
      </c>
      <c r="I1778" s="18">
        <f t="shared" si="17"/>
        <v>45958</v>
      </c>
      <c r="J1778" s="19" t="s">
        <v>28</v>
      </c>
      <c r="K1778" s="19" t="s">
        <v>5170</v>
      </c>
      <c r="L1778" s="4" t="s">
        <v>99</v>
      </c>
    </row>
    <row r="1779" ht="22.5" customHeight="1">
      <c r="C1779" s="19" t="s">
        <v>5807</v>
      </c>
      <c r="D1779" s="39" t="s">
        <v>5936</v>
      </c>
      <c r="E1779" s="43" t="s">
        <v>5937</v>
      </c>
      <c r="F1779" s="43" t="s">
        <v>5938</v>
      </c>
      <c r="G1779" s="43" t="s">
        <v>5939</v>
      </c>
      <c r="H1779" s="42" t="s">
        <v>5940</v>
      </c>
      <c r="I1779" s="18">
        <f t="shared" si="17"/>
        <v>45958</v>
      </c>
      <c r="J1779" s="19" t="s">
        <v>28</v>
      </c>
      <c r="K1779" s="19" t="s">
        <v>5170</v>
      </c>
      <c r="L1779" s="40"/>
    </row>
    <row r="1780" ht="22.5" customHeight="1">
      <c r="C1780" s="19" t="s">
        <v>5807</v>
      </c>
      <c r="D1780" s="39" t="s">
        <v>5941</v>
      </c>
      <c r="E1780" s="43" t="s">
        <v>5942</v>
      </c>
      <c r="F1780" s="43" t="s">
        <v>5943</v>
      </c>
      <c r="G1780" s="43" t="s">
        <v>5944</v>
      </c>
      <c r="H1780" s="42" t="s">
        <v>5945</v>
      </c>
      <c r="I1780" s="18">
        <f t="shared" si="17"/>
        <v>45958</v>
      </c>
      <c r="J1780" s="19" t="s">
        <v>28</v>
      </c>
      <c r="K1780" s="19" t="s">
        <v>5170</v>
      </c>
      <c r="L1780" s="40"/>
    </row>
    <row r="1781" ht="22.5" customHeight="1">
      <c r="C1781" s="19" t="s">
        <v>5807</v>
      </c>
      <c r="D1781" s="39" t="s">
        <v>5946</v>
      </c>
      <c r="E1781" s="43" t="s">
        <v>5947</v>
      </c>
      <c r="F1781" s="43" t="s">
        <v>5948</v>
      </c>
      <c r="G1781" s="43" t="s">
        <v>5949</v>
      </c>
      <c r="H1781" s="42" t="s">
        <v>182</v>
      </c>
      <c r="I1781" s="18">
        <f t="shared" si="17"/>
        <v>45958</v>
      </c>
      <c r="J1781" s="19" t="s">
        <v>28</v>
      </c>
      <c r="K1781" s="19" t="s">
        <v>5170</v>
      </c>
      <c r="L1781" s="40"/>
    </row>
    <row r="1782" ht="22.5" customHeight="1">
      <c r="C1782" s="19" t="s">
        <v>5807</v>
      </c>
      <c r="D1782" s="39" t="s">
        <v>5950</v>
      </c>
      <c r="E1782" s="43" t="s">
        <v>5951</v>
      </c>
      <c r="F1782" s="43" t="s">
        <v>5952</v>
      </c>
      <c r="G1782" s="43" t="s">
        <v>5953</v>
      </c>
      <c r="H1782" s="44">
        <v>3.059758227E9</v>
      </c>
      <c r="I1782" s="18">
        <f t="shared" si="17"/>
        <v>45958</v>
      </c>
      <c r="J1782" s="19" t="s">
        <v>28</v>
      </c>
      <c r="K1782" s="19" t="s">
        <v>5170</v>
      </c>
      <c r="L1782" s="40"/>
    </row>
    <row r="1783" ht="22.5" customHeight="1">
      <c r="C1783" s="19" t="s">
        <v>5807</v>
      </c>
      <c r="D1783" s="39" t="s">
        <v>5954</v>
      </c>
      <c r="E1783" s="43" t="s">
        <v>5955</v>
      </c>
      <c r="F1783" s="43" t="s">
        <v>5956</v>
      </c>
      <c r="G1783" s="43" t="s">
        <v>5957</v>
      </c>
      <c r="H1783" s="42" t="s">
        <v>5958</v>
      </c>
      <c r="I1783" s="18">
        <f t="shared" si="17"/>
        <v>45958</v>
      </c>
      <c r="J1783" s="19" t="s">
        <v>28</v>
      </c>
      <c r="K1783" s="19" t="s">
        <v>5170</v>
      </c>
      <c r="L1783" s="40"/>
    </row>
    <row r="1784" ht="22.5" customHeight="1">
      <c r="C1784" s="19" t="s">
        <v>5807</v>
      </c>
      <c r="D1784" s="39" t="s">
        <v>5959</v>
      </c>
      <c r="E1784" s="43" t="s">
        <v>5960</v>
      </c>
      <c r="F1784" s="43" t="s">
        <v>5961</v>
      </c>
      <c r="G1784" s="43" t="s">
        <v>5962</v>
      </c>
      <c r="H1784" s="42" t="s">
        <v>5963</v>
      </c>
      <c r="I1784" s="18">
        <f t="shared" si="17"/>
        <v>45958</v>
      </c>
      <c r="J1784" s="19" t="s">
        <v>28</v>
      </c>
      <c r="K1784" s="19" t="s">
        <v>5170</v>
      </c>
      <c r="L1784" s="40"/>
    </row>
    <row r="1785" ht="22.5" customHeight="1">
      <c r="C1785" s="19" t="s">
        <v>5964</v>
      </c>
      <c r="D1785" s="39" t="s">
        <v>5965</v>
      </c>
      <c r="E1785" s="43" t="s">
        <v>5966</v>
      </c>
      <c r="F1785" s="43" t="s">
        <v>5967</v>
      </c>
      <c r="G1785" s="43" t="s">
        <v>5968</v>
      </c>
      <c r="H1785" s="42" t="s">
        <v>5969</v>
      </c>
      <c r="I1785" s="18">
        <f t="shared" si="17"/>
        <v>45958</v>
      </c>
      <c r="J1785" s="19" t="s">
        <v>28</v>
      </c>
      <c r="K1785" s="19" t="s">
        <v>5170</v>
      </c>
      <c r="L1785" s="40"/>
    </row>
    <row r="1786" ht="22.5" customHeight="1">
      <c r="C1786" s="19" t="s">
        <v>5964</v>
      </c>
      <c r="D1786" s="39" t="s">
        <v>5970</v>
      </c>
      <c r="E1786" s="43" t="s">
        <v>5971</v>
      </c>
      <c r="F1786" s="43" t="s">
        <v>5972</v>
      </c>
      <c r="G1786" s="43" t="s">
        <v>5973</v>
      </c>
      <c r="H1786" s="44">
        <v>3.053493955E9</v>
      </c>
      <c r="I1786" s="18">
        <f t="shared" si="17"/>
        <v>45958</v>
      </c>
      <c r="J1786" s="19" t="s">
        <v>28</v>
      </c>
      <c r="K1786" s="19" t="s">
        <v>5170</v>
      </c>
      <c r="L1786" s="40"/>
    </row>
    <row r="1787" ht="22.5" customHeight="1">
      <c r="C1787" s="19" t="s">
        <v>5964</v>
      </c>
      <c r="D1787" s="39" t="s">
        <v>5974</v>
      </c>
      <c r="E1787" s="43" t="s">
        <v>5975</v>
      </c>
      <c r="F1787" s="43" t="s">
        <v>5976</v>
      </c>
      <c r="G1787" s="43" t="s">
        <v>5977</v>
      </c>
      <c r="H1787" s="42" t="s">
        <v>5978</v>
      </c>
      <c r="I1787" s="18">
        <f t="shared" si="17"/>
        <v>45958</v>
      </c>
      <c r="J1787" s="19" t="s">
        <v>28</v>
      </c>
      <c r="K1787" s="19" t="s">
        <v>5170</v>
      </c>
      <c r="L1787" s="40"/>
    </row>
    <row r="1788" ht="22.5" customHeight="1">
      <c r="C1788" s="19" t="s">
        <v>5964</v>
      </c>
      <c r="D1788" s="39" t="s">
        <v>5979</v>
      </c>
      <c r="E1788" s="43" t="s">
        <v>5980</v>
      </c>
      <c r="F1788" s="43" t="s">
        <v>5981</v>
      </c>
      <c r="G1788" s="43" t="s">
        <v>5949</v>
      </c>
      <c r="H1788" s="44">
        <v>9.542967626E9</v>
      </c>
      <c r="I1788" s="18">
        <f t="shared" si="17"/>
        <v>45958</v>
      </c>
      <c r="J1788" s="19" t="s">
        <v>28</v>
      </c>
      <c r="K1788" s="19" t="s">
        <v>5170</v>
      </c>
      <c r="L1788" s="40"/>
    </row>
    <row r="1789" ht="22.5" customHeight="1">
      <c r="C1789" s="19" t="s">
        <v>5964</v>
      </c>
      <c r="D1789" s="39" t="s">
        <v>5982</v>
      </c>
      <c r="E1789" s="43" t="s">
        <v>5983</v>
      </c>
      <c r="F1789" s="43" t="s">
        <v>5984</v>
      </c>
      <c r="G1789" s="43" t="s">
        <v>5985</v>
      </c>
      <c r="H1789" s="44">
        <v>3.056139201E9</v>
      </c>
      <c r="I1789" s="18">
        <f t="shared" si="17"/>
        <v>45958</v>
      </c>
      <c r="J1789" s="19" t="s">
        <v>28</v>
      </c>
      <c r="K1789" s="19" t="s">
        <v>5170</v>
      </c>
      <c r="L1789" s="40"/>
    </row>
    <row r="1790" ht="22.5" customHeight="1">
      <c r="C1790" s="19" t="s">
        <v>5964</v>
      </c>
      <c r="D1790" s="39" t="s">
        <v>5986</v>
      </c>
      <c r="E1790" s="43" t="s">
        <v>5987</v>
      </c>
      <c r="F1790" s="43" t="s">
        <v>767</v>
      </c>
      <c r="G1790" s="43" t="s">
        <v>5988</v>
      </c>
      <c r="H1790" s="44">
        <v>7.862186718E9</v>
      </c>
      <c r="I1790" s="18">
        <f t="shared" si="17"/>
        <v>45958</v>
      </c>
      <c r="J1790" s="19" t="s">
        <v>28</v>
      </c>
      <c r="K1790" s="19" t="s">
        <v>5170</v>
      </c>
      <c r="L1790" s="40"/>
    </row>
    <row r="1791" ht="22.5" customHeight="1">
      <c r="C1791" s="19" t="s">
        <v>5964</v>
      </c>
      <c r="D1791" s="39" t="s">
        <v>5989</v>
      </c>
      <c r="E1791" s="43" t="s">
        <v>5990</v>
      </c>
      <c r="F1791" s="43" t="s">
        <v>5991</v>
      </c>
      <c r="G1791" s="43" t="s">
        <v>460</v>
      </c>
      <c r="H1791" s="44">
        <v>3.05821144E9</v>
      </c>
      <c r="I1791" s="18">
        <f t="shared" si="17"/>
        <v>45958</v>
      </c>
      <c r="J1791" s="19" t="s">
        <v>28</v>
      </c>
      <c r="K1791" s="19" t="s">
        <v>5170</v>
      </c>
      <c r="L1791" s="40"/>
    </row>
    <row r="1792" ht="22.5" customHeight="1">
      <c r="C1792" s="19" t="s">
        <v>5964</v>
      </c>
      <c r="D1792" s="39" t="s">
        <v>5992</v>
      </c>
      <c r="E1792" s="43" t="s">
        <v>5993</v>
      </c>
      <c r="F1792" s="43" t="s">
        <v>5819</v>
      </c>
      <c r="G1792" s="43" t="s">
        <v>5820</v>
      </c>
      <c r="H1792" s="44">
        <v>7.868376787E9</v>
      </c>
      <c r="I1792" s="18">
        <f t="shared" si="17"/>
        <v>45958</v>
      </c>
      <c r="J1792" s="19" t="s">
        <v>28</v>
      </c>
      <c r="K1792" s="19" t="s">
        <v>5170</v>
      </c>
      <c r="L1792" s="40"/>
    </row>
    <row r="1793" ht="22.5" customHeight="1">
      <c r="C1793" s="19" t="s">
        <v>5964</v>
      </c>
      <c r="D1793" s="39" t="s">
        <v>5994</v>
      </c>
      <c r="E1793" s="43" t="s">
        <v>5995</v>
      </c>
      <c r="F1793" s="43" t="s">
        <v>5996</v>
      </c>
      <c r="G1793" s="43" t="s">
        <v>5929</v>
      </c>
      <c r="H1793" s="44">
        <v>1.7864886234E10</v>
      </c>
      <c r="I1793" s="18">
        <f t="shared" si="17"/>
        <v>45958</v>
      </c>
      <c r="J1793" s="19" t="s">
        <v>28</v>
      </c>
      <c r="K1793" s="19" t="s">
        <v>5170</v>
      </c>
      <c r="L1793" s="40"/>
    </row>
    <row r="1794" ht="22.5" customHeight="1">
      <c r="C1794" s="19" t="s">
        <v>5964</v>
      </c>
      <c r="D1794" s="39" t="s">
        <v>5997</v>
      </c>
      <c r="E1794" s="43" t="s">
        <v>5998</v>
      </c>
      <c r="F1794" s="43" t="s">
        <v>5999</v>
      </c>
      <c r="G1794" s="43" t="s">
        <v>5882</v>
      </c>
      <c r="H1794" s="42" t="s">
        <v>6000</v>
      </c>
      <c r="I1794" s="18">
        <f t="shared" si="17"/>
        <v>45958</v>
      </c>
      <c r="J1794" s="19" t="s">
        <v>28</v>
      </c>
      <c r="K1794" s="19" t="s">
        <v>5170</v>
      </c>
      <c r="L1794" s="40"/>
    </row>
    <row r="1795" ht="22.5" customHeight="1">
      <c r="C1795" s="19" t="s">
        <v>5964</v>
      </c>
      <c r="D1795" s="39" t="s">
        <v>6001</v>
      </c>
      <c r="E1795" s="43" t="s">
        <v>6002</v>
      </c>
      <c r="F1795" s="43" t="s">
        <v>6003</v>
      </c>
      <c r="G1795" s="43" t="s">
        <v>6004</v>
      </c>
      <c r="H1795" s="44">
        <v>7.86973643E9</v>
      </c>
      <c r="I1795" s="18">
        <f t="shared" si="17"/>
        <v>45958</v>
      </c>
      <c r="J1795" s="19" t="s">
        <v>28</v>
      </c>
      <c r="K1795" s="19" t="s">
        <v>5170</v>
      </c>
      <c r="L1795" s="40"/>
    </row>
    <row r="1796" ht="22.5" customHeight="1">
      <c r="C1796" s="19" t="s">
        <v>5964</v>
      </c>
      <c r="D1796" s="39" t="s">
        <v>6005</v>
      </c>
      <c r="E1796" s="43" t="s">
        <v>6006</v>
      </c>
      <c r="F1796" s="43" t="s">
        <v>6007</v>
      </c>
      <c r="G1796" s="43" t="s">
        <v>5895</v>
      </c>
      <c r="H1796" s="44">
        <v>3.055560528E9</v>
      </c>
      <c r="I1796" s="18">
        <f t="shared" si="17"/>
        <v>45958</v>
      </c>
      <c r="J1796" s="19" t="s">
        <v>28</v>
      </c>
      <c r="K1796" s="19" t="s">
        <v>5170</v>
      </c>
      <c r="L1796" s="40"/>
    </row>
    <row r="1797" ht="22.5" customHeight="1">
      <c r="C1797" s="19" t="s">
        <v>5964</v>
      </c>
      <c r="D1797" s="39" t="s">
        <v>6008</v>
      </c>
      <c r="E1797" s="43" t="s">
        <v>6009</v>
      </c>
      <c r="F1797" s="43" t="s">
        <v>6010</v>
      </c>
      <c r="G1797" s="43" t="s">
        <v>6011</v>
      </c>
      <c r="H1797" s="42" t="s">
        <v>6012</v>
      </c>
      <c r="I1797" s="18">
        <f t="shared" si="17"/>
        <v>45958</v>
      </c>
      <c r="J1797" s="19" t="s">
        <v>28</v>
      </c>
      <c r="K1797" s="19" t="s">
        <v>5170</v>
      </c>
      <c r="L1797" s="40"/>
    </row>
    <row r="1798" ht="22.5" customHeight="1">
      <c r="C1798" s="19" t="s">
        <v>5964</v>
      </c>
      <c r="D1798" s="39" t="s">
        <v>6013</v>
      </c>
      <c r="E1798" s="43" t="s">
        <v>6014</v>
      </c>
      <c r="F1798" s="43" t="s">
        <v>6015</v>
      </c>
      <c r="G1798" s="43" t="s">
        <v>5891</v>
      </c>
      <c r="H1798" s="44">
        <v>3.057040521E9</v>
      </c>
      <c r="I1798" s="18">
        <f t="shared" si="17"/>
        <v>45958</v>
      </c>
      <c r="J1798" s="19" t="s">
        <v>28</v>
      </c>
      <c r="K1798" s="19" t="s">
        <v>5170</v>
      </c>
      <c r="L1798" s="40"/>
    </row>
    <row r="1799" ht="22.5" customHeight="1">
      <c r="C1799" s="19" t="s">
        <v>5964</v>
      </c>
      <c r="D1799" s="39" t="s">
        <v>6016</v>
      </c>
      <c r="E1799" s="43" t="s">
        <v>6017</v>
      </c>
      <c r="F1799" s="43" t="s">
        <v>6018</v>
      </c>
      <c r="G1799" s="43" t="s">
        <v>5878</v>
      </c>
      <c r="H1799" s="42" t="s">
        <v>6019</v>
      </c>
      <c r="I1799" s="18">
        <f t="shared" si="17"/>
        <v>45958</v>
      </c>
      <c r="J1799" s="19" t="s">
        <v>28</v>
      </c>
      <c r="K1799" s="19" t="s">
        <v>5170</v>
      </c>
      <c r="L1799" s="40"/>
    </row>
    <row r="1800" ht="22.5" customHeight="1">
      <c r="C1800" s="19" t="s">
        <v>5964</v>
      </c>
      <c r="D1800" s="39" t="s">
        <v>6020</v>
      </c>
      <c r="E1800" s="43" t="s">
        <v>6021</v>
      </c>
      <c r="F1800" s="43" t="s">
        <v>6022</v>
      </c>
      <c r="G1800" s="43" t="s">
        <v>5908</v>
      </c>
      <c r="H1800" s="44">
        <v>3.052091335E9</v>
      </c>
      <c r="I1800" s="18">
        <f t="shared" si="17"/>
        <v>45958</v>
      </c>
      <c r="J1800" s="19" t="s">
        <v>28</v>
      </c>
      <c r="K1800" s="19" t="s">
        <v>5170</v>
      </c>
      <c r="L1800" s="40"/>
    </row>
    <row r="1801" ht="22.5" customHeight="1">
      <c r="C1801" s="19" t="s">
        <v>5964</v>
      </c>
      <c r="D1801" s="39" t="s">
        <v>6023</v>
      </c>
      <c r="E1801" s="43" t="s">
        <v>6024</v>
      </c>
      <c r="F1801" s="43" t="s">
        <v>6025</v>
      </c>
      <c r="G1801" s="43" t="s">
        <v>6026</v>
      </c>
      <c r="H1801" s="42" t="s">
        <v>6027</v>
      </c>
      <c r="I1801" s="18">
        <f t="shared" si="17"/>
        <v>45958</v>
      </c>
      <c r="J1801" s="19" t="s">
        <v>28</v>
      </c>
      <c r="K1801" s="19" t="s">
        <v>5170</v>
      </c>
      <c r="L1801" s="40"/>
    </row>
    <row r="1802" ht="22.5" customHeight="1">
      <c r="C1802" s="19" t="s">
        <v>5964</v>
      </c>
      <c r="D1802" s="39" t="s">
        <v>6028</v>
      </c>
      <c r="E1802" s="43" t="s">
        <v>6029</v>
      </c>
      <c r="F1802" s="43" t="s">
        <v>6030</v>
      </c>
      <c r="G1802" s="43" t="s">
        <v>5962</v>
      </c>
      <c r="H1802" s="44">
        <v>7.863824469E9</v>
      </c>
      <c r="I1802" s="18">
        <f t="shared" si="17"/>
        <v>45958</v>
      </c>
      <c r="J1802" s="19" t="s">
        <v>28</v>
      </c>
      <c r="K1802" s="19" t="s">
        <v>5170</v>
      </c>
      <c r="L1802" s="40"/>
    </row>
    <row r="1803" ht="22.5" customHeight="1">
      <c r="C1803" s="19" t="s">
        <v>5964</v>
      </c>
      <c r="D1803" s="39" t="s">
        <v>6031</v>
      </c>
      <c r="E1803" s="43" t="s">
        <v>6032</v>
      </c>
      <c r="F1803" s="43" t="s">
        <v>6033</v>
      </c>
      <c r="G1803" s="43" t="s">
        <v>5953</v>
      </c>
      <c r="H1803" s="44">
        <v>7.865093627E9</v>
      </c>
      <c r="I1803" s="18">
        <f t="shared" si="17"/>
        <v>45958</v>
      </c>
      <c r="J1803" s="19" t="s">
        <v>28</v>
      </c>
      <c r="K1803" s="19" t="s">
        <v>5170</v>
      </c>
      <c r="L1803" s="40"/>
    </row>
    <row r="1804" ht="22.5" customHeight="1">
      <c r="C1804" s="19" t="s">
        <v>5964</v>
      </c>
      <c r="D1804" s="39" t="s">
        <v>6034</v>
      </c>
      <c r="E1804" s="43" t="s">
        <v>6035</v>
      </c>
      <c r="F1804" s="43" t="s">
        <v>6036</v>
      </c>
      <c r="G1804" s="43" t="s">
        <v>6037</v>
      </c>
      <c r="H1804" s="44">
        <v>3.058798192E9</v>
      </c>
      <c r="I1804" s="18">
        <f t="shared" si="17"/>
        <v>45958</v>
      </c>
      <c r="J1804" s="19" t="s">
        <v>28</v>
      </c>
      <c r="K1804" s="19" t="s">
        <v>5170</v>
      </c>
      <c r="L1804" s="40"/>
    </row>
    <row r="1805" ht="22.5" customHeight="1">
      <c r="C1805" s="19" t="s">
        <v>5964</v>
      </c>
      <c r="D1805" s="39" t="s">
        <v>6038</v>
      </c>
      <c r="E1805" s="43" t="s">
        <v>6039</v>
      </c>
      <c r="F1805" s="43" t="s">
        <v>6040</v>
      </c>
      <c r="G1805" s="43" t="s">
        <v>5825</v>
      </c>
      <c r="H1805" s="44">
        <v>5.616900152E9</v>
      </c>
      <c r="I1805" s="18">
        <f t="shared" si="17"/>
        <v>45958</v>
      </c>
      <c r="J1805" s="19" t="s">
        <v>28</v>
      </c>
      <c r="K1805" s="19" t="s">
        <v>5170</v>
      </c>
      <c r="L1805" s="40"/>
    </row>
    <row r="1806" ht="22.5" customHeight="1">
      <c r="C1806" s="19" t="s">
        <v>5964</v>
      </c>
      <c r="D1806" s="39" t="s">
        <v>6041</v>
      </c>
      <c r="E1806" s="43" t="s">
        <v>6042</v>
      </c>
      <c r="F1806" s="43" t="s">
        <v>2213</v>
      </c>
      <c r="G1806" s="43" t="s">
        <v>6043</v>
      </c>
      <c r="H1806" s="44">
        <v>3.053819088E9</v>
      </c>
      <c r="I1806" s="18">
        <f t="shared" si="17"/>
        <v>45958</v>
      </c>
      <c r="J1806" s="19" t="s">
        <v>28</v>
      </c>
      <c r="K1806" s="19" t="s">
        <v>5170</v>
      </c>
      <c r="L1806" s="40"/>
    </row>
    <row r="1807" ht="22.5" customHeight="1">
      <c r="C1807" s="19" t="s">
        <v>5964</v>
      </c>
      <c r="D1807" s="39" t="s">
        <v>6044</v>
      </c>
      <c r="E1807" s="43" t="s">
        <v>6045</v>
      </c>
      <c r="F1807" s="43" t="s">
        <v>6046</v>
      </c>
      <c r="G1807" s="43" t="s">
        <v>5834</v>
      </c>
      <c r="H1807" s="42" t="s">
        <v>6047</v>
      </c>
      <c r="I1807" s="18">
        <f t="shared" si="17"/>
        <v>45958</v>
      </c>
      <c r="J1807" s="19" t="s">
        <v>28</v>
      </c>
      <c r="K1807" s="19" t="s">
        <v>5170</v>
      </c>
      <c r="L1807" s="40"/>
    </row>
    <row r="1808" ht="22.5" customHeight="1">
      <c r="C1808" s="19" t="s">
        <v>5964</v>
      </c>
      <c r="D1808" s="39" t="s">
        <v>6048</v>
      </c>
      <c r="E1808" s="43" t="s">
        <v>6049</v>
      </c>
      <c r="F1808" s="43" t="s">
        <v>6050</v>
      </c>
      <c r="G1808" s="43" t="s">
        <v>5921</v>
      </c>
      <c r="H1808" s="42" t="s">
        <v>6051</v>
      </c>
      <c r="I1808" s="18">
        <f t="shared" si="17"/>
        <v>45958</v>
      </c>
      <c r="J1808" s="19" t="s">
        <v>28</v>
      </c>
      <c r="K1808" s="19" t="s">
        <v>5170</v>
      </c>
      <c r="L1808" s="40"/>
    </row>
    <row r="1809" ht="22.5" customHeight="1">
      <c r="C1809" s="19" t="s">
        <v>5964</v>
      </c>
      <c r="D1809" s="39" t="s">
        <v>6052</v>
      </c>
      <c r="E1809" s="43" t="s">
        <v>6053</v>
      </c>
      <c r="F1809" s="43" t="s">
        <v>6054</v>
      </c>
      <c r="G1809" s="43" t="s">
        <v>5874</v>
      </c>
      <c r="H1809" s="44">
        <v>7.863260766E9</v>
      </c>
      <c r="I1809" s="18">
        <f t="shared" si="17"/>
        <v>45958</v>
      </c>
      <c r="J1809" s="19" t="s">
        <v>28</v>
      </c>
      <c r="K1809" s="19" t="s">
        <v>5170</v>
      </c>
      <c r="L1809" s="40"/>
    </row>
    <row r="1810" ht="22.5" customHeight="1">
      <c r="C1810" s="19" t="s">
        <v>5964</v>
      </c>
      <c r="D1810" s="39" t="s">
        <v>6055</v>
      </c>
      <c r="E1810" s="43" t="s">
        <v>6056</v>
      </c>
      <c r="F1810" s="43" t="s">
        <v>6057</v>
      </c>
      <c r="G1810" s="43" t="s">
        <v>6058</v>
      </c>
      <c r="H1810" s="42" t="s">
        <v>6059</v>
      </c>
      <c r="I1810" s="18">
        <f t="shared" si="17"/>
        <v>45958</v>
      </c>
      <c r="J1810" s="19" t="s">
        <v>28</v>
      </c>
      <c r="K1810" s="19" t="s">
        <v>5170</v>
      </c>
      <c r="L1810" s="40"/>
    </row>
    <row r="1811" ht="22.5" customHeight="1">
      <c r="C1811" s="19" t="s">
        <v>5964</v>
      </c>
      <c r="D1811" s="39" t="s">
        <v>6060</v>
      </c>
      <c r="E1811" s="43" t="s">
        <v>6061</v>
      </c>
      <c r="F1811" s="43" t="s">
        <v>6062</v>
      </c>
      <c r="G1811" s="43" t="s">
        <v>6063</v>
      </c>
      <c r="H1811" s="42" t="s">
        <v>6064</v>
      </c>
      <c r="I1811" s="18">
        <f t="shared" si="17"/>
        <v>45958</v>
      </c>
      <c r="J1811" s="19" t="s">
        <v>28</v>
      </c>
      <c r="K1811" s="19" t="s">
        <v>5170</v>
      </c>
      <c r="L1811" s="40"/>
    </row>
    <row r="1812" ht="22.5" customHeight="1">
      <c r="C1812" s="19" t="s">
        <v>5964</v>
      </c>
      <c r="D1812" s="39" t="s">
        <v>6065</v>
      </c>
      <c r="E1812" s="43" t="s">
        <v>6066</v>
      </c>
      <c r="F1812" s="43" t="s">
        <v>6067</v>
      </c>
      <c r="G1812" s="43" t="s">
        <v>6068</v>
      </c>
      <c r="H1812" s="44">
        <v>3.054873682E9</v>
      </c>
      <c r="I1812" s="18">
        <f t="shared" si="17"/>
        <v>45958</v>
      </c>
      <c r="J1812" s="19" t="s">
        <v>28</v>
      </c>
      <c r="K1812" s="19" t="s">
        <v>5170</v>
      </c>
      <c r="L1812" s="4" t="s">
        <v>148</v>
      </c>
    </row>
    <row r="1813" ht="22.5" customHeight="1">
      <c r="C1813" s="19" t="s">
        <v>5964</v>
      </c>
      <c r="D1813" s="39" t="s">
        <v>6069</v>
      </c>
      <c r="E1813" s="43" t="s">
        <v>6070</v>
      </c>
      <c r="F1813" s="43" t="s">
        <v>6071</v>
      </c>
      <c r="G1813" s="43" t="s">
        <v>6072</v>
      </c>
      <c r="H1813" s="44">
        <v>7.866618207E9</v>
      </c>
      <c r="I1813" s="18">
        <f t="shared" si="17"/>
        <v>45958</v>
      </c>
      <c r="J1813" s="19" t="s">
        <v>28</v>
      </c>
      <c r="K1813" s="19" t="s">
        <v>5170</v>
      </c>
      <c r="L1813" s="40"/>
    </row>
    <row r="1814" ht="22.5" customHeight="1">
      <c r="C1814" s="19" t="s">
        <v>5964</v>
      </c>
      <c r="D1814" s="39" t="s">
        <v>6073</v>
      </c>
      <c r="E1814" s="43" t="s">
        <v>6074</v>
      </c>
      <c r="F1814" s="43" t="s">
        <v>6075</v>
      </c>
      <c r="G1814" s="43" t="s">
        <v>6076</v>
      </c>
      <c r="H1814" s="44">
        <v>3.055187026E9</v>
      </c>
      <c r="I1814" s="18">
        <f t="shared" si="17"/>
        <v>45958</v>
      </c>
      <c r="J1814" s="19" t="s">
        <v>28</v>
      </c>
      <c r="K1814" s="19" t="s">
        <v>5170</v>
      </c>
      <c r="L1814" s="40"/>
    </row>
    <row r="1815" ht="22.5" customHeight="1">
      <c r="C1815" s="19" t="s">
        <v>5964</v>
      </c>
      <c r="D1815" s="39" t="s">
        <v>6077</v>
      </c>
      <c r="E1815" s="43" t="s">
        <v>6078</v>
      </c>
      <c r="F1815" s="43" t="s">
        <v>6079</v>
      </c>
      <c r="G1815" s="43" t="s">
        <v>6080</v>
      </c>
      <c r="H1815" s="44">
        <v>3.057884245E9</v>
      </c>
      <c r="I1815" s="18">
        <f t="shared" si="17"/>
        <v>45958</v>
      </c>
      <c r="J1815" s="19" t="s">
        <v>28</v>
      </c>
      <c r="K1815" s="19" t="s">
        <v>5170</v>
      </c>
      <c r="L1815" s="40"/>
    </row>
    <row r="1816" ht="22.5" customHeight="1">
      <c r="C1816" s="19" t="s">
        <v>5964</v>
      </c>
      <c r="D1816" s="39" t="s">
        <v>6081</v>
      </c>
      <c r="E1816" s="43" t="s">
        <v>6082</v>
      </c>
      <c r="F1816" s="43" t="s">
        <v>6083</v>
      </c>
      <c r="G1816" s="43" t="s">
        <v>5957</v>
      </c>
      <c r="H1816" s="44">
        <v>7.863958709E9</v>
      </c>
      <c r="I1816" s="18">
        <f t="shared" si="17"/>
        <v>45958</v>
      </c>
      <c r="J1816" s="19" t="s">
        <v>28</v>
      </c>
      <c r="K1816" s="19" t="s">
        <v>5170</v>
      </c>
      <c r="L1816" s="40"/>
    </row>
    <row r="1817" ht="22.5" customHeight="1">
      <c r="C1817" s="19" t="s">
        <v>5964</v>
      </c>
      <c r="D1817" s="39" t="s">
        <v>6084</v>
      </c>
      <c r="E1817" s="43" t="s">
        <v>6085</v>
      </c>
      <c r="F1817" s="43" t="s">
        <v>2449</v>
      </c>
      <c r="G1817" s="43" t="s">
        <v>5866</v>
      </c>
      <c r="H1817" s="44">
        <v>3.05992559E9</v>
      </c>
      <c r="I1817" s="18">
        <f t="shared" si="17"/>
        <v>45958</v>
      </c>
      <c r="J1817" s="19" t="s">
        <v>28</v>
      </c>
      <c r="K1817" s="19" t="s">
        <v>5170</v>
      </c>
      <c r="L1817" s="40"/>
    </row>
    <row r="1818" ht="22.5" customHeight="1">
      <c r="C1818" s="19" t="s">
        <v>5964</v>
      </c>
      <c r="D1818" s="39" t="s">
        <v>6086</v>
      </c>
      <c r="E1818" s="43" t="s">
        <v>6087</v>
      </c>
      <c r="F1818" s="43" t="s">
        <v>6088</v>
      </c>
      <c r="G1818" s="43" t="s">
        <v>6089</v>
      </c>
      <c r="H1818" s="42" t="s">
        <v>6090</v>
      </c>
      <c r="I1818" s="18">
        <f t="shared" si="17"/>
        <v>45958</v>
      </c>
      <c r="J1818" s="19" t="s">
        <v>28</v>
      </c>
      <c r="K1818" s="19" t="s">
        <v>5170</v>
      </c>
      <c r="L1818" s="40"/>
    </row>
    <row r="1819" ht="22.5" customHeight="1">
      <c r="C1819" s="19" t="s">
        <v>5964</v>
      </c>
      <c r="D1819" s="39" t="s">
        <v>6091</v>
      </c>
      <c r="E1819" s="43" t="s">
        <v>6092</v>
      </c>
      <c r="F1819" s="43" t="s">
        <v>6093</v>
      </c>
      <c r="G1819" s="43" t="s">
        <v>6094</v>
      </c>
      <c r="H1819" s="44">
        <v>3.054843114E9</v>
      </c>
      <c r="I1819" s="18">
        <f t="shared" si="17"/>
        <v>45958</v>
      </c>
      <c r="J1819" s="19" t="s">
        <v>28</v>
      </c>
      <c r="K1819" s="19" t="s">
        <v>5170</v>
      </c>
      <c r="L1819" s="40"/>
    </row>
    <row r="1820" ht="22.5" customHeight="1">
      <c r="C1820" s="19" t="s">
        <v>5964</v>
      </c>
      <c r="D1820" s="39" t="s">
        <v>6095</v>
      </c>
      <c r="E1820" s="43" t="s">
        <v>6096</v>
      </c>
      <c r="F1820" s="43" t="s">
        <v>6097</v>
      </c>
      <c r="G1820" s="43" t="s">
        <v>6098</v>
      </c>
      <c r="H1820" s="44">
        <v>9.542812626E9</v>
      </c>
      <c r="I1820" s="18">
        <f t="shared" si="17"/>
        <v>45958</v>
      </c>
      <c r="J1820" s="19" t="s">
        <v>28</v>
      </c>
      <c r="K1820" s="19" t="s">
        <v>5170</v>
      </c>
      <c r="L1820" s="40"/>
    </row>
    <row r="1821" ht="22.5" customHeight="1">
      <c r="C1821" s="19" t="s">
        <v>6099</v>
      </c>
      <c r="D1821" s="39" t="s">
        <v>6100</v>
      </c>
      <c r="E1821" s="43" t="s">
        <v>6101</v>
      </c>
      <c r="F1821" s="43" t="s">
        <v>6102</v>
      </c>
      <c r="G1821" s="43" t="s">
        <v>5934</v>
      </c>
      <c r="H1821" s="44">
        <v>7.862711094E9</v>
      </c>
      <c r="I1821" s="18">
        <f t="shared" si="17"/>
        <v>45958</v>
      </c>
      <c r="J1821" s="19" t="s">
        <v>28</v>
      </c>
      <c r="K1821" s="19" t="s">
        <v>5170</v>
      </c>
      <c r="L1821" s="40"/>
    </row>
    <row r="1822" ht="22.5" customHeight="1">
      <c r="C1822" s="19" t="s">
        <v>6099</v>
      </c>
      <c r="D1822" s="39" t="s">
        <v>6103</v>
      </c>
      <c r="E1822" s="43" t="s">
        <v>6104</v>
      </c>
      <c r="F1822" s="43" t="s">
        <v>6105</v>
      </c>
      <c r="G1822" s="43" t="s">
        <v>6106</v>
      </c>
      <c r="H1822" s="44">
        <v>3.059045114E9</v>
      </c>
      <c r="I1822" s="18">
        <f t="shared" si="17"/>
        <v>45958</v>
      </c>
      <c r="J1822" s="19" t="s">
        <v>28</v>
      </c>
      <c r="K1822" s="19" t="s">
        <v>5170</v>
      </c>
      <c r="L1822" s="40"/>
    </row>
    <row r="1823" ht="22.5" customHeight="1">
      <c r="C1823" s="19" t="s">
        <v>6099</v>
      </c>
      <c r="D1823" s="39" t="s">
        <v>6107</v>
      </c>
      <c r="E1823" s="43" t="s">
        <v>6108</v>
      </c>
      <c r="F1823" s="43" t="s">
        <v>6109</v>
      </c>
      <c r="G1823" s="43" t="s">
        <v>5900</v>
      </c>
      <c r="H1823" s="42" t="s">
        <v>6110</v>
      </c>
      <c r="I1823" s="18">
        <f t="shared" si="17"/>
        <v>45958</v>
      </c>
      <c r="J1823" s="19" t="s">
        <v>28</v>
      </c>
      <c r="K1823" s="19" t="s">
        <v>5170</v>
      </c>
      <c r="L1823" s="40"/>
    </row>
    <row r="1824" ht="22.5" customHeight="1">
      <c r="C1824" s="19" t="s">
        <v>6099</v>
      </c>
      <c r="D1824" s="39" t="s">
        <v>6111</v>
      </c>
      <c r="E1824" s="43" t="s">
        <v>6112</v>
      </c>
      <c r="F1824" s="43" t="s">
        <v>5440</v>
      </c>
      <c r="G1824" s="43" t="s">
        <v>6113</v>
      </c>
      <c r="H1824" s="42" t="s">
        <v>6114</v>
      </c>
      <c r="I1824" s="18">
        <f t="shared" si="17"/>
        <v>45958</v>
      </c>
      <c r="J1824" s="19" t="s">
        <v>28</v>
      </c>
      <c r="K1824" s="19" t="s">
        <v>5170</v>
      </c>
      <c r="L1824" s="40"/>
    </row>
    <row r="1825" ht="22.5" customHeight="1">
      <c r="C1825" s="19" t="s">
        <v>6099</v>
      </c>
      <c r="D1825" s="39" t="s">
        <v>6115</v>
      </c>
      <c r="E1825" s="43" t="s">
        <v>6116</v>
      </c>
      <c r="F1825" s="43" t="s">
        <v>6117</v>
      </c>
      <c r="G1825" s="43" t="s">
        <v>6118</v>
      </c>
      <c r="H1825" s="44">
        <v>7.86295956E9</v>
      </c>
      <c r="I1825" s="18">
        <f t="shared" si="17"/>
        <v>45958</v>
      </c>
      <c r="J1825" s="19" t="s">
        <v>28</v>
      </c>
      <c r="K1825" s="19" t="s">
        <v>5170</v>
      </c>
      <c r="L1825" s="40"/>
    </row>
    <row r="1826" ht="22.5" customHeight="1">
      <c r="C1826" s="19" t="s">
        <v>6099</v>
      </c>
      <c r="D1826" s="39" t="s">
        <v>6119</v>
      </c>
      <c r="E1826" s="43" t="s">
        <v>6120</v>
      </c>
      <c r="F1826" s="43" t="s">
        <v>6121</v>
      </c>
      <c r="G1826" s="43" t="s">
        <v>6058</v>
      </c>
      <c r="H1826" s="42" t="s">
        <v>6122</v>
      </c>
      <c r="I1826" s="18">
        <f t="shared" si="17"/>
        <v>45958</v>
      </c>
      <c r="J1826" s="19" t="s">
        <v>28</v>
      </c>
      <c r="K1826" s="19" t="s">
        <v>5170</v>
      </c>
      <c r="L1826" s="40"/>
    </row>
    <row r="1827" ht="22.5" customHeight="1">
      <c r="C1827" s="19" t="s">
        <v>6099</v>
      </c>
      <c r="D1827" s="39" t="s">
        <v>6123</v>
      </c>
      <c r="E1827" s="43" t="s">
        <v>6124</v>
      </c>
      <c r="F1827" s="43" t="s">
        <v>6125</v>
      </c>
      <c r="G1827" s="43" t="s">
        <v>6026</v>
      </c>
      <c r="H1827" s="44">
        <v>3.058486684E9</v>
      </c>
      <c r="I1827" s="18">
        <f t="shared" si="17"/>
        <v>45958</v>
      </c>
      <c r="J1827" s="19" t="s">
        <v>28</v>
      </c>
      <c r="K1827" s="19" t="s">
        <v>5170</v>
      </c>
      <c r="L1827" s="40"/>
    </row>
    <row r="1828" ht="22.5" customHeight="1">
      <c r="C1828" s="19" t="s">
        <v>6099</v>
      </c>
      <c r="D1828" s="39" t="s">
        <v>6126</v>
      </c>
      <c r="E1828" s="43" t="s">
        <v>6127</v>
      </c>
      <c r="F1828" s="43" t="s">
        <v>6128</v>
      </c>
      <c r="G1828" s="43" t="s">
        <v>6129</v>
      </c>
      <c r="H1828" s="44">
        <v>7.866149111E9</v>
      </c>
      <c r="I1828" s="18">
        <f t="shared" si="17"/>
        <v>45958</v>
      </c>
      <c r="J1828" s="19" t="s">
        <v>28</v>
      </c>
      <c r="K1828" s="19" t="s">
        <v>5170</v>
      </c>
      <c r="L1828" s="40"/>
    </row>
    <row r="1829" ht="22.5" customHeight="1">
      <c r="C1829" s="19" t="s">
        <v>6099</v>
      </c>
      <c r="D1829" s="39" t="s">
        <v>6130</v>
      </c>
      <c r="E1829" s="43" t="s">
        <v>6131</v>
      </c>
      <c r="F1829" s="43" t="s">
        <v>6132</v>
      </c>
      <c r="G1829" s="43" t="s">
        <v>5866</v>
      </c>
      <c r="H1829" s="42" t="s">
        <v>6133</v>
      </c>
      <c r="I1829" s="18">
        <f t="shared" si="17"/>
        <v>45958</v>
      </c>
      <c r="J1829" s="19" t="s">
        <v>28</v>
      </c>
      <c r="K1829" s="19" t="s">
        <v>5170</v>
      </c>
      <c r="L1829" s="40"/>
    </row>
    <row r="1830" ht="22.5" customHeight="1">
      <c r="C1830" s="19" t="s">
        <v>6099</v>
      </c>
      <c r="D1830" s="39" t="s">
        <v>6134</v>
      </c>
      <c r="E1830" s="43" t="s">
        <v>6135</v>
      </c>
      <c r="F1830" s="43" t="s">
        <v>6135</v>
      </c>
      <c r="G1830" s="43" t="s">
        <v>6004</v>
      </c>
      <c r="H1830" s="44">
        <v>7.865120742E9</v>
      </c>
      <c r="I1830" s="18">
        <f t="shared" si="17"/>
        <v>45958</v>
      </c>
      <c r="J1830" s="19" t="s">
        <v>28</v>
      </c>
      <c r="K1830" s="19" t="s">
        <v>5170</v>
      </c>
      <c r="L1830" s="40"/>
    </row>
    <row r="1831" ht="22.5" customHeight="1">
      <c r="C1831" s="19" t="s">
        <v>6099</v>
      </c>
      <c r="D1831" s="39" t="s">
        <v>6136</v>
      </c>
      <c r="E1831" s="43" t="s">
        <v>6137</v>
      </c>
      <c r="F1831" s="43" t="s">
        <v>6138</v>
      </c>
      <c r="G1831" s="43" t="s">
        <v>6139</v>
      </c>
      <c r="H1831" s="44">
        <v>9.548495154E9</v>
      </c>
      <c r="I1831" s="18">
        <f t="shared" si="17"/>
        <v>45958</v>
      </c>
      <c r="J1831" s="19" t="s">
        <v>28</v>
      </c>
      <c r="K1831" s="19" t="s">
        <v>5170</v>
      </c>
      <c r="L1831" s="4" t="s">
        <v>99</v>
      </c>
    </row>
    <row r="1832" ht="22.5" customHeight="1">
      <c r="C1832" s="19" t="s">
        <v>6099</v>
      </c>
      <c r="D1832" s="39" t="s">
        <v>6140</v>
      </c>
      <c r="E1832" s="43" t="s">
        <v>6141</v>
      </c>
      <c r="F1832" s="43" t="s">
        <v>6142</v>
      </c>
      <c r="G1832" s="43" t="s">
        <v>6143</v>
      </c>
      <c r="H1832" s="42" t="s">
        <v>6144</v>
      </c>
      <c r="I1832" s="18">
        <f t="shared" si="17"/>
        <v>45958</v>
      </c>
      <c r="J1832" s="19" t="s">
        <v>28</v>
      </c>
      <c r="K1832" s="19" t="s">
        <v>5170</v>
      </c>
      <c r="L1832" s="40"/>
    </row>
    <row r="1833" ht="22.5" customHeight="1">
      <c r="C1833" s="19" t="s">
        <v>6099</v>
      </c>
      <c r="D1833" s="39" t="s">
        <v>6145</v>
      </c>
      <c r="E1833" s="43" t="s">
        <v>6146</v>
      </c>
      <c r="F1833" s="43" t="s">
        <v>6147</v>
      </c>
      <c r="G1833" s="43" t="s">
        <v>6080</v>
      </c>
      <c r="H1833" s="44">
        <v>3.057887258E9</v>
      </c>
      <c r="I1833" s="18">
        <f t="shared" si="17"/>
        <v>45958</v>
      </c>
      <c r="J1833" s="19" t="s">
        <v>28</v>
      </c>
      <c r="K1833" s="19" t="s">
        <v>5170</v>
      </c>
      <c r="L1833" s="40"/>
    </row>
    <row r="1834" ht="22.5" customHeight="1">
      <c r="C1834" s="19" t="s">
        <v>6099</v>
      </c>
      <c r="D1834" s="39" t="s">
        <v>6148</v>
      </c>
      <c r="E1834" s="43" t="s">
        <v>6149</v>
      </c>
      <c r="F1834" s="43" t="s">
        <v>6150</v>
      </c>
      <c r="G1834" s="43" t="s">
        <v>5874</v>
      </c>
      <c r="H1834" s="42" t="s">
        <v>6151</v>
      </c>
      <c r="I1834" s="18">
        <f t="shared" si="17"/>
        <v>45958</v>
      </c>
      <c r="J1834" s="19" t="s">
        <v>28</v>
      </c>
      <c r="K1834" s="19" t="s">
        <v>5170</v>
      </c>
      <c r="L1834" s="40"/>
    </row>
    <row r="1835" ht="22.5" customHeight="1">
      <c r="C1835" s="19" t="s">
        <v>6099</v>
      </c>
      <c r="D1835" s="39" t="s">
        <v>6152</v>
      </c>
      <c r="E1835" s="43" t="s">
        <v>6153</v>
      </c>
      <c r="F1835" s="43" t="s">
        <v>6154</v>
      </c>
      <c r="G1835" s="43" t="s">
        <v>6155</v>
      </c>
      <c r="H1835" s="42" t="s">
        <v>6156</v>
      </c>
      <c r="I1835" s="18">
        <f t="shared" si="17"/>
        <v>45958</v>
      </c>
      <c r="J1835" s="19" t="s">
        <v>28</v>
      </c>
      <c r="K1835" s="19" t="s">
        <v>5170</v>
      </c>
      <c r="L1835" s="40"/>
    </row>
    <row r="1836" ht="22.5" customHeight="1">
      <c r="C1836" s="19" t="s">
        <v>6099</v>
      </c>
      <c r="D1836" s="39" t="s">
        <v>6157</v>
      </c>
      <c r="E1836" s="43" t="s">
        <v>6158</v>
      </c>
      <c r="F1836" s="43" t="s">
        <v>6159</v>
      </c>
      <c r="G1836" s="43" t="s">
        <v>6160</v>
      </c>
      <c r="H1836" s="44">
        <v>3.059032111E9</v>
      </c>
      <c r="I1836" s="18">
        <f t="shared" si="17"/>
        <v>45958</v>
      </c>
      <c r="J1836" s="19" t="s">
        <v>28</v>
      </c>
      <c r="K1836" s="19" t="s">
        <v>5170</v>
      </c>
      <c r="L1836" s="40"/>
    </row>
    <row r="1837" ht="22.5" customHeight="1">
      <c r="C1837" s="19" t="s">
        <v>6099</v>
      </c>
      <c r="D1837" s="39" t="s">
        <v>6161</v>
      </c>
      <c r="E1837" s="43" t="s">
        <v>6162</v>
      </c>
      <c r="F1837" s="43" t="s">
        <v>6163</v>
      </c>
      <c r="G1837" s="43" t="s">
        <v>6164</v>
      </c>
      <c r="H1837" s="42" t="s">
        <v>6165</v>
      </c>
      <c r="I1837" s="18">
        <f t="shared" si="17"/>
        <v>45958</v>
      </c>
      <c r="J1837" s="19" t="s">
        <v>28</v>
      </c>
      <c r="K1837" s="19" t="s">
        <v>5170</v>
      </c>
      <c r="L1837" s="40"/>
    </row>
    <row r="1838" ht="22.5" customHeight="1">
      <c r="C1838" s="19" t="s">
        <v>6099</v>
      </c>
      <c r="D1838" s="39" t="s">
        <v>6166</v>
      </c>
      <c r="E1838" s="43" t="s">
        <v>6167</v>
      </c>
      <c r="F1838" s="43" t="s">
        <v>6168</v>
      </c>
      <c r="G1838" s="43" t="s">
        <v>6169</v>
      </c>
      <c r="H1838" s="44">
        <v>7.86303939E9</v>
      </c>
      <c r="I1838" s="18">
        <f t="shared" si="17"/>
        <v>45958</v>
      </c>
      <c r="J1838" s="19" t="s">
        <v>28</v>
      </c>
      <c r="K1838" s="19" t="s">
        <v>5170</v>
      </c>
      <c r="L1838" s="40"/>
    </row>
    <row r="1839" ht="22.5" customHeight="1">
      <c r="C1839" s="19" t="s">
        <v>6099</v>
      </c>
      <c r="D1839" s="39" t="s">
        <v>6170</v>
      </c>
      <c r="E1839" s="43" t="s">
        <v>6171</v>
      </c>
      <c r="F1839" s="43" t="s">
        <v>6172</v>
      </c>
      <c r="G1839" s="43" t="s">
        <v>5882</v>
      </c>
      <c r="H1839" s="42" t="s">
        <v>6173</v>
      </c>
      <c r="I1839" s="18">
        <f t="shared" si="17"/>
        <v>45958</v>
      </c>
      <c r="J1839" s="19" t="s">
        <v>28</v>
      </c>
      <c r="K1839" s="19" t="s">
        <v>5170</v>
      </c>
      <c r="L1839" s="40"/>
    </row>
    <row r="1840" ht="22.5" customHeight="1">
      <c r="C1840" s="19" t="s">
        <v>6099</v>
      </c>
      <c r="D1840" s="39" t="s">
        <v>6174</v>
      </c>
      <c r="E1840" s="43" t="s">
        <v>6175</v>
      </c>
      <c r="F1840" s="43" t="s">
        <v>6176</v>
      </c>
      <c r="G1840" s="43" t="s">
        <v>5834</v>
      </c>
      <c r="H1840" s="42" t="s">
        <v>6177</v>
      </c>
      <c r="I1840" s="18">
        <f t="shared" si="17"/>
        <v>45958</v>
      </c>
      <c r="J1840" s="19" t="s">
        <v>28</v>
      </c>
      <c r="K1840" s="19" t="s">
        <v>5170</v>
      </c>
      <c r="L1840" s="40"/>
    </row>
    <row r="1841" ht="22.5" customHeight="1">
      <c r="C1841" s="19" t="s">
        <v>6099</v>
      </c>
      <c r="D1841" s="39" t="s">
        <v>6178</v>
      </c>
      <c r="E1841" s="43" t="s">
        <v>6179</v>
      </c>
      <c r="F1841" s="43" t="s">
        <v>6180</v>
      </c>
      <c r="G1841" s="43" t="s">
        <v>6181</v>
      </c>
      <c r="H1841" s="44">
        <v>7.865007868E9</v>
      </c>
      <c r="I1841" s="18">
        <f t="shared" si="17"/>
        <v>45958</v>
      </c>
      <c r="J1841" s="19" t="s">
        <v>28</v>
      </c>
      <c r="K1841" s="19" t="s">
        <v>5170</v>
      </c>
      <c r="L1841" s="40"/>
    </row>
    <row r="1842" ht="22.5" customHeight="1">
      <c r="C1842" s="19" t="s">
        <v>6099</v>
      </c>
      <c r="D1842" s="39" t="s">
        <v>6182</v>
      </c>
      <c r="E1842" s="43" t="s">
        <v>6183</v>
      </c>
      <c r="F1842" s="43" t="s">
        <v>6184</v>
      </c>
      <c r="G1842" s="43" t="s">
        <v>5968</v>
      </c>
      <c r="H1842" s="42" t="s">
        <v>6185</v>
      </c>
      <c r="I1842" s="18">
        <f t="shared" si="17"/>
        <v>45958</v>
      </c>
      <c r="J1842" s="19" t="s">
        <v>28</v>
      </c>
      <c r="K1842" s="19" t="s">
        <v>5170</v>
      </c>
      <c r="L1842" s="40"/>
    </row>
    <row r="1843" ht="22.5" customHeight="1">
      <c r="C1843" s="19" t="s">
        <v>6099</v>
      </c>
      <c r="D1843" s="39" t="s">
        <v>6186</v>
      </c>
      <c r="E1843" s="43" t="s">
        <v>6187</v>
      </c>
      <c r="F1843" s="43" t="s">
        <v>6188</v>
      </c>
      <c r="G1843" s="43" t="s">
        <v>6098</v>
      </c>
      <c r="H1843" s="44">
        <v>9.547806559E9</v>
      </c>
      <c r="I1843" s="18">
        <f t="shared" si="17"/>
        <v>45958</v>
      </c>
      <c r="J1843" s="19" t="s">
        <v>28</v>
      </c>
      <c r="K1843" s="19" t="s">
        <v>5170</v>
      </c>
      <c r="L1843" s="40"/>
    </row>
    <row r="1844" ht="22.5" customHeight="1">
      <c r="C1844" s="19" t="s">
        <v>6099</v>
      </c>
      <c r="D1844" s="39" t="s">
        <v>6189</v>
      </c>
      <c r="E1844" s="43" t="s">
        <v>6190</v>
      </c>
      <c r="F1844" s="43" t="s">
        <v>6191</v>
      </c>
      <c r="G1844" s="43" t="s">
        <v>6192</v>
      </c>
      <c r="H1844" s="42" t="s">
        <v>6193</v>
      </c>
      <c r="I1844" s="18">
        <f t="shared" si="17"/>
        <v>45958</v>
      </c>
      <c r="J1844" s="19" t="s">
        <v>28</v>
      </c>
      <c r="K1844" s="19" t="s">
        <v>5170</v>
      </c>
      <c r="L1844" s="40"/>
    </row>
    <row r="1845" ht="22.5" customHeight="1">
      <c r="C1845" s="19" t="s">
        <v>6099</v>
      </c>
      <c r="D1845" s="39" t="s">
        <v>6194</v>
      </c>
      <c r="E1845" s="43" t="s">
        <v>6195</v>
      </c>
      <c r="F1845" s="43" t="s">
        <v>6196</v>
      </c>
      <c r="G1845" s="43" t="s">
        <v>5957</v>
      </c>
      <c r="H1845" s="42" t="s">
        <v>6197</v>
      </c>
      <c r="I1845" s="18">
        <f t="shared" si="17"/>
        <v>45958</v>
      </c>
      <c r="J1845" s="19" t="s">
        <v>28</v>
      </c>
      <c r="K1845" s="19" t="s">
        <v>5170</v>
      </c>
      <c r="L1845" s="40"/>
    </row>
    <row r="1846" ht="22.5" customHeight="1">
      <c r="C1846" s="19" t="s">
        <v>6099</v>
      </c>
      <c r="D1846" s="39" t="s">
        <v>6198</v>
      </c>
      <c r="E1846" s="43" t="s">
        <v>6199</v>
      </c>
      <c r="F1846" s="43" t="s">
        <v>997</v>
      </c>
      <c r="G1846" s="43" t="s">
        <v>6043</v>
      </c>
      <c r="H1846" s="42" t="s">
        <v>6200</v>
      </c>
      <c r="I1846" s="18">
        <f t="shared" si="17"/>
        <v>45958</v>
      </c>
      <c r="J1846" s="19" t="s">
        <v>28</v>
      </c>
      <c r="K1846" s="19" t="s">
        <v>5170</v>
      </c>
      <c r="L1846" s="40"/>
    </row>
    <row r="1847" ht="22.5" customHeight="1">
      <c r="C1847" s="19" t="s">
        <v>6099</v>
      </c>
      <c r="D1847" s="39" t="s">
        <v>6201</v>
      </c>
      <c r="E1847" s="43" t="s">
        <v>6202</v>
      </c>
      <c r="F1847" s="43" t="s">
        <v>6203</v>
      </c>
      <c r="G1847" s="43" t="s">
        <v>6204</v>
      </c>
      <c r="H1847" s="42" t="s">
        <v>6205</v>
      </c>
      <c r="I1847" s="18">
        <f t="shared" si="17"/>
        <v>45958</v>
      </c>
      <c r="J1847" s="19" t="s">
        <v>28</v>
      </c>
      <c r="K1847" s="19" t="s">
        <v>5170</v>
      </c>
      <c r="L1847" s="40"/>
    </row>
    <row r="1848" ht="22.5" customHeight="1">
      <c r="C1848" s="19" t="s">
        <v>6099</v>
      </c>
      <c r="D1848" s="39" t="s">
        <v>6206</v>
      </c>
      <c r="E1848" s="43" t="s">
        <v>6207</v>
      </c>
      <c r="F1848" s="43" t="s">
        <v>6208</v>
      </c>
      <c r="G1848" s="43" t="s">
        <v>2022</v>
      </c>
      <c r="H1848" s="42" t="s">
        <v>6209</v>
      </c>
      <c r="I1848" s="18">
        <f t="shared" si="17"/>
        <v>45958</v>
      </c>
      <c r="J1848" s="19" t="s">
        <v>28</v>
      </c>
      <c r="K1848" s="19" t="s">
        <v>5170</v>
      </c>
      <c r="L1848" s="40"/>
    </row>
    <row r="1849" ht="22.5" customHeight="1">
      <c r="C1849" s="19" t="s">
        <v>6099</v>
      </c>
      <c r="D1849" s="39" t="s">
        <v>6210</v>
      </c>
      <c r="E1849" s="43" t="s">
        <v>6211</v>
      </c>
      <c r="F1849" s="43" t="s">
        <v>6212</v>
      </c>
      <c r="G1849" s="43" t="s">
        <v>6213</v>
      </c>
      <c r="H1849" s="44">
        <v>4.699645578E9</v>
      </c>
      <c r="I1849" s="18">
        <f t="shared" si="17"/>
        <v>45958</v>
      </c>
      <c r="J1849" s="19" t="s">
        <v>28</v>
      </c>
      <c r="K1849" s="19" t="s">
        <v>5170</v>
      </c>
      <c r="L1849" s="40"/>
    </row>
    <row r="1850" ht="22.5" customHeight="1">
      <c r="C1850" s="19" t="s">
        <v>6099</v>
      </c>
      <c r="D1850" s="39" t="s">
        <v>6214</v>
      </c>
      <c r="E1850" s="43" t="s">
        <v>6215</v>
      </c>
      <c r="F1850" s="43" t="s">
        <v>6216</v>
      </c>
      <c r="G1850" s="43" t="s">
        <v>6217</v>
      </c>
      <c r="H1850" s="44">
        <v>9.546422385E9</v>
      </c>
      <c r="I1850" s="18">
        <f t="shared" si="17"/>
        <v>45958</v>
      </c>
      <c r="J1850" s="19" t="s">
        <v>28</v>
      </c>
      <c r="K1850" s="19" t="s">
        <v>5170</v>
      </c>
      <c r="L1850" s="40"/>
    </row>
    <row r="1851" ht="22.5" customHeight="1">
      <c r="C1851" s="19" t="s">
        <v>6099</v>
      </c>
      <c r="D1851" s="39" t="s">
        <v>6218</v>
      </c>
      <c r="E1851" s="43" t="s">
        <v>6219</v>
      </c>
      <c r="F1851" s="43" t="s">
        <v>6220</v>
      </c>
      <c r="G1851" s="43" t="s">
        <v>6221</v>
      </c>
      <c r="H1851" s="44">
        <v>3.057604902E9</v>
      </c>
      <c r="I1851" s="18">
        <f t="shared" si="17"/>
        <v>45958</v>
      </c>
      <c r="J1851" s="19" t="s">
        <v>28</v>
      </c>
      <c r="K1851" s="19" t="s">
        <v>5170</v>
      </c>
      <c r="L1851" s="40"/>
    </row>
    <row r="1852" ht="22.5" customHeight="1">
      <c r="C1852" s="19" t="s">
        <v>6099</v>
      </c>
      <c r="D1852" s="39" t="s">
        <v>6222</v>
      </c>
      <c r="E1852" s="43" t="s">
        <v>6223</v>
      </c>
      <c r="F1852" s="43" t="s">
        <v>6224</v>
      </c>
      <c r="G1852" s="43" t="s">
        <v>6225</v>
      </c>
      <c r="H1852" s="44">
        <v>3.057733761E9</v>
      </c>
      <c r="I1852" s="18">
        <f t="shared" si="17"/>
        <v>45958</v>
      </c>
      <c r="J1852" s="19" t="s">
        <v>28</v>
      </c>
      <c r="K1852" s="19" t="s">
        <v>5170</v>
      </c>
      <c r="L1852" s="40"/>
    </row>
    <row r="1853" ht="22.5" customHeight="1">
      <c r="C1853" s="19" t="s">
        <v>6099</v>
      </c>
      <c r="D1853" s="39" t="s">
        <v>6226</v>
      </c>
      <c r="E1853" s="43" t="s">
        <v>6227</v>
      </c>
      <c r="F1853" s="43" t="s">
        <v>6228</v>
      </c>
      <c r="G1853" s="43" t="s">
        <v>5895</v>
      </c>
      <c r="H1853" s="44">
        <v>3.05231182E9</v>
      </c>
      <c r="I1853" s="18">
        <f t="shared" si="17"/>
        <v>45958</v>
      </c>
      <c r="J1853" s="19" t="s">
        <v>28</v>
      </c>
      <c r="K1853" s="19" t="s">
        <v>5170</v>
      </c>
      <c r="L1853" s="40"/>
    </row>
    <row r="1854" ht="22.5" customHeight="1">
      <c r="C1854" s="19" t="s">
        <v>6099</v>
      </c>
      <c r="D1854" s="39" t="s">
        <v>6229</v>
      </c>
      <c r="E1854" s="43" t="s">
        <v>6230</v>
      </c>
      <c r="F1854" s="43" t="s">
        <v>6231</v>
      </c>
      <c r="G1854" s="43" t="s">
        <v>6232</v>
      </c>
      <c r="H1854" s="42" t="s">
        <v>6233</v>
      </c>
      <c r="I1854" s="18">
        <f t="shared" si="17"/>
        <v>45958</v>
      </c>
      <c r="J1854" s="19" t="s">
        <v>28</v>
      </c>
      <c r="K1854" s="19" t="s">
        <v>5170</v>
      </c>
      <c r="L1854" s="40"/>
    </row>
    <row r="1855" ht="22.5" customHeight="1">
      <c r="C1855" s="19" t="s">
        <v>6099</v>
      </c>
      <c r="D1855" s="39" t="s">
        <v>6234</v>
      </c>
      <c r="E1855" s="43" t="s">
        <v>6235</v>
      </c>
      <c r="F1855" s="43" t="s">
        <v>6236</v>
      </c>
      <c r="G1855" s="43" t="s">
        <v>5949</v>
      </c>
      <c r="H1855" s="42" t="s">
        <v>6237</v>
      </c>
      <c r="I1855" s="18">
        <f t="shared" si="17"/>
        <v>45958</v>
      </c>
      <c r="J1855" s="19" t="s">
        <v>28</v>
      </c>
      <c r="K1855" s="19" t="s">
        <v>5170</v>
      </c>
      <c r="L1855" s="40"/>
    </row>
    <row r="1856" ht="22.5" customHeight="1">
      <c r="C1856" s="19" t="s">
        <v>6099</v>
      </c>
      <c r="D1856" s="39" t="s">
        <v>6238</v>
      </c>
      <c r="E1856" s="43" t="s">
        <v>6239</v>
      </c>
      <c r="F1856" s="43" t="s">
        <v>6240</v>
      </c>
      <c r="G1856" s="43" t="s">
        <v>6241</v>
      </c>
      <c r="H1856" s="44">
        <v>3.057072428E9</v>
      </c>
      <c r="I1856" s="18">
        <f t="shared" si="17"/>
        <v>45958</v>
      </c>
      <c r="J1856" s="19" t="s">
        <v>28</v>
      </c>
      <c r="K1856" s="19" t="s">
        <v>5170</v>
      </c>
      <c r="L1856" s="40"/>
    </row>
    <row r="1857" ht="22.5" customHeight="1">
      <c r="C1857" s="19" t="s">
        <v>6099</v>
      </c>
      <c r="D1857" s="39" t="s">
        <v>6242</v>
      </c>
      <c r="E1857" s="43" t="s">
        <v>6243</v>
      </c>
      <c r="F1857" s="43" t="s">
        <v>6176</v>
      </c>
      <c r="G1857" s="43" t="s">
        <v>5939</v>
      </c>
      <c r="H1857" s="42" t="s">
        <v>6177</v>
      </c>
      <c r="I1857" s="18">
        <f t="shared" si="17"/>
        <v>45958</v>
      </c>
      <c r="J1857" s="19" t="s">
        <v>28</v>
      </c>
      <c r="K1857" s="19" t="s">
        <v>5170</v>
      </c>
      <c r="L1857" s="40"/>
    </row>
    <row r="1858" ht="22.5" customHeight="1">
      <c r="C1858" s="19" t="s">
        <v>6099</v>
      </c>
      <c r="D1858" s="39" t="s">
        <v>6244</v>
      </c>
      <c r="E1858" s="43" t="s">
        <v>6245</v>
      </c>
      <c r="F1858" s="43" t="s">
        <v>5493</v>
      </c>
      <c r="G1858" s="43" t="s">
        <v>5820</v>
      </c>
      <c r="H1858" s="44">
        <v>7.546009281E9</v>
      </c>
      <c r="I1858" s="18">
        <f t="shared" si="17"/>
        <v>45958</v>
      </c>
      <c r="J1858" s="19" t="s">
        <v>28</v>
      </c>
      <c r="K1858" s="19" t="s">
        <v>5170</v>
      </c>
      <c r="L1858" s="40"/>
    </row>
    <row r="1859" ht="22.5" customHeight="1">
      <c r="C1859" s="19" t="s">
        <v>6099</v>
      </c>
      <c r="D1859" s="39" t="s">
        <v>6246</v>
      </c>
      <c r="E1859" s="43" t="s">
        <v>6247</v>
      </c>
      <c r="F1859" s="43" t="s">
        <v>6248</v>
      </c>
      <c r="G1859" s="43" t="s">
        <v>6249</v>
      </c>
      <c r="H1859" s="44">
        <v>3.056810761E9</v>
      </c>
      <c r="I1859" s="18">
        <f t="shared" si="17"/>
        <v>45958</v>
      </c>
      <c r="J1859" s="19" t="s">
        <v>28</v>
      </c>
      <c r="K1859" s="19" t="s">
        <v>5170</v>
      </c>
      <c r="L1859" s="40"/>
    </row>
    <row r="1860" ht="22.5" customHeight="1">
      <c r="C1860" s="19" t="s">
        <v>6099</v>
      </c>
      <c r="D1860" s="39" t="s">
        <v>6250</v>
      </c>
      <c r="E1860" s="43" t="s">
        <v>6251</v>
      </c>
      <c r="F1860" s="43" t="s">
        <v>6252</v>
      </c>
      <c r="G1860" s="43" t="s">
        <v>5825</v>
      </c>
      <c r="H1860" s="42" t="s">
        <v>6253</v>
      </c>
      <c r="I1860" s="18">
        <f t="shared" si="17"/>
        <v>45958</v>
      </c>
      <c r="J1860" s="19" t="s">
        <v>28</v>
      </c>
      <c r="K1860" s="19" t="s">
        <v>5170</v>
      </c>
      <c r="L1860" s="40"/>
    </row>
    <row r="1861" ht="22.5" customHeight="1">
      <c r="C1861" s="19" t="s">
        <v>6099</v>
      </c>
      <c r="D1861" s="39" t="s">
        <v>6254</v>
      </c>
      <c r="E1861" s="43" t="s">
        <v>6255</v>
      </c>
      <c r="F1861" s="43" t="s">
        <v>6256</v>
      </c>
      <c r="G1861" s="43" t="s">
        <v>6257</v>
      </c>
      <c r="H1861" s="44">
        <v>3.059057009E9</v>
      </c>
      <c r="I1861" s="18">
        <f t="shared" si="17"/>
        <v>45958</v>
      </c>
      <c r="J1861" s="19" t="s">
        <v>28</v>
      </c>
      <c r="K1861" s="19" t="s">
        <v>5170</v>
      </c>
      <c r="L1861" s="40"/>
    </row>
    <row r="1862" ht="22.5" customHeight="1">
      <c r="C1862" s="19" t="s">
        <v>6099</v>
      </c>
      <c r="D1862" s="39" t="s">
        <v>6258</v>
      </c>
      <c r="E1862" s="43" t="s">
        <v>6259</v>
      </c>
      <c r="F1862" s="43" t="s">
        <v>6260</v>
      </c>
      <c r="G1862" s="43" t="s">
        <v>5921</v>
      </c>
      <c r="H1862" s="42" t="s">
        <v>6261</v>
      </c>
      <c r="I1862" s="18">
        <f t="shared" si="17"/>
        <v>45958</v>
      </c>
      <c r="J1862" s="19" t="s">
        <v>28</v>
      </c>
      <c r="K1862" s="19" t="s">
        <v>5170</v>
      </c>
      <c r="L1862" s="40"/>
    </row>
    <row r="1863" ht="22.5" customHeight="1">
      <c r="C1863" s="19" t="s">
        <v>6099</v>
      </c>
      <c r="D1863" s="39" t="s">
        <v>6262</v>
      </c>
      <c r="E1863" s="43" t="s">
        <v>6263</v>
      </c>
      <c r="F1863" s="43" t="s">
        <v>6264</v>
      </c>
      <c r="G1863" s="43" t="s">
        <v>5878</v>
      </c>
      <c r="H1863" s="42" t="s">
        <v>6265</v>
      </c>
      <c r="I1863" s="18">
        <f t="shared" si="17"/>
        <v>45958</v>
      </c>
      <c r="J1863" s="19" t="s">
        <v>28</v>
      </c>
      <c r="K1863" s="19" t="s">
        <v>5170</v>
      </c>
      <c r="L1863" s="40"/>
    </row>
    <row r="1864" ht="22.5" customHeight="1">
      <c r="C1864" s="19" t="s">
        <v>6099</v>
      </c>
      <c r="D1864" s="39" t="s">
        <v>6266</v>
      </c>
      <c r="E1864" s="43" t="s">
        <v>6267</v>
      </c>
      <c r="F1864" s="43" t="s">
        <v>6268</v>
      </c>
      <c r="G1864" s="43" t="s">
        <v>5842</v>
      </c>
      <c r="H1864" s="44">
        <v>7.869428192E9</v>
      </c>
      <c r="I1864" s="18">
        <f t="shared" si="17"/>
        <v>45958</v>
      </c>
      <c r="J1864" s="19" t="s">
        <v>28</v>
      </c>
      <c r="K1864" s="19" t="s">
        <v>5170</v>
      </c>
      <c r="L1864" s="40"/>
    </row>
    <row r="1865" ht="22.5" customHeight="1">
      <c r="C1865" s="19" t="s">
        <v>6099</v>
      </c>
      <c r="D1865" s="39" t="s">
        <v>6269</v>
      </c>
      <c r="E1865" s="43" t="s">
        <v>6270</v>
      </c>
      <c r="F1865" s="43" t="s">
        <v>6271</v>
      </c>
      <c r="G1865" s="43" t="s">
        <v>5862</v>
      </c>
      <c r="H1865" s="42" t="s">
        <v>6272</v>
      </c>
      <c r="I1865" s="18">
        <f t="shared" si="17"/>
        <v>45958</v>
      </c>
      <c r="J1865" s="19" t="s">
        <v>28</v>
      </c>
      <c r="K1865" s="19" t="s">
        <v>5170</v>
      </c>
      <c r="L1865" s="40"/>
    </row>
    <row r="1866" ht="22.5" customHeight="1">
      <c r="C1866" s="19" t="s">
        <v>6099</v>
      </c>
      <c r="D1866" s="39" t="s">
        <v>6273</v>
      </c>
      <c r="E1866" s="43" t="s">
        <v>6274</v>
      </c>
      <c r="F1866" s="43" t="s">
        <v>6275</v>
      </c>
      <c r="G1866" s="43" t="s">
        <v>5988</v>
      </c>
      <c r="H1866" s="42" t="s">
        <v>6276</v>
      </c>
      <c r="I1866" s="18">
        <f t="shared" si="17"/>
        <v>45958</v>
      </c>
      <c r="J1866" s="19" t="s">
        <v>28</v>
      </c>
      <c r="K1866" s="19" t="s">
        <v>5170</v>
      </c>
      <c r="L1866" s="40"/>
    </row>
    <row r="1867" ht="22.5" customHeight="1">
      <c r="C1867" s="19" t="s">
        <v>6099</v>
      </c>
      <c r="D1867" s="39" t="s">
        <v>6277</v>
      </c>
      <c r="E1867" s="43" t="s">
        <v>6278</v>
      </c>
      <c r="F1867" s="43" t="s">
        <v>6279</v>
      </c>
      <c r="G1867" s="43" t="s">
        <v>6280</v>
      </c>
      <c r="H1867" s="44">
        <v>7.866813165E9</v>
      </c>
      <c r="I1867" s="18">
        <f t="shared" si="17"/>
        <v>45958</v>
      </c>
      <c r="J1867" s="19" t="s">
        <v>28</v>
      </c>
      <c r="K1867" s="19" t="s">
        <v>5170</v>
      </c>
      <c r="L1867" s="40"/>
    </row>
    <row r="1868" ht="22.5" customHeight="1">
      <c r="C1868" s="19" t="s">
        <v>6099</v>
      </c>
      <c r="D1868" s="39" t="s">
        <v>6281</v>
      </c>
      <c r="E1868" s="43" t="s">
        <v>6282</v>
      </c>
      <c r="F1868" s="43" t="s">
        <v>6283</v>
      </c>
      <c r="G1868" s="43" t="s">
        <v>6284</v>
      </c>
      <c r="H1868" s="44">
        <v>3.058042989E9</v>
      </c>
      <c r="I1868" s="18">
        <f t="shared" si="17"/>
        <v>45958</v>
      </c>
      <c r="J1868" s="19" t="s">
        <v>28</v>
      </c>
      <c r="K1868" s="19" t="s">
        <v>5170</v>
      </c>
      <c r="L1868" s="40"/>
    </row>
    <row r="1869" ht="22.5" customHeight="1">
      <c r="C1869" s="19" t="s">
        <v>6099</v>
      </c>
      <c r="D1869" s="39" t="s">
        <v>6285</v>
      </c>
      <c r="E1869" s="43" t="s">
        <v>6286</v>
      </c>
      <c r="F1869" s="43" t="s">
        <v>6287</v>
      </c>
      <c r="G1869" s="43" t="s">
        <v>6288</v>
      </c>
      <c r="H1869" s="42" t="s">
        <v>6289</v>
      </c>
      <c r="I1869" s="18">
        <f t="shared" si="17"/>
        <v>45958</v>
      </c>
      <c r="J1869" s="19" t="s">
        <v>28</v>
      </c>
      <c r="K1869" s="19" t="s">
        <v>5170</v>
      </c>
      <c r="L1869" s="40"/>
    </row>
    <row r="1870" ht="22.5" customHeight="1">
      <c r="C1870" s="19" t="s">
        <v>6099</v>
      </c>
      <c r="D1870" s="39" t="s">
        <v>6290</v>
      </c>
      <c r="E1870" s="43" t="s">
        <v>6291</v>
      </c>
      <c r="F1870" s="43" t="s">
        <v>6292</v>
      </c>
      <c r="G1870" s="43" t="s">
        <v>6293</v>
      </c>
      <c r="H1870" s="42" t="s">
        <v>6294</v>
      </c>
      <c r="I1870" s="18">
        <f t="shared" si="17"/>
        <v>45958</v>
      </c>
      <c r="J1870" s="19" t="s">
        <v>28</v>
      </c>
      <c r="K1870" s="19" t="s">
        <v>5170</v>
      </c>
      <c r="L1870" s="40"/>
    </row>
    <row r="1871" ht="22.5" customHeight="1">
      <c r="C1871" s="19" t="s">
        <v>6295</v>
      </c>
      <c r="D1871" s="39" t="s">
        <v>6296</v>
      </c>
      <c r="E1871" s="43" t="s">
        <v>6297</v>
      </c>
      <c r="F1871" s="43" t="s">
        <v>6298</v>
      </c>
      <c r="G1871" s="43" t="s">
        <v>6241</v>
      </c>
      <c r="H1871" s="44">
        <v>7.865014503E9</v>
      </c>
      <c r="I1871" s="18">
        <f t="shared" si="17"/>
        <v>45958</v>
      </c>
      <c r="J1871" s="19" t="s">
        <v>28</v>
      </c>
      <c r="K1871" s="19" t="s">
        <v>5170</v>
      </c>
      <c r="L1871" s="40"/>
    </row>
    <row r="1872" ht="22.5" customHeight="1">
      <c r="C1872" s="19" t="s">
        <v>6295</v>
      </c>
      <c r="D1872" s="39" t="s">
        <v>6299</v>
      </c>
      <c r="E1872" s="43" t="s">
        <v>6300</v>
      </c>
      <c r="F1872" s="43" t="s">
        <v>5173</v>
      </c>
      <c r="G1872" s="43" t="s">
        <v>6076</v>
      </c>
      <c r="H1872" s="44">
        <v>3.056065175E9</v>
      </c>
      <c r="I1872" s="18">
        <f t="shared" si="17"/>
        <v>45958</v>
      </c>
      <c r="J1872" s="19" t="s">
        <v>28</v>
      </c>
      <c r="K1872" s="19" t="s">
        <v>5170</v>
      </c>
      <c r="L1872" s="40"/>
    </row>
    <row r="1873" ht="22.5" customHeight="1">
      <c r="C1873" s="19" t="s">
        <v>6295</v>
      </c>
      <c r="D1873" s="39" t="s">
        <v>6301</v>
      </c>
      <c r="E1873" s="43" t="s">
        <v>6302</v>
      </c>
      <c r="F1873" s="43" t="s">
        <v>6303</v>
      </c>
      <c r="G1873" s="43" t="s">
        <v>5985</v>
      </c>
      <c r="H1873" s="42" t="s">
        <v>6304</v>
      </c>
      <c r="I1873" s="18">
        <f t="shared" si="17"/>
        <v>45958</v>
      </c>
      <c r="J1873" s="19" t="s">
        <v>28</v>
      </c>
      <c r="K1873" s="19" t="s">
        <v>5170</v>
      </c>
      <c r="L1873" s="40"/>
    </row>
    <row r="1874" ht="22.5" customHeight="1">
      <c r="C1874" s="19" t="s">
        <v>6295</v>
      </c>
      <c r="D1874" s="39" t="s">
        <v>6305</v>
      </c>
      <c r="E1874" s="43" t="s">
        <v>6306</v>
      </c>
      <c r="F1874" s="43" t="s">
        <v>6307</v>
      </c>
      <c r="G1874" s="43" t="s">
        <v>5834</v>
      </c>
      <c r="H1874" s="42" t="s">
        <v>6308</v>
      </c>
      <c r="I1874" s="18">
        <f t="shared" si="17"/>
        <v>45958</v>
      </c>
      <c r="J1874" s="19" t="s">
        <v>28</v>
      </c>
      <c r="K1874" s="19" t="s">
        <v>5170</v>
      </c>
      <c r="L1874" s="40"/>
    </row>
    <row r="1875" ht="22.5" customHeight="1">
      <c r="C1875" s="19" t="s">
        <v>6295</v>
      </c>
      <c r="D1875" s="39" t="s">
        <v>6309</v>
      </c>
      <c r="E1875" s="43" t="s">
        <v>6310</v>
      </c>
      <c r="F1875" s="43" t="s">
        <v>5440</v>
      </c>
      <c r="G1875" s="43" t="s">
        <v>6113</v>
      </c>
      <c r="H1875" s="44">
        <v>3.055022161E9</v>
      </c>
      <c r="I1875" s="18">
        <f t="shared" si="17"/>
        <v>45958</v>
      </c>
      <c r="J1875" s="19" t="s">
        <v>28</v>
      </c>
      <c r="K1875" s="19" t="s">
        <v>5170</v>
      </c>
      <c r="L1875" s="40"/>
    </row>
    <row r="1876" ht="22.5" customHeight="1">
      <c r="C1876" s="19" t="s">
        <v>6295</v>
      </c>
      <c r="D1876" s="39" t="s">
        <v>6311</v>
      </c>
      <c r="E1876" s="43" t="s">
        <v>6312</v>
      </c>
      <c r="F1876" s="43" t="s">
        <v>6313</v>
      </c>
      <c r="G1876" s="43" t="s">
        <v>5862</v>
      </c>
      <c r="H1876" s="42" t="s">
        <v>6314</v>
      </c>
      <c r="I1876" s="18">
        <f t="shared" si="17"/>
        <v>45958</v>
      </c>
      <c r="J1876" s="19" t="s">
        <v>28</v>
      </c>
      <c r="K1876" s="19" t="s">
        <v>5170</v>
      </c>
      <c r="L1876" s="40"/>
    </row>
    <row r="1877" ht="22.5" customHeight="1">
      <c r="C1877" s="19" t="s">
        <v>6295</v>
      </c>
      <c r="D1877" s="39" t="s">
        <v>6315</v>
      </c>
      <c r="E1877" s="43" t="s">
        <v>6316</v>
      </c>
      <c r="F1877" s="43" t="s">
        <v>6317</v>
      </c>
      <c r="G1877" s="43" t="s">
        <v>5874</v>
      </c>
      <c r="H1877" s="42" t="s">
        <v>6318</v>
      </c>
      <c r="I1877" s="18">
        <f t="shared" si="17"/>
        <v>45958</v>
      </c>
      <c r="J1877" s="19" t="s">
        <v>28</v>
      </c>
      <c r="K1877" s="19" t="s">
        <v>5170</v>
      </c>
      <c r="L1877" s="40"/>
    </row>
    <row r="1878" ht="22.5" customHeight="1">
      <c r="C1878" s="19" t="s">
        <v>6295</v>
      </c>
      <c r="D1878" s="39" t="s">
        <v>6319</v>
      </c>
      <c r="E1878" s="43" t="s">
        <v>6320</v>
      </c>
      <c r="F1878" s="43" t="s">
        <v>6321</v>
      </c>
      <c r="G1878" s="43" t="s">
        <v>6322</v>
      </c>
      <c r="H1878" s="44">
        <v>3.059049298E9</v>
      </c>
      <c r="I1878" s="18">
        <f t="shared" si="17"/>
        <v>45958</v>
      </c>
      <c r="J1878" s="19" t="s">
        <v>28</v>
      </c>
      <c r="K1878" s="19" t="s">
        <v>5170</v>
      </c>
      <c r="L1878" s="40"/>
    </row>
    <row r="1879" ht="22.5" customHeight="1">
      <c r="C1879" s="19" t="s">
        <v>6295</v>
      </c>
      <c r="D1879" s="39" t="s">
        <v>6323</v>
      </c>
      <c r="E1879" s="43" t="s">
        <v>6324</v>
      </c>
      <c r="F1879" s="43" t="s">
        <v>182</v>
      </c>
      <c r="G1879" s="43" t="s">
        <v>5878</v>
      </c>
      <c r="H1879" s="42" t="s">
        <v>6325</v>
      </c>
      <c r="I1879" s="18">
        <f t="shared" si="17"/>
        <v>45958</v>
      </c>
      <c r="J1879" s="19" t="s">
        <v>28</v>
      </c>
      <c r="K1879" s="19" t="s">
        <v>5170</v>
      </c>
      <c r="L1879" s="40"/>
    </row>
    <row r="1880" ht="22.5" customHeight="1">
      <c r="C1880" s="19" t="s">
        <v>6295</v>
      </c>
      <c r="D1880" s="39" t="s">
        <v>6326</v>
      </c>
      <c r="E1880" s="43" t="s">
        <v>6327</v>
      </c>
      <c r="F1880" s="43" t="s">
        <v>6328</v>
      </c>
      <c r="G1880" s="43" t="s">
        <v>5820</v>
      </c>
      <c r="H1880" s="42" t="s">
        <v>6329</v>
      </c>
      <c r="I1880" s="18">
        <f t="shared" si="17"/>
        <v>45958</v>
      </c>
      <c r="J1880" s="19" t="s">
        <v>28</v>
      </c>
      <c r="K1880" s="19" t="s">
        <v>5170</v>
      </c>
      <c r="L1880" s="40"/>
    </row>
    <row r="1881" ht="22.5" customHeight="1">
      <c r="C1881" s="19" t="s">
        <v>6295</v>
      </c>
      <c r="D1881" s="39" t="s">
        <v>6330</v>
      </c>
      <c r="E1881" s="43" t="s">
        <v>6331</v>
      </c>
      <c r="F1881" s="43" t="s">
        <v>6332</v>
      </c>
      <c r="G1881" s="43" t="s">
        <v>6284</v>
      </c>
      <c r="H1881" s="42" t="s">
        <v>6333</v>
      </c>
      <c r="I1881" s="18">
        <f t="shared" si="17"/>
        <v>45958</v>
      </c>
      <c r="J1881" s="19" t="s">
        <v>28</v>
      </c>
      <c r="K1881" s="19" t="s">
        <v>5170</v>
      </c>
      <c r="L1881" s="40"/>
    </row>
    <row r="1882" ht="22.5" customHeight="1">
      <c r="C1882" s="19" t="s">
        <v>6295</v>
      </c>
      <c r="D1882" s="39" t="s">
        <v>6334</v>
      </c>
      <c r="E1882" s="43" t="s">
        <v>6335</v>
      </c>
      <c r="F1882" s="43" t="s">
        <v>818</v>
      </c>
      <c r="G1882" s="43" t="s">
        <v>5953</v>
      </c>
      <c r="H1882" s="44">
        <v>3.054950962E9</v>
      </c>
      <c r="I1882" s="18">
        <f t="shared" si="17"/>
        <v>45958</v>
      </c>
      <c r="J1882" s="19" t="s">
        <v>28</v>
      </c>
      <c r="K1882" s="19" t="s">
        <v>5170</v>
      </c>
      <c r="L1882" s="40"/>
    </row>
    <row r="1883" ht="22.5" customHeight="1">
      <c r="C1883" s="19" t="s">
        <v>6295</v>
      </c>
      <c r="D1883" s="39" t="s">
        <v>6336</v>
      </c>
      <c r="E1883" s="43" t="s">
        <v>6337</v>
      </c>
      <c r="F1883" s="43" t="s">
        <v>6338</v>
      </c>
      <c r="G1883" s="43" t="s">
        <v>6181</v>
      </c>
      <c r="H1883" s="44">
        <v>3.053921216E9</v>
      </c>
      <c r="I1883" s="18">
        <f t="shared" si="17"/>
        <v>45958</v>
      </c>
      <c r="J1883" s="19" t="s">
        <v>28</v>
      </c>
      <c r="K1883" s="19" t="s">
        <v>5170</v>
      </c>
      <c r="L1883" s="40"/>
    </row>
    <row r="1884" ht="22.5" customHeight="1">
      <c r="C1884" s="19" t="s">
        <v>6295</v>
      </c>
      <c r="D1884" s="39" t="s">
        <v>6339</v>
      </c>
      <c r="E1884" s="43" t="s">
        <v>6340</v>
      </c>
      <c r="F1884" s="43" t="s">
        <v>6340</v>
      </c>
      <c r="G1884" s="43" t="s">
        <v>6063</v>
      </c>
      <c r="H1884" s="42" t="s">
        <v>6341</v>
      </c>
      <c r="I1884" s="18">
        <f t="shared" si="17"/>
        <v>45958</v>
      </c>
      <c r="J1884" s="19" t="s">
        <v>28</v>
      </c>
      <c r="K1884" s="19" t="s">
        <v>5170</v>
      </c>
      <c r="L1884" s="40"/>
    </row>
    <row r="1885" ht="22.5" customHeight="1">
      <c r="C1885" s="19" t="s">
        <v>6295</v>
      </c>
      <c r="D1885" s="39" t="s">
        <v>6342</v>
      </c>
      <c r="E1885" s="43" t="s">
        <v>6343</v>
      </c>
      <c r="F1885" s="43" t="s">
        <v>6344</v>
      </c>
      <c r="G1885" s="43" t="s">
        <v>5949</v>
      </c>
      <c r="H1885" s="44">
        <v>7.863016838E9</v>
      </c>
      <c r="I1885" s="18">
        <f t="shared" si="17"/>
        <v>45958</v>
      </c>
      <c r="J1885" s="19" t="s">
        <v>28</v>
      </c>
      <c r="K1885" s="19" t="s">
        <v>5170</v>
      </c>
      <c r="L1885" s="40"/>
    </row>
    <row r="1886" ht="22.5" customHeight="1">
      <c r="C1886" s="19" t="s">
        <v>6295</v>
      </c>
      <c r="D1886" s="39" t="s">
        <v>6345</v>
      </c>
      <c r="E1886" s="43" t="s">
        <v>6346</v>
      </c>
      <c r="F1886" s="43" t="s">
        <v>6347</v>
      </c>
      <c r="G1886" s="43" t="s">
        <v>6348</v>
      </c>
      <c r="H1886" s="42" t="s">
        <v>6349</v>
      </c>
      <c r="I1886" s="18">
        <f t="shared" si="17"/>
        <v>45958</v>
      </c>
      <c r="J1886" s="19" t="s">
        <v>28</v>
      </c>
      <c r="K1886" s="19" t="s">
        <v>5170</v>
      </c>
      <c r="L1886" s="40"/>
    </row>
    <row r="1887" ht="22.5" customHeight="1">
      <c r="C1887" s="19" t="s">
        <v>6295</v>
      </c>
      <c r="D1887" s="39" t="s">
        <v>6350</v>
      </c>
      <c r="E1887" s="43" t="s">
        <v>6351</v>
      </c>
      <c r="F1887" s="43" t="s">
        <v>6352</v>
      </c>
      <c r="G1887" s="43" t="s">
        <v>6004</v>
      </c>
      <c r="H1887" s="42" t="s">
        <v>6353</v>
      </c>
      <c r="I1887" s="18">
        <f t="shared" si="17"/>
        <v>45958</v>
      </c>
      <c r="J1887" s="19" t="s">
        <v>28</v>
      </c>
      <c r="K1887" s="19" t="s">
        <v>5170</v>
      </c>
      <c r="L1887" s="40"/>
    </row>
    <row r="1888" ht="22.5" customHeight="1">
      <c r="C1888" s="19" t="s">
        <v>6295</v>
      </c>
      <c r="D1888" s="39" t="s">
        <v>6354</v>
      </c>
      <c r="E1888" s="43" t="s">
        <v>6355</v>
      </c>
      <c r="F1888" s="43" t="s">
        <v>6356</v>
      </c>
      <c r="G1888" s="43" t="s">
        <v>5866</v>
      </c>
      <c r="H1888" s="44">
        <v>3.055643794E9</v>
      </c>
      <c r="I1888" s="18">
        <f t="shared" si="17"/>
        <v>45958</v>
      </c>
      <c r="J1888" s="19" t="s">
        <v>28</v>
      </c>
      <c r="K1888" s="19" t="s">
        <v>5170</v>
      </c>
      <c r="L1888" s="40"/>
    </row>
    <row r="1889" ht="22.5" customHeight="1">
      <c r="C1889" s="19" t="s">
        <v>6295</v>
      </c>
      <c r="D1889" s="39" t="s">
        <v>6357</v>
      </c>
      <c r="E1889" s="43" t="s">
        <v>6358</v>
      </c>
      <c r="F1889" s="43" t="s">
        <v>182</v>
      </c>
      <c r="G1889" s="43" t="s">
        <v>5985</v>
      </c>
      <c r="H1889" s="44">
        <v>3.054572023E9</v>
      </c>
      <c r="I1889" s="18">
        <f t="shared" si="17"/>
        <v>45958</v>
      </c>
      <c r="J1889" s="19" t="s">
        <v>28</v>
      </c>
      <c r="K1889" s="19" t="s">
        <v>5170</v>
      </c>
      <c r="L1889" s="40"/>
    </row>
    <row r="1890" ht="22.5" customHeight="1">
      <c r="C1890" s="19" t="s">
        <v>6295</v>
      </c>
      <c r="D1890" s="39" t="s">
        <v>6359</v>
      </c>
      <c r="E1890" s="43" t="s">
        <v>6360</v>
      </c>
      <c r="F1890" s="43" t="s">
        <v>6361</v>
      </c>
      <c r="G1890" s="43" t="s">
        <v>6068</v>
      </c>
      <c r="H1890" s="44">
        <v>3.052378733E9</v>
      </c>
      <c r="I1890" s="18">
        <f t="shared" si="17"/>
        <v>45958</v>
      </c>
      <c r="J1890" s="19" t="s">
        <v>28</v>
      </c>
      <c r="K1890" s="19" t="s">
        <v>5170</v>
      </c>
      <c r="L1890" s="40"/>
    </row>
    <row r="1891" ht="22.5" customHeight="1">
      <c r="C1891" s="19" t="s">
        <v>6295</v>
      </c>
      <c r="D1891" s="39" t="s">
        <v>6362</v>
      </c>
      <c r="E1891" s="43" t="s">
        <v>6363</v>
      </c>
      <c r="F1891" s="43" t="s">
        <v>6364</v>
      </c>
      <c r="G1891" s="43" t="s">
        <v>6080</v>
      </c>
      <c r="H1891" s="44">
        <v>3.055609722E9</v>
      </c>
      <c r="I1891" s="18">
        <f t="shared" si="17"/>
        <v>45958</v>
      </c>
      <c r="J1891" s="19" t="s">
        <v>28</v>
      </c>
      <c r="K1891" s="19" t="s">
        <v>5170</v>
      </c>
      <c r="L1891" s="40"/>
    </row>
    <row r="1892" ht="22.5" customHeight="1">
      <c r="C1892" s="19" t="s">
        <v>6295</v>
      </c>
      <c r="D1892" s="39" t="s">
        <v>6365</v>
      </c>
      <c r="E1892" s="43" t="s">
        <v>6366</v>
      </c>
      <c r="F1892" s="43" t="s">
        <v>6367</v>
      </c>
      <c r="G1892" s="43" t="s">
        <v>5842</v>
      </c>
      <c r="H1892" s="42" t="s">
        <v>6368</v>
      </c>
      <c r="I1892" s="18">
        <f t="shared" si="17"/>
        <v>45958</v>
      </c>
      <c r="J1892" s="19" t="s">
        <v>28</v>
      </c>
      <c r="K1892" s="19" t="s">
        <v>5170</v>
      </c>
      <c r="L1892" s="40"/>
    </row>
    <row r="1893" ht="22.5" customHeight="1">
      <c r="C1893" s="19" t="s">
        <v>6295</v>
      </c>
      <c r="D1893" s="39" t="s">
        <v>6369</v>
      </c>
      <c r="E1893" s="43" t="s">
        <v>6370</v>
      </c>
      <c r="F1893" s="43" t="s">
        <v>6371</v>
      </c>
      <c r="G1893" s="43" t="s">
        <v>6372</v>
      </c>
      <c r="H1893" s="42" t="s">
        <v>6373</v>
      </c>
      <c r="I1893" s="18">
        <f t="shared" si="17"/>
        <v>45958</v>
      </c>
      <c r="J1893" s="19" t="s">
        <v>28</v>
      </c>
      <c r="K1893" s="19" t="s">
        <v>5170</v>
      </c>
      <c r="L1893" s="40"/>
    </row>
    <row r="1894" ht="22.5" customHeight="1">
      <c r="C1894" s="19" t="s">
        <v>6295</v>
      </c>
      <c r="D1894" s="39" t="s">
        <v>6374</v>
      </c>
      <c r="E1894" s="43" t="s">
        <v>6375</v>
      </c>
      <c r="F1894" s="43" t="s">
        <v>2449</v>
      </c>
      <c r="G1894" s="43" t="s">
        <v>6376</v>
      </c>
      <c r="H1894" s="44">
        <v>3.373717297E9</v>
      </c>
      <c r="I1894" s="18">
        <f t="shared" si="17"/>
        <v>45958</v>
      </c>
      <c r="J1894" s="19" t="s">
        <v>28</v>
      </c>
      <c r="K1894" s="19" t="s">
        <v>5170</v>
      </c>
      <c r="L1894" s="40"/>
    </row>
    <row r="1895" ht="22.5" customHeight="1">
      <c r="C1895" s="19" t="s">
        <v>6295</v>
      </c>
      <c r="D1895" s="39" t="s">
        <v>6377</v>
      </c>
      <c r="E1895" s="43" t="s">
        <v>6378</v>
      </c>
      <c r="F1895" s="43" t="s">
        <v>6379</v>
      </c>
      <c r="G1895" s="43" t="s">
        <v>5934</v>
      </c>
      <c r="H1895" s="44">
        <v>7.865165621E9</v>
      </c>
      <c r="I1895" s="18">
        <f t="shared" si="17"/>
        <v>45958</v>
      </c>
      <c r="J1895" s="19" t="s">
        <v>28</v>
      </c>
      <c r="K1895" s="19" t="s">
        <v>5170</v>
      </c>
      <c r="L1895" s="40"/>
    </row>
    <row r="1896" ht="22.5" customHeight="1">
      <c r="C1896" s="19" t="s">
        <v>6295</v>
      </c>
      <c r="D1896" s="39" t="s">
        <v>6380</v>
      </c>
      <c r="E1896" s="43" t="s">
        <v>6381</v>
      </c>
      <c r="F1896" s="43" t="s">
        <v>6382</v>
      </c>
      <c r="G1896" s="43" t="s">
        <v>5939</v>
      </c>
      <c r="H1896" s="42" t="s">
        <v>6383</v>
      </c>
      <c r="I1896" s="18">
        <f t="shared" si="17"/>
        <v>45958</v>
      </c>
      <c r="J1896" s="19" t="s">
        <v>28</v>
      </c>
      <c r="K1896" s="19" t="s">
        <v>5170</v>
      </c>
      <c r="L1896" s="40"/>
    </row>
    <row r="1897" ht="22.5" customHeight="1">
      <c r="C1897" s="19" t="s">
        <v>6295</v>
      </c>
      <c r="D1897" s="39" t="s">
        <v>6384</v>
      </c>
      <c r="E1897" s="43" t="s">
        <v>6385</v>
      </c>
      <c r="F1897" s="43" t="s">
        <v>6386</v>
      </c>
      <c r="G1897" s="43" t="s">
        <v>6387</v>
      </c>
      <c r="H1897" s="44">
        <v>7.864261096E9</v>
      </c>
      <c r="I1897" s="18">
        <f t="shared" si="17"/>
        <v>45958</v>
      </c>
      <c r="J1897" s="19" t="s">
        <v>28</v>
      </c>
      <c r="K1897" s="19" t="s">
        <v>5170</v>
      </c>
      <c r="L1897" s="40"/>
    </row>
    <row r="1898" ht="22.5" customHeight="1">
      <c r="C1898" s="19" t="s">
        <v>6295</v>
      </c>
      <c r="D1898" s="39" t="s">
        <v>6388</v>
      </c>
      <c r="E1898" s="43" t="s">
        <v>6389</v>
      </c>
      <c r="F1898" s="43" t="s">
        <v>5652</v>
      </c>
      <c r="G1898" s="43" t="s">
        <v>5953</v>
      </c>
      <c r="H1898" s="44">
        <v>7.863556645E9</v>
      </c>
      <c r="I1898" s="18">
        <f t="shared" si="17"/>
        <v>45958</v>
      </c>
      <c r="J1898" s="19" t="s">
        <v>28</v>
      </c>
      <c r="K1898" s="19" t="s">
        <v>5170</v>
      </c>
      <c r="L1898" s="40"/>
    </row>
    <row r="1899" ht="22.5" customHeight="1">
      <c r="C1899" s="19" t="s">
        <v>6295</v>
      </c>
      <c r="D1899" s="39" t="s">
        <v>6390</v>
      </c>
      <c r="E1899" s="43" t="s">
        <v>6391</v>
      </c>
      <c r="F1899" s="43" t="s">
        <v>6392</v>
      </c>
      <c r="G1899" s="43" t="s">
        <v>5957</v>
      </c>
      <c r="H1899" s="42" t="s">
        <v>6393</v>
      </c>
      <c r="I1899" s="18">
        <f t="shared" si="17"/>
        <v>45958</v>
      </c>
      <c r="J1899" s="19" t="s">
        <v>28</v>
      </c>
      <c r="K1899" s="19" t="s">
        <v>5170</v>
      </c>
      <c r="L1899" s="40"/>
    </row>
    <row r="1900" ht="22.5" customHeight="1">
      <c r="C1900" s="19" t="s">
        <v>6295</v>
      </c>
      <c r="D1900" s="39" t="s">
        <v>6394</v>
      </c>
      <c r="E1900" s="43" t="s">
        <v>6395</v>
      </c>
      <c r="F1900" s="43" t="s">
        <v>767</v>
      </c>
      <c r="G1900" s="43" t="s">
        <v>5988</v>
      </c>
      <c r="H1900" s="44">
        <v>9.548060834E9</v>
      </c>
      <c r="I1900" s="18">
        <f t="shared" si="17"/>
        <v>45958</v>
      </c>
      <c r="J1900" s="19" t="s">
        <v>28</v>
      </c>
      <c r="K1900" s="19" t="s">
        <v>5170</v>
      </c>
      <c r="L1900" s="40"/>
    </row>
    <row r="1901" ht="22.5" customHeight="1">
      <c r="C1901" s="19" t="s">
        <v>6295</v>
      </c>
      <c r="D1901" s="39" t="s">
        <v>6396</v>
      </c>
      <c r="E1901" s="43" t="s">
        <v>6397</v>
      </c>
      <c r="F1901" s="43" t="s">
        <v>6398</v>
      </c>
      <c r="G1901" s="43" t="s">
        <v>6376</v>
      </c>
      <c r="H1901" s="42" t="s">
        <v>6399</v>
      </c>
      <c r="I1901" s="18">
        <f t="shared" si="17"/>
        <v>45958</v>
      </c>
      <c r="J1901" s="19" t="s">
        <v>28</v>
      </c>
      <c r="K1901" s="19" t="s">
        <v>5170</v>
      </c>
      <c r="L1901" s="40"/>
    </row>
    <row r="1902" ht="22.5" customHeight="1">
      <c r="C1902" s="19" t="s">
        <v>6400</v>
      </c>
      <c r="D1902" s="39" t="s">
        <v>6401</v>
      </c>
      <c r="E1902" s="43" t="s">
        <v>6402</v>
      </c>
      <c r="F1902" s="43" t="s">
        <v>6403</v>
      </c>
      <c r="G1902" s="43" t="s">
        <v>5973</v>
      </c>
      <c r="H1902" s="44">
        <v>7.862526903E9</v>
      </c>
      <c r="I1902" s="18">
        <f t="shared" si="17"/>
        <v>45958</v>
      </c>
      <c r="J1902" s="19" t="s">
        <v>28</v>
      </c>
      <c r="K1902" s="19" t="s">
        <v>5170</v>
      </c>
      <c r="L1902" s="40"/>
    </row>
    <row r="1903" ht="22.5" customHeight="1">
      <c r="C1903" s="19" t="s">
        <v>6400</v>
      </c>
      <c r="D1903" s="39" t="s">
        <v>6404</v>
      </c>
      <c r="E1903" s="43" t="s">
        <v>6405</v>
      </c>
      <c r="F1903" s="43" t="s">
        <v>182</v>
      </c>
      <c r="G1903" s="43" t="s">
        <v>460</v>
      </c>
      <c r="H1903" s="44">
        <v>3.057207876E9</v>
      </c>
      <c r="I1903" s="18">
        <f t="shared" si="17"/>
        <v>45958</v>
      </c>
      <c r="J1903" s="19" t="s">
        <v>28</v>
      </c>
      <c r="K1903" s="19" t="s">
        <v>5170</v>
      </c>
      <c r="L1903" s="40"/>
    </row>
    <row r="1904" ht="22.5" customHeight="1">
      <c r="C1904" s="19" t="s">
        <v>6400</v>
      </c>
      <c r="D1904" s="39" t="s">
        <v>6406</v>
      </c>
      <c r="E1904" s="43" t="s">
        <v>6407</v>
      </c>
      <c r="F1904" s="43" t="s">
        <v>6408</v>
      </c>
      <c r="G1904" s="43" t="s">
        <v>5820</v>
      </c>
      <c r="H1904" s="44">
        <v>7.8668753E9</v>
      </c>
      <c r="I1904" s="18">
        <f t="shared" si="17"/>
        <v>45958</v>
      </c>
      <c r="J1904" s="19" t="s">
        <v>28</v>
      </c>
      <c r="K1904" s="19" t="s">
        <v>5170</v>
      </c>
      <c r="L1904" s="40"/>
    </row>
    <row r="1905" ht="22.5" customHeight="1">
      <c r="C1905" s="19" t="s">
        <v>6400</v>
      </c>
      <c r="D1905" s="39" t="s">
        <v>6409</v>
      </c>
      <c r="E1905" s="43" t="s">
        <v>6410</v>
      </c>
      <c r="F1905" s="43" t="s">
        <v>6411</v>
      </c>
      <c r="G1905" s="43" t="s">
        <v>6412</v>
      </c>
      <c r="H1905" s="44">
        <v>3.05454042E9</v>
      </c>
      <c r="I1905" s="18">
        <f t="shared" si="17"/>
        <v>45958</v>
      </c>
      <c r="J1905" s="19" t="s">
        <v>28</v>
      </c>
      <c r="K1905" s="19" t="s">
        <v>5170</v>
      </c>
      <c r="L1905" s="4" t="s">
        <v>89</v>
      </c>
    </row>
    <row r="1906" ht="22.5" customHeight="1">
      <c r="C1906" s="19" t="s">
        <v>6400</v>
      </c>
      <c r="D1906" s="39" t="s">
        <v>6413</v>
      </c>
      <c r="E1906" s="43" t="s">
        <v>6414</v>
      </c>
      <c r="F1906" s="43" t="s">
        <v>6415</v>
      </c>
      <c r="G1906" s="43" t="s">
        <v>5953</v>
      </c>
      <c r="H1906" s="42" t="s">
        <v>6416</v>
      </c>
      <c r="I1906" s="18">
        <f t="shared" si="17"/>
        <v>45958</v>
      </c>
      <c r="J1906" s="19" t="s">
        <v>28</v>
      </c>
      <c r="K1906" s="19" t="s">
        <v>5170</v>
      </c>
      <c r="L1906" s="4" t="s">
        <v>148</v>
      </c>
    </row>
    <row r="1907" ht="22.5" customHeight="1">
      <c r="C1907" s="19" t="s">
        <v>6400</v>
      </c>
      <c r="D1907" s="39" t="s">
        <v>6417</v>
      </c>
      <c r="E1907" s="43" t="s">
        <v>6418</v>
      </c>
      <c r="F1907" s="43" t="s">
        <v>182</v>
      </c>
      <c r="G1907" s="43" t="s">
        <v>5929</v>
      </c>
      <c r="H1907" s="44">
        <v>7.86385494E9</v>
      </c>
      <c r="I1907" s="18">
        <f t="shared" si="17"/>
        <v>45958</v>
      </c>
      <c r="J1907" s="19" t="s">
        <v>28</v>
      </c>
      <c r="K1907" s="19" t="s">
        <v>5170</v>
      </c>
      <c r="L1907" s="40"/>
    </row>
    <row r="1908" ht="22.5" customHeight="1">
      <c r="C1908" s="19" t="s">
        <v>6400</v>
      </c>
      <c r="D1908" s="39" t="s">
        <v>6419</v>
      </c>
      <c r="E1908" s="43" t="s">
        <v>6420</v>
      </c>
      <c r="F1908" s="43" t="s">
        <v>6421</v>
      </c>
      <c r="G1908" s="43" t="s">
        <v>6422</v>
      </c>
      <c r="H1908" s="42" t="s">
        <v>6423</v>
      </c>
      <c r="I1908" s="18">
        <f t="shared" si="17"/>
        <v>45958</v>
      </c>
      <c r="J1908" s="19" t="s">
        <v>28</v>
      </c>
      <c r="K1908" s="19" t="s">
        <v>5170</v>
      </c>
      <c r="L1908" s="4" t="s">
        <v>148</v>
      </c>
    </row>
    <row r="1909" ht="22.5" customHeight="1">
      <c r="C1909" s="19" t="s">
        <v>6400</v>
      </c>
      <c r="D1909" s="39" t="s">
        <v>6424</v>
      </c>
      <c r="E1909" s="43" t="s">
        <v>6425</v>
      </c>
      <c r="F1909" s="43" t="s">
        <v>6426</v>
      </c>
      <c r="G1909" s="43" t="s">
        <v>5957</v>
      </c>
      <c r="H1909" s="44">
        <v>7.864089681E9</v>
      </c>
      <c r="I1909" s="18">
        <f t="shared" si="17"/>
        <v>45958</v>
      </c>
      <c r="J1909" s="19" t="s">
        <v>28</v>
      </c>
      <c r="K1909" s="19" t="s">
        <v>5170</v>
      </c>
      <c r="L1909" s="40"/>
    </row>
    <row r="1910" ht="22.5" customHeight="1">
      <c r="C1910" s="19" t="s">
        <v>6400</v>
      </c>
      <c r="D1910" s="39" t="s">
        <v>6427</v>
      </c>
      <c r="E1910" s="43" t="s">
        <v>6428</v>
      </c>
      <c r="F1910" s="43" t="s">
        <v>6429</v>
      </c>
      <c r="G1910" s="43" t="s">
        <v>6063</v>
      </c>
      <c r="H1910" s="44">
        <v>3.058153399E9</v>
      </c>
      <c r="I1910" s="18">
        <f t="shared" si="17"/>
        <v>45958</v>
      </c>
      <c r="J1910" s="19" t="s">
        <v>28</v>
      </c>
      <c r="K1910" s="19" t="s">
        <v>5170</v>
      </c>
      <c r="L1910" s="40"/>
    </row>
    <row r="1911" ht="22.5" customHeight="1">
      <c r="C1911" s="19" t="s">
        <v>6400</v>
      </c>
      <c r="D1911" s="39" t="s">
        <v>6430</v>
      </c>
      <c r="E1911" s="43" t="s">
        <v>6431</v>
      </c>
      <c r="F1911" s="43" t="s">
        <v>6432</v>
      </c>
      <c r="G1911" s="43" t="s">
        <v>6169</v>
      </c>
      <c r="H1911" s="42" t="s">
        <v>6433</v>
      </c>
      <c r="I1911" s="18">
        <f t="shared" si="17"/>
        <v>45958</v>
      </c>
      <c r="J1911" s="19" t="s">
        <v>28</v>
      </c>
      <c r="K1911" s="19" t="s">
        <v>5170</v>
      </c>
      <c r="L1911" s="40"/>
    </row>
    <row r="1912" ht="22.5" customHeight="1">
      <c r="C1912" s="19" t="s">
        <v>6400</v>
      </c>
      <c r="D1912" s="39" t="s">
        <v>6434</v>
      </c>
      <c r="E1912" s="43" t="s">
        <v>6435</v>
      </c>
      <c r="F1912" s="43" t="s">
        <v>6436</v>
      </c>
      <c r="G1912" s="43" t="s">
        <v>5882</v>
      </c>
      <c r="H1912" s="42" t="s">
        <v>6437</v>
      </c>
      <c r="I1912" s="18">
        <f t="shared" si="17"/>
        <v>45958</v>
      </c>
      <c r="J1912" s="19" t="s">
        <v>28</v>
      </c>
      <c r="K1912" s="19" t="s">
        <v>5170</v>
      </c>
      <c r="L1912" s="40"/>
    </row>
    <row r="1913" ht="22.5" customHeight="1">
      <c r="C1913" s="19" t="s">
        <v>6400</v>
      </c>
      <c r="D1913" s="39" t="s">
        <v>6438</v>
      </c>
      <c r="E1913" s="43" t="s">
        <v>6439</v>
      </c>
      <c r="F1913" s="43" t="s">
        <v>6440</v>
      </c>
      <c r="G1913" s="43" t="s">
        <v>6068</v>
      </c>
      <c r="H1913" s="42" t="s">
        <v>6441</v>
      </c>
      <c r="I1913" s="18">
        <f t="shared" si="17"/>
        <v>45958</v>
      </c>
      <c r="J1913" s="19" t="s">
        <v>28</v>
      </c>
      <c r="K1913" s="19" t="s">
        <v>5170</v>
      </c>
      <c r="L1913" s="40"/>
    </row>
    <row r="1914" ht="22.5" customHeight="1">
      <c r="C1914" s="19" t="s">
        <v>6400</v>
      </c>
      <c r="D1914" s="39" t="s">
        <v>6442</v>
      </c>
      <c r="E1914" s="43" t="s">
        <v>6443</v>
      </c>
      <c r="F1914" s="43" t="s">
        <v>6444</v>
      </c>
      <c r="G1914" s="43" t="s">
        <v>6164</v>
      </c>
      <c r="H1914" s="42" t="s">
        <v>6445</v>
      </c>
      <c r="I1914" s="18">
        <f t="shared" si="17"/>
        <v>45958</v>
      </c>
      <c r="J1914" s="19" t="s">
        <v>28</v>
      </c>
      <c r="K1914" s="19" t="s">
        <v>5170</v>
      </c>
      <c r="L1914" s="40"/>
    </row>
    <row r="1915" ht="22.5" customHeight="1">
      <c r="C1915" s="19" t="s">
        <v>6400</v>
      </c>
      <c r="D1915" s="39" t="s">
        <v>6446</v>
      </c>
      <c r="E1915" s="43" t="s">
        <v>6447</v>
      </c>
      <c r="F1915" s="43" t="s">
        <v>4899</v>
      </c>
      <c r="G1915" s="43" t="s">
        <v>5866</v>
      </c>
      <c r="H1915" s="42" t="s">
        <v>6448</v>
      </c>
      <c r="I1915" s="18">
        <f t="shared" si="17"/>
        <v>45958</v>
      </c>
      <c r="J1915" s="19" t="s">
        <v>28</v>
      </c>
      <c r="K1915" s="19" t="s">
        <v>5170</v>
      </c>
      <c r="L1915" s="40"/>
    </row>
    <row r="1916" ht="22.5" customHeight="1">
      <c r="C1916" s="19" t="s">
        <v>6400</v>
      </c>
      <c r="D1916" s="39" t="s">
        <v>6449</v>
      </c>
      <c r="E1916" s="43" t="s">
        <v>6450</v>
      </c>
      <c r="F1916" s="43" t="s">
        <v>6451</v>
      </c>
      <c r="G1916" s="43" t="s">
        <v>6452</v>
      </c>
      <c r="H1916" s="44">
        <v>7.865920119E9</v>
      </c>
      <c r="I1916" s="18">
        <f t="shared" si="17"/>
        <v>45958</v>
      </c>
      <c r="J1916" s="19" t="s">
        <v>28</v>
      </c>
      <c r="K1916" s="19" t="s">
        <v>5170</v>
      </c>
      <c r="L1916" s="4" t="s">
        <v>148</v>
      </c>
    </row>
    <row r="1917" ht="22.5" customHeight="1">
      <c r="C1917" s="19" t="s">
        <v>6400</v>
      </c>
      <c r="D1917" s="39" t="s">
        <v>6453</v>
      </c>
      <c r="E1917" s="43" t="s">
        <v>6454</v>
      </c>
      <c r="F1917" s="43" t="s">
        <v>6455</v>
      </c>
      <c r="G1917" s="43" t="s">
        <v>6004</v>
      </c>
      <c r="H1917" s="44">
        <v>5.617629252E9</v>
      </c>
      <c r="I1917" s="18">
        <f t="shared" si="17"/>
        <v>45958</v>
      </c>
      <c r="J1917" s="19" t="s">
        <v>28</v>
      </c>
      <c r="K1917" s="19" t="s">
        <v>5170</v>
      </c>
      <c r="L1917" s="40"/>
    </row>
    <row r="1918" ht="22.5" customHeight="1">
      <c r="C1918" s="19" t="s">
        <v>6400</v>
      </c>
      <c r="D1918" s="39" t="s">
        <v>6456</v>
      </c>
      <c r="E1918" s="43" t="s">
        <v>6457</v>
      </c>
      <c r="F1918" s="43" t="s">
        <v>6458</v>
      </c>
      <c r="G1918" s="43" t="s">
        <v>6459</v>
      </c>
      <c r="H1918" s="42" t="s">
        <v>6460</v>
      </c>
      <c r="I1918" s="18">
        <f t="shared" si="17"/>
        <v>45958</v>
      </c>
      <c r="J1918" s="19" t="s">
        <v>28</v>
      </c>
      <c r="K1918" s="19" t="s">
        <v>5170</v>
      </c>
      <c r="L1918" s="40"/>
    </row>
    <row r="1919" ht="22.5" customHeight="1">
      <c r="C1919" s="19" t="s">
        <v>6400</v>
      </c>
      <c r="D1919" s="39" t="s">
        <v>6461</v>
      </c>
      <c r="E1919" s="43" t="s">
        <v>6462</v>
      </c>
      <c r="F1919" s="43" t="s">
        <v>6463</v>
      </c>
      <c r="G1919" s="43" t="s">
        <v>5878</v>
      </c>
      <c r="H1919" s="44">
        <v>3.056087225E9</v>
      </c>
      <c r="I1919" s="18">
        <f t="shared" si="17"/>
        <v>45958</v>
      </c>
      <c r="J1919" s="19" t="s">
        <v>28</v>
      </c>
      <c r="K1919" s="19" t="s">
        <v>5170</v>
      </c>
      <c r="L1919" s="40"/>
    </row>
    <row r="1920" ht="22.5" customHeight="1">
      <c r="C1920" s="19" t="s">
        <v>6400</v>
      </c>
      <c r="D1920" s="39" t="s">
        <v>6464</v>
      </c>
      <c r="E1920" s="43" t="s">
        <v>6465</v>
      </c>
      <c r="F1920" s="43" t="s">
        <v>6466</v>
      </c>
      <c r="G1920" s="43" t="s">
        <v>5862</v>
      </c>
      <c r="H1920" s="44">
        <v>3.059700262E9</v>
      </c>
      <c r="I1920" s="18">
        <f t="shared" si="17"/>
        <v>45958</v>
      </c>
      <c r="J1920" s="19" t="s">
        <v>28</v>
      </c>
      <c r="K1920" s="19" t="s">
        <v>5170</v>
      </c>
      <c r="L1920" s="40"/>
    </row>
    <row r="1921" ht="22.5" customHeight="1">
      <c r="C1921" s="19" t="s">
        <v>6400</v>
      </c>
      <c r="D1921" s="39" t="s">
        <v>6467</v>
      </c>
      <c r="E1921" s="43" t="s">
        <v>6468</v>
      </c>
      <c r="F1921" s="43" t="s">
        <v>6469</v>
      </c>
      <c r="G1921" s="43" t="s">
        <v>6470</v>
      </c>
      <c r="H1921" s="42" t="s">
        <v>6471</v>
      </c>
      <c r="I1921" s="18">
        <f t="shared" si="17"/>
        <v>45958</v>
      </c>
      <c r="J1921" s="19" t="s">
        <v>28</v>
      </c>
      <c r="K1921" s="19" t="s">
        <v>5170</v>
      </c>
      <c r="L1921" s="40"/>
    </row>
    <row r="1922" ht="22.5" customHeight="1">
      <c r="C1922" s="19" t="s">
        <v>6400</v>
      </c>
      <c r="D1922" s="39" t="s">
        <v>6472</v>
      </c>
      <c r="E1922" s="43" t="s">
        <v>6473</v>
      </c>
      <c r="F1922" s="43" t="s">
        <v>6474</v>
      </c>
      <c r="G1922" s="43" t="s">
        <v>5870</v>
      </c>
      <c r="H1922" s="42" t="s">
        <v>6475</v>
      </c>
      <c r="I1922" s="18">
        <f t="shared" si="17"/>
        <v>45958</v>
      </c>
      <c r="J1922" s="19" t="s">
        <v>28</v>
      </c>
      <c r="K1922" s="19" t="s">
        <v>5170</v>
      </c>
      <c r="L1922" s="40"/>
    </row>
    <row r="1923" ht="22.5" customHeight="1">
      <c r="C1923" s="19" t="s">
        <v>6400</v>
      </c>
      <c r="D1923" s="39" t="s">
        <v>6476</v>
      </c>
      <c r="E1923" s="43" t="s">
        <v>6477</v>
      </c>
      <c r="F1923" s="43" t="s">
        <v>6478</v>
      </c>
      <c r="G1923" s="43" t="s">
        <v>5949</v>
      </c>
      <c r="H1923" s="42" t="s">
        <v>6479</v>
      </c>
      <c r="I1923" s="18">
        <f t="shared" si="17"/>
        <v>45958</v>
      </c>
      <c r="J1923" s="19" t="s">
        <v>28</v>
      </c>
      <c r="K1923" s="19" t="s">
        <v>5170</v>
      </c>
      <c r="L1923" s="40"/>
    </row>
    <row r="1924" ht="22.5" customHeight="1">
      <c r="C1924" s="19" t="s">
        <v>6400</v>
      </c>
      <c r="D1924" s="39" t="s">
        <v>6480</v>
      </c>
      <c r="E1924" s="43" t="s">
        <v>6481</v>
      </c>
      <c r="F1924" s="43" t="s">
        <v>6482</v>
      </c>
      <c r="G1924" s="43" t="s">
        <v>6483</v>
      </c>
      <c r="H1924" s="42" t="s">
        <v>6484</v>
      </c>
      <c r="I1924" s="18">
        <f t="shared" si="17"/>
        <v>45958</v>
      </c>
      <c r="J1924" s="19" t="s">
        <v>28</v>
      </c>
      <c r="K1924" s="19" t="s">
        <v>5170</v>
      </c>
      <c r="L1924" s="40"/>
    </row>
    <row r="1925" ht="22.5" customHeight="1">
      <c r="C1925" s="19" t="s">
        <v>6400</v>
      </c>
      <c r="D1925" s="39" t="s">
        <v>6485</v>
      </c>
      <c r="E1925" s="43" t="s">
        <v>6486</v>
      </c>
      <c r="F1925" s="43" t="s">
        <v>223</v>
      </c>
      <c r="G1925" s="43" t="s">
        <v>5953</v>
      </c>
      <c r="H1925" s="44">
        <v>7.862239313E9</v>
      </c>
      <c r="I1925" s="18">
        <f t="shared" si="17"/>
        <v>45958</v>
      </c>
      <c r="J1925" s="19" t="s">
        <v>28</v>
      </c>
      <c r="K1925" s="19" t="s">
        <v>5170</v>
      </c>
      <c r="L1925" s="40"/>
    </row>
    <row r="1926" ht="22.5" customHeight="1">
      <c r="C1926" s="19" t="s">
        <v>6400</v>
      </c>
      <c r="D1926" s="39" t="s">
        <v>6487</v>
      </c>
      <c r="E1926" s="43" t="s">
        <v>6488</v>
      </c>
      <c r="F1926" s="43" t="s">
        <v>6489</v>
      </c>
      <c r="G1926" s="43" t="s">
        <v>5908</v>
      </c>
      <c r="H1926" s="42" t="s">
        <v>6490</v>
      </c>
      <c r="I1926" s="18">
        <f t="shared" si="17"/>
        <v>45958</v>
      </c>
      <c r="J1926" s="19" t="s">
        <v>28</v>
      </c>
      <c r="K1926" s="19" t="s">
        <v>5170</v>
      </c>
      <c r="L1926" s="40"/>
    </row>
    <row r="1927" ht="22.5" customHeight="1">
      <c r="C1927" s="19" t="s">
        <v>6400</v>
      </c>
      <c r="D1927" s="39" t="s">
        <v>6491</v>
      </c>
      <c r="E1927" s="43" t="s">
        <v>6492</v>
      </c>
      <c r="F1927" s="43" t="s">
        <v>6493</v>
      </c>
      <c r="G1927" s="43" t="s">
        <v>6160</v>
      </c>
      <c r="H1927" s="44">
        <v>3.056073344E9</v>
      </c>
      <c r="I1927" s="18">
        <f t="shared" si="17"/>
        <v>45958</v>
      </c>
      <c r="J1927" s="19" t="s">
        <v>28</v>
      </c>
      <c r="K1927" s="19" t="s">
        <v>5170</v>
      </c>
      <c r="L1927" s="40"/>
    </row>
    <row r="1928" ht="22.5" customHeight="1">
      <c r="C1928" s="19" t="s">
        <v>6400</v>
      </c>
      <c r="D1928" s="39" t="s">
        <v>6494</v>
      </c>
      <c r="E1928" s="43" t="s">
        <v>6495</v>
      </c>
      <c r="F1928" s="43" t="s">
        <v>704</v>
      </c>
      <c r="G1928" s="43" t="s">
        <v>5846</v>
      </c>
      <c r="H1928" s="42" t="s">
        <v>6496</v>
      </c>
      <c r="I1928" s="18">
        <f t="shared" si="17"/>
        <v>45958</v>
      </c>
      <c r="J1928" s="19" t="s">
        <v>28</v>
      </c>
      <c r="K1928" s="19" t="s">
        <v>5170</v>
      </c>
      <c r="L1928" s="40"/>
    </row>
    <row r="1929" ht="22.5" customHeight="1">
      <c r="C1929" s="19" t="s">
        <v>6400</v>
      </c>
      <c r="D1929" s="39" t="s">
        <v>6497</v>
      </c>
      <c r="E1929" s="43" t="s">
        <v>6498</v>
      </c>
      <c r="F1929" s="43" t="s">
        <v>6499</v>
      </c>
      <c r="G1929" s="43" t="s">
        <v>6500</v>
      </c>
      <c r="H1929" s="44">
        <v>1.754236608E10</v>
      </c>
      <c r="I1929" s="18">
        <f t="shared" si="17"/>
        <v>45958</v>
      </c>
      <c r="J1929" s="19" t="s">
        <v>28</v>
      </c>
      <c r="K1929" s="19" t="s">
        <v>5170</v>
      </c>
      <c r="L1929" s="40"/>
    </row>
    <row r="1930" ht="22.5" customHeight="1">
      <c r="C1930" s="19" t="s">
        <v>6400</v>
      </c>
      <c r="D1930" s="39" t="s">
        <v>6501</v>
      </c>
      <c r="E1930" s="43" t="s">
        <v>6502</v>
      </c>
      <c r="F1930" s="43" t="s">
        <v>6503</v>
      </c>
      <c r="G1930" s="43" t="s">
        <v>5858</v>
      </c>
      <c r="H1930" s="42" t="s">
        <v>6504</v>
      </c>
      <c r="I1930" s="18">
        <f t="shared" si="17"/>
        <v>45958</v>
      </c>
      <c r="J1930" s="19" t="s">
        <v>28</v>
      </c>
      <c r="K1930" s="19" t="s">
        <v>5170</v>
      </c>
      <c r="L1930" s="4" t="s">
        <v>99</v>
      </c>
    </row>
    <row r="1931" ht="22.5" customHeight="1">
      <c r="C1931" s="19" t="s">
        <v>6505</v>
      </c>
      <c r="D1931" s="39" t="s">
        <v>6506</v>
      </c>
      <c r="E1931" s="43" t="s">
        <v>6507</v>
      </c>
      <c r="F1931" s="43" t="s">
        <v>6508</v>
      </c>
      <c r="G1931" s="43" t="s">
        <v>6164</v>
      </c>
      <c r="H1931" s="42" t="s">
        <v>6509</v>
      </c>
      <c r="I1931" s="18">
        <f t="shared" si="17"/>
        <v>45958</v>
      </c>
      <c r="J1931" s="19" t="s">
        <v>28</v>
      </c>
      <c r="K1931" s="19" t="s">
        <v>5170</v>
      </c>
      <c r="L1931" s="40"/>
    </row>
    <row r="1932" ht="22.5" customHeight="1">
      <c r="C1932" s="19" t="s">
        <v>6505</v>
      </c>
      <c r="D1932" s="39" t="s">
        <v>6510</v>
      </c>
      <c r="E1932" s="43" t="s">
        <v>6511</v>
      </c>
      <c r="F1932" s="43" t="s">
        <v>5903</v>
      </c>
      <c r="G1932" s="43" t="s">
        <v>5904</v>
      </c>
      <c r="H1932" s="44">
        <v>3.053370587E9</v>
      </c>
      <c r="I1932" s="18">
        <f t="shared" si="17"/>
        <v>45958</v>
      </c>
      <c r="J1932" s="19" t="s">
        <v>28</v>
      </c>
      <c r="K1932" s="19" t="s">
        <v>5170</v>
      </c>
      <c r="L1932" s="40"/>
    </row>
    <row r="1933" ht="22.5" customHeight="1">
      <c r="C1933" s="19" t="s">
        <v>6505</v>
      </c>
      <c r="D1933" s="39" t="s">
        <v>6512</v>
      </c>
      <c r="E1933" s="43" t="s">
        <v>6513</v>
      </c>
      <c r="F1933" s="43" t="s">
        <v>6514</v>
      </c>
      <c r="G1933" s="43" t="s">
        <v>5862</v>
      </c>
      <c r="H1933" s="44">
        <v>8.62259499E9</v>
      </c>
      <c r="I1933" s="18">
        <f t="shared" si="17"/>
        <v>45958</v>
      </c>
      <c r="J1933" s="19" t="s">
        <v>28</v>
      </c>
      <c r="K1933" s="19" t="s">
        <v>5170</v>
      </c>
      <c r="L1933" s="40"/>
    </row>
    <row r="1934" ht="22.5" customHeight="1">
      <c r="C1934" s="19" t="s">
        <v>6505</v>
      </c>
      <c r="D1934" s="39" t="s">
        <v>6515</v>
      </c>
      <c r="E1934" s="43" t="s">
        <v>6516</v>
      </c>
      <c r="F1934" s="43" t="s">
        <v>6517</v>
      </c>
      <c r="G1934" s="43" t="s">
        <v>5820</v>
      </c>
      <c r="H1934" s="44">
        <v>3.053716711E9</v>
      </c>
      <c r="I1934" s="18">
        <f t="shared" si="17"/>
        <v>45958</v>
      </c>
      <c r="J1934" s="19" t="s">
        <v>28</v>
      </c>
      <c r="K1934" s="19" t="s">
        <v>5170</v>
      </c>
      <c r="L1934" s="40"/>
    </row>
    <row r="1935" ht="22.5" customHeight="1">
      <c r="C1935" s="19" t="s">
        <v>6505</v>
      </c>
      <c r="D1935" s="39" t="s">
        <v>6518</v>
      </c>
      <c r="E1935" s="43" t="s">
        <v>6519</v>
      </c>
      <c r="F1935" s="43" t="s">
        <v>6520</v>
      </c>
      <c r="G1935" s="43" t="s">
        <v>6521</v>
      </c>
      <c r="H1935" s="44">
        <v>3.059685102E9</v>
      </c>
      <c r="I1935" s="18">
        <f t="shared" si="17"/>
        <v>45958</v>
      </c>
      <c r="J1935" s="19" t="s">
        <v>28</v>
      </c>
      <c r="K1935" s="19" t="s">
        <v>5170</v>
      </c>
      <c r="L1935" s="40"/>
    </row>
    <row r="1936" ht="22.5" customHeight="1">
      <c r="C1936" s="19" t="s">
        <v>6505</v>
      </c>
      <c r="D1936" s="39" t="s">
        <v>6522</v>
      </c>
      <c r="E1936" s="43" t="s">
        <v>6523</v>
      </c>
      <c r="F1936" s="43" t="s">
        <v>858</v>
      </c>
      <c r="G1936" s="43" t="s">
        <v>6004</v>
      </c>
      <c r="H1936" s="44">
        <v>3.05336623E9</v>
      </c>
      <c r="I1936" s="18">
        <f t="shared" si="17"/>
        <v>45958</v>
      </c>
      <c r="J1936" s="19" t="s">
        <v>28</v>
      </c>
      <c r="K1936" s="19" t="s">
        <v>5170</v>
      </c>
      <c r="L1936" s="40"/>
    </row>
    <row r="1937" ht="22.5" customHeight="1">
      <c r="C1937" s="19" t="s">
        <v>6505</v>
      </c>
      <c r="D1937" s="39" t="s">
        <v>6524</v>
      </c>
      <c r="E1937" s="43" t="s">
        <v>6525</v>
      </c>
      <c r="F1937" s="43" t="s">
        <v>6526</v>
      </c>
      <c r="G1937" s="43" t="s">
        <v>5929</v>
      </c>
      <c r="H1937" s="42" t="s">
        <v>6527</v>
      </c>
      <c r="I1937" s="18">
        <f t="shared" si="17"/>
        <v>45958</v>
      </c>
      <c r="J1937" s="19" t="s">
        <v>28</v>
      </c>
      <c r="K1937" s="19" t="s">
        <v>5170</v>
      </c>
      <c r="L1937" s="40"/>
    </row>
    <row r="1938" ht="22.5" customHeight="1">
      <c r="C1938" s="19" t="s">
        <v>6505</v>
      </c>
      <c r="D1938" s="39" t="s">
        <v>6528</v>
      </c>
      <c r="E1938" s="43" t="s">
        <v>6529</v>
      </c>
      <c r="F1938" s="43" t="s">
        <v>6530</v>
      </c>
      <c r="G1938" s="43" t="s">
        <v>5825</v>
      </c>
      <c r="H1938" s="42" t="s">
        <v>1300</v>
      </c>
      <c r="I1938" s="18">
        <f t="shared" si="17"/>
        <v>45958</v>
      </c>
      <c r="J1938" s="19" t="s">
        <v>28</v>
      </c>
      <c r="K1938" s="19" t="s">
        <v>5170</v>
      </c>
      <c r="L1938" s="40"/>
    </row>
    <row r="1939" ht="22.5" customHeight="1">
      <c r="C1939" s="19" t="s">
        <v>6505</v>
      </c>
      <c r="D1939" s="39" t="s">
        <v>6531</v>
      </c>
      <c r="E1939" s="43" t="s">
        <v>6532</v>
      </c>
      <c r="F1939" s="43" t="s">
        <v>6533</v>
      </c>
      <c r="G1939" s="43" t="s">
        <v>6534</v>
      </c>
      <c r="H1939" s="44">
        <v>7.862376504E9</v>
      </c>
      <c r="I1939" s="18">
        <f t="shared" si="17"/>
        <v>45958</v>
      </c>
      <c r="J1939" s="19" t="s">
        <v>28</v>
      </c>
      <c r="K1939" s="19" t="s">
        <v>5170</v>
      </c>
      <c r="L1939" s="40"/>
    </row>
    <row r="1940" ht="22.5" customHeight="1">
      <c r="C1940" s="19" t="s">
        <v>6505</v>
      </c>
      <c r="D1940" s="39" t="s">
        <v>6535</v>
      </c>
      <c r="E1940" s="43" t="s">
        <v>6536</v>
      </c>
      <c r="F1940" s="43" t="s">
        <v>6537</v>
      </c>
      <c r="G1940" s="43" t="s">
        <v>5882</v>
      </c>
      <c r="H1940" s="44">
        <v>3.474514225E9</v>
      </c>
      <c r="I1940" s="18">
        <f t="shared" si="17"/>
        <v>45958</v>
      </c>
      <c r="J1940" s="19" t="s">
        <v>28</v>
      </c>
      <c r="K1940" s="19" t="s">
        <v>5170</v>
      </c>
      <c r="L1940" s="40"/>
    </row>
    <row r="1941" ht="22.5" customHeight="1">
      <c r="C1941" s="19" t="s">
        <v>6505</v>
      </c>
      <c r="D1941" s="39" t="s">
        <v>6538</v>
      </c>
      <c r="E1941" s="43" t="s">
        <v>6539</v>
      </c>
      <c r="F1941" s="43" t="s">
        <v>6540</v>
      </c>
      <c r="G1941" s="43" t="s">
        <v>5870</v>
      </c>
      <c r="H1941" s="44">
        <v>7.862068611E9</v>
      </c>
      <c r="I1941" s="18">
        <f t="shared" si="17"/>
        <v>45958</v>
      </c>
      <c r="J1941" s="19" t="s">
        <v>28</v>
      </c>
      <c r="K1941" s="19" t="s">
        <v>5170</v>
      </c>
      <c r="L1941" s="40"/>
    </row>
    <row r="1942" ht="22.5" customHeight="1">
      <c r="C1942" s="19" t="s">
        <v>6505</v>
      </c>
      <c r="D1942" s="39" t="s">
        <v>6541</v>
      </c>
      <c r="E1942" s="43" t="s">
        <v>6542</v>
      </c>
      <c r="F1942" s="43" t="s">
        <v>6543</v>
      </c>
      <c r="G1942" s="43" t="s">
        <v>5874</v>
      </c>
      <c r="H1942" s="42" t="s">
        <v>6544</v>
      </c>
      <c r="I1942" s="18">
        <f t="shared" si="17"/>
        <v>45958</v>
      </c>
      <c r="J1942" s="19" t="s">
        <v>28</v>
      </c>
      <c r="K1942" s="19" t="s">
        <v>5170</v>
      </c>
      <c r="L1942" s="40"/>
    </row>
    <row r="1943" ht="22.5" customHeight="1">
      <c r="C1943" s="19" t="s">
        <v>6505</v>
      </c>
      <c r="D1943" s="39" t="s">
        <v>6545</v>
      </c>
      <c r="E1943" s="43" t="s">
        <v>6546</v>
      </c>
      <c r="F1943" s="43" t="s">
        <v>6547</v>
      </c>
      <c r="G1943" s="43" t="s">
        <v>6548</v>
      </c>
      <c r="H1943" s="42" t="s">
        <v>6549</v>
      </c>
      <c r="I1943" s="18">
        <f t="shared" si="17"/>
        <v>45958</v>
      </c>
      <c r="J1943" s="19" t="s">
        <v>28</v>
      </c>
      <c r="K1943" s="19" t="s">
        <v>5170</v>
      </c>
      <c r="L1943" s="40"/>
    </row>
    <row r="1944" ht="22.5" customHeight="1">
      <c r="C1944" s="19" t="s">
        <v>6505</v>
      </c>
      <c r="D1944" s="39" t="s">
        <v>6550</v>
      </c>
      <c r="E1944" s="43" t="s">
        <v>6551</v>
      </c>
      <c r="F1944" s="43" t="s">
        <v>6552</v>
      </c>
      <c r="G1944" s="43" t="s">
        <v>6094</v>
      </c>
      <c r="H1944" s="44">
        <v>3.055325411E9</v>
      </c>
      <c r="I1944" s="18">
        <f t="shared" si="17"/>
        <v>45958</v>
      </c>
      <c r="J1944" s="19" t="s">
        <v>28</v>
      </c>
      <c r="K1944" s="19" t="s">
        <v>5170</v>
      </c>
      <c r="L1944" s="40"/>
    </row>
    <row r="1945" ht="22.5" customHeight="1">
      <c r="C1945" s="19" t="s">
        <v>6505</v>
      </c>
      <c r="D1945" s="39" t="s">
        <v>6553</v>
      </c>
      <c r="E1945" s="43" t="s">
        <v>6554</v>
      </c>
      <c r="F1945" s="43" t="s">
        <v>6555</v>
      </c>
      <c r="G1945" s="43" t="s">
        <v>5866</v>
      </c>
      <c r="H1945" s="44">
        <v>3.053362722E9</v>
      </c>
      <c r="I1945" s="18">
        <f t="shared" si="17"/>
        <v>45958</v>
      </c>
      <c r="J1945" s="19" t="s">
        <v>28</v>
      </c>
      <c r="K1945" s="19" t="s">
        <v>5170</v>
      </c>
      <c r="L1945" s="40"/>
    </row>
    <row r="1946" ht="22.5" customHeight="1">
      <c r="C1946" s="19" t="s">
        <v>6505</v>
      </c>
      <c r="D1946" s="39" t="s">
        <v>6556</v>
      </c>
      <c r="E1946" s="43" t="s">
        <v>6557</v>
      </c>
      <c r="F1946" s="43" t="s">
        <v>6558</v>
      </c>
      <c r="G1946" s="43" t="s">
        <v>6559</v>
      </c>
      <c r="H1946" s="44">
        <v>7.863783766E9</v>
      </c>
      <c r="I1946" s="18">
        <f t="shared" si="17"/>
        <v>45958</v>
      </c>
      <c r="J1946" s="19" t="s">
        <v>28</v>
      </c>
      <c r="K1946" s="19" t="s">
        <v>5170</v>
      </c>
      <c r="L1946" s="40"/>
    </row>
    <row r="1947" ht="22.5" customHeight="1">
      <c r="C1947" s="19" t="s">
        <v>6505</v>
      </c>
      <c r="D1947" s="39" t="s">
        <v>6560</v>
      </c>
      <c r="E1947" s="43" t="s">
        <v>6561</v>
      </c>
      <c r="F1947" s="43" t="s">
        <v>6562</v>
      </c>
      <c r="G1947" s="43" t="s">
        <v>6563</v>
      </c>
      <c r="H1947" s="42" t="s">
        <v>6564</v>
      </c>
      <c r="I1947" s="18">
        <f t="shared" si="17"/>
        <v>45958</v>
      </c>
      <c r="J1947" s="19" t="s">
        <v>28</v>
      </c>
      <c r="K1947" s="19" t="s">
        <v>5170</v>
      </c>
      <c r="L1947" s="40"/>
    </row>
    <row r="1948" ht="22.5" customHeight="1">
      <c r="C1948" s="19" t="s">
        <v>6505</v>
      </c>
      <c r="D1948" s="39" t="s">
        <v>6565</v>
      </c>
      <c r="E1948" s="43" t="s">
        <v>6566</v>
      </c>
      <c r="F1948" s="43" t="s">
        <v>6083</v>
      </c>
      <c r="G1948" s="43" t="s">
        <v>5957</v>
      </c>
      <c r="H1948" s="42" t="s">
        <v>6567</v>
      </c>
      <c r="I1948" s="18">
        <f t="shared" si="17"/>
        <v>45958</v>
      </c>
      <c r="J1948" s="19" t="s">
        <v>28</v>
      </c>
      <c r="K1948" s="19" t="s">
        <v>5170</v>
      </c>
      <c r="L1948" s="40"/>
    </row>
    <row r="1949" ht="22.5" customHeight="1">
      <c r="C1949" s="19" t="s">
        <v>6505</v>
      </c>
      <c r="D1949" s="39" t="s">
        <v>6568</v>
      </c>
      <c r="E1949" s="43" t="s">
        <v>6569</v>
      </c>
      <c r="F1949" s="43" t="s">
        <v>6570</v>
      </c>
      <c r="G1949" s="43" t="s">
        <v>5834</v>
      </c>
      <c r="H1949" s="42" t="s">
        <v>6571</v>
      </c>
      <c r="I1949" s="18">
        <f t="shared" si="17"/>
        <v>45958</v>
      </c>
      <c r="J1949" s="19" t="s">
        <v>28</v>
      </c>
      <c r="K1949" s="19" t="s">
        <v>5170</v>
      </c>
      <c r="L1949" s="40"/>
    </row>
    <row r="1950" ht="22.5" customHeight="1">
      <c r="C1950" s="19" t="s">
        <v>6505</v>
      </c>
      <c r="D1950" s="39" t="s">
        <v>6572</v>
      </c>
      <c r="E1950" s="43" t="s">
        <v>6573</v>
      </c>
      <c r="F1950" s="43" t="s">
        <v>1356</v>
      </c>
      <c r="G1950" s="43" t="s">
        <v>5882</v>
      </c>
      <c r="H1950" s="44">
        <v>3.052093102E9</v>
      </c>
      <c r="I1950" s="18">
        <f t="shared" si="17"/>
        <v>45958</v>
      </c>
      <c r="J1950" s="19" t="s">
        <v>28</v>
      </c>
      <c r="K1950" s="19" t="s">
        <v>5170</v>
      </c>
      <c r="L1950" s="40"/>
    </row>
    <row r="1951" ht="22.5" customHeight="1">
      <c r="C1951" s="19" t="s">
        <v>6505</v>
      </c>
      <c r="D1951" s="39" t="s">
        <v>6574</v>
      </c>
      <c r="E1951" s="43" t="s">
        <v>6575</v>
      </c>
      <c r="F1951" s="43" t="s">
        <v>6576</v>
      </c>
      <c r="G1951" s="43" t="s">
        <v>5962</v>
      </c>
      <c r="H1951" s="42" t="s">
        <v>6577</v>
      </c>
      <c r="I1951" s="18">
        <f t="shared" si="17"/>
        <v>45958</v>
      </c>
      <c r="J1951" s="19" t="s">
        <v>28</v>
      </c>
      <c r="K1951" s="19" t="s">
        <v>5170</v>
      </c>
      <c r="L1951" s="40"/>
    </row>
    <row r="1952" ht="22.5" customHeight="1">
      <c r="C1952" s="19" t="s">
        <v>6505</v>
      </c>
      <c r="D1952" s="39" t="s">
        <v>6578</v>
      </c>
      <c r="E1952" s="43" t="s">
        <v>6579</v>
      </c>
      <c r="F1952" s="43" t="s">
        <v>6580</v>
      </c>
      <c r="G1952" s="43" t="s">
        <v>6581</v>
      </c>
      <c r="H1952" s="42" t="s">
        <v>6582</v>
      </c>
      <c r="I1952" s="18">
        <f t="shared" si="17"/>
        <v>45958</v>
      </c>
      <c r="J1952" s="19" t="s">
        <v>28</v>
      </c>
      <c r="K1952" s="19" t="s">
        <v>5170</v>
      </c>
      <c r="L1952" s="40"/>
    </row>
    <row r="1953" ht="22.5" customHeight="1">
      <c r="C1953" s="19" t="s">
        <v>6505</v>
      </c>
      <c r="D1953" s="39" t="s">
        <v>6583</v>
      </c>
      <c r="E1953" s="43" t="s">
        <v>6584</v>
      </c>
      <c r="F1953" s="43" t="s">
        <v>6585</v>
      </c>
      <c r="G1953" s="43" t="s">
        <v>6586</v>
      </c>
      <c r="H1953" s="44">
        <v>7.865211409E9</v>
      </c>
      <c r="I1953" s="18">
        <f t="shared" si="17"/>
        <v>45958</v>
      </c>
      <c r="J1953" s="19" t="s">
        <v>28</v>
      </c>
      <c r="K1953" s="19" t="s">
        <v>5170</v>
      </c>
      <c r="L1953" s="40"/>
    </row>
    <row r="1954" ht="22.5" customHeight="1">
      <c r="C1954" s="19" t="s">
        <v>6505</v>
      </c>
      <c r="D1954" s="39" t="s">
        <v>6587</v>
      </c>
      <c r="E1954" s="43" t="s">
        <v>6588</v>
      </c>
      <c r="F1954" s="43" t="s">
        <v>3858</v>
      </c>
      <c r="G1954" s="43" t="s">
        <v>6004</v>
      </c>
      <c r="H1954" s="44">
        <v>9.54592108E9</v>
      </c>
      <c r="I1954" s="18">
        <f t="shared" si="17"/>
        <v>45958</v>
      </c>
      <c r="J1954" s="19" t="s">
        <v>28</v>
      </c>
      <c r="K1954" s="19" t="s">
        <v>5170</v>
      </c>
      <c r="L1954" s="40"/>
    </row>
    <row r="1955" ht="22.5" customHeight="1">
      <c r="C1955" s="19" t="s">
        <v>6505</v>
      </c>
      <c r="D1955" s="39" t="s">
        <v>6589</v>
      </c>
      <c r="E1955" s="43" t="s">
        <v>6590</v>
      </c>
      <c r="F1955" s="43" t="s">
        <v>6591</v>
      </c>
      <c r="G1955" s="43" t="s">
        <v>5968</v>
      </c>
      <c r="H1955" s="44">
        <v>4.056794615E9</v>
      </c>
      <c r="I1955" s="18">
        <f t="shared" si="17"/>
        <v>45958</v>
      </c>
      <c r="J1955" s="19" t="s">
        <v>28</v>
      </c>
      <c r="K1955" s="19" t="s">
        <v>5170</v>
      </c>
      <c r="L1955" s="40"/>
    </row>
    <row r="1956" ht="22.5" customHeight="1">
      <c r="C1956" s="19" t="s">
        <v>6505</v>
      </c>
      <c r="D1956" s="39" t="s">
        <v>6592</v>
      </c>
      <c r="E1956" s="43" t="s">
        <v>6593</v>
      </c>
      <c r="F1956" s="43" t="s">
        <v>6594</v>
      </c>
      <c r="G1956" s="43" t="s">
        <v>6217</v>
      </c>
      <c r="H1956" s="44">
        <v>7.865667113E9</v>
      </c>
      <c r="I1956" s="18">
        <f t="shared" si="17"/>
        <v>45958</v>
      </c>
      <c r="J1956" s="19" t="s">
        <v>28</v>
      </c>
      <c r="K1956" s="19" t="s">
        <v>5170</v>
      </c>
      <c r="L1956" s="40"/>
    </row>
    <row r="1957" ht="22.5" customHeight="1">
      <c r="C1957" s="19" t="s">
        <v>6505</v>
      </c>
      <c r="D1957" s="39" t="s">
        <v>6595</v>
      </c>
      <c r="E1957" s="43" t="s">
        <v>6596</v>
      </c>
      <c r="F1957" s="43" t="s">
        <v>6597</v>
      </c>
      <c r="G1957" s="43" t="s">
        <v>6422</v>
      </c>
      <c r="H1957" s="42" t="s">
        <v>6598</v>
      </c>
      <c r="I1957" s="18">
        <f t="shared" si="17"/>
        <v>45958</v>
      </c>
      <c r="J1957" s="19" t="s">
        <v>28</v>
      </c>
      <c r="K1957" s="19" t="s">
        <v>5170</v>
      </c>
      <c r="L1957" s="40"/>
    </row>
    <row r="1958" ht="22.5" customHeight="1">
      <c r="C1958" s="19" t="s">
        <v>6505</v>
      </c>
      <c r="D1958" s="39" t="s">
        <v>6599</v>
      </c>
      <c r="E1958" s="43" t="s">
        <v>6600</v>
      </c>
      <c r="F1958" s="43" t="s">
        <v>6601</v>
      </c>
      <c r="G1958" s="43" t="s">
        <v>5878</v>
      </c>
      <c r="H1958" s="42" t="s">
        <v>6602</v>
      </c>
      <c r="I1958" s="18">
        <f t="shared" si="17"/>
        <v>45958</v>
      </c>
      <c r="J1958" s="19" t="s">
        <v>28</v>
      </c>
      <c r="K1958" s="19" t="s">
        <v>5170</v>
      </c>
      <c r="L1958" s="40"/>
    </row>
    <row r="1959" ht="22.5" customHeight="1">
      <c r="C1959" s="19" t="s">
        <v>6505</v>
      </c>
      <c r="D1959" s="39" t="s">
        <v>6603</v>
      </c>
      <c r="E1959" s="43" t="s">
        <v>6604</v>
      </c>
      <c r="F1959" s="43" t="s">
        <v>6605</v>
      </c>
      <c r="G1959" s="43" t="s">
        <v>5838</v>
      </c>
      <c r="H1959" s="42" t="s">
        <v>6606</v>
      </c>
      <c r="I1959" s="18">
        <f t="shared" si="17"/>
        <v>45958</v>
      </c>
      <c r="J1959" s="19" t="s">
        <v>28</v>
      </c>
      <c r="K1959" s="19" t="s">
        <v>5170</v>
      </c>
      <c r="L1959" s="40"/>
    </row>
    <row r="1960" ht="22.5" customHeight="1">
      <c r="C1960" s="19" t="s">
        <v>6505</v>
      </c>
      <c r="D1960" s="39" t="s">
        <v>6607</v>
      </c>
      <c r="E1960" s="43" t="s">
        <v>6608</v>
      </c>
      <c r="F1960" s="43" t="s">
        <v>6609</v>
      </c>
      <c r="G1960" s="43" t="s">
        <v>5949</v>
      </c>
      <c r="H1960" s="42" t="s">
        <v>6610</v>
      </c>
      <c r="I1960" s="18">
        <f t="shared" si="17"/>
        <v>45958</v>
      </c>
      <c r="J1960" s="19" t="s">
        <v>28</v>
      </c>
      <c r="K1960" s="19" t="s">
        <v>5170</v>
      </c>
      <c r="L1960" s="40"/>
    </row>
    <row r="1961" ht="22.5" customHeight="1">
      <c r="C1961" s="19" t="s">
        <v>6505</v>
      </c>
      <c r="D1961" s="39" t="s">
        <v>6611</v>
      </c>
      <c r="E1961" s="43" t="s">
        <v>6612</v>
      </c>
      <c r="F1961" s="43" t="s">
        <v>6613</v>
      </c>
      <c r="G1961" s="43" t="s">
        <v>5900</v>
      </c>
      <c r="H1961" s="44">
        <v>3.053797904E9</v>
      </c>
      <c r="I1961" s="18">
        <f t="shared" si="17"/>
        <v>45958</v>
      </c>
      <c r="J1961" s="19" t="s">
        <v>28</v>
      </c>
      <c r="K1961" s="19" t="s">
        <v>5170</v>
      </c>
      <c r="L1961" s="40"/>
    </row>
    <row r="1962" ht="22.5" customHeight="1">
      <c r="C1962" s="19" t="s">
        <v>6505</v>
      </c>
      <c r="D1962" s="39" t="s">
        <v>6614</v>
      </c>
      <c r="E1962" s="43" t="s">
        <v>6615</v>
      </c>
      <c r="F1962" s="43" t="s">
        <v>1239</v>
      </c>
      <c r="G1962" s="43" t="s">
        <v>460</v>
      </c>
      <c r="H1962" s="44">
        <v>9.5429086E9</v>
      </c>
      <c r="I1962" s="18">
        <f t="shared" si="17"/>
        <v>45958</v>
      </c>
      <c r="J1962" s="19" t="s">
        <v>28</v>
      </c>
      <c r="K1962" s="19" t="s">
        <v>5170</v>
      </c>
      <c r="L1962" s="40"/>
    </row>
    <row r="1963" ht="22.5" customHeight="1">
      <c r="C1963" s="19" t="s">
        <v>6505</v>
      </c>
      <c r="D1963" s="39" t="s">
        <v>6616</v>
      </c>
      <c r="E1963" s="43" t="s">
        <v>6617</v>
      </c>
      <c r="F1963" s="43" t="s">
        <v>1310</v>
      </c>
      <c r="G1963" s="43" t="s">
        <v>5866</v>
      </c>
      <c r="H1963" s="42" t="s">
        <v>6618</v>
      </c>
      <c r="I1963" s="18">
        <f t="shared" si="17"/>
        <v>45958</v>
      </c>
      <c r="J1963" s="19" t="s">
        <v>28</v>
      </c>
      <c r="K1963" s="19" t="s">
        <v>5170</v>
      </c>
      <c r="L1963" s="40"/>
    </row>
    <row r="1964" ht="22.5" customHeight="1">
      <c r="C1964" s="19" t="s">
        <v>6505</v>
      </c>
      <c r="D1964" s="39" t="s">
        <v>6619</v>
      </c>
      <c r="E1964" s="43" t="s">
        <v>6620</v>
      </c>
      <c r="F1964" s="43" t="s">
        <v>6621</v>
      </c>
      <c r="G1964" s="43" t="s">
        <v>5846</v>
      </c>
      <c r="H1964" s="42" t="s">
        <v>6622</v>
      </c>
      <c r="I1964" s="18">
        <f t="shared" si="17"/>
        <v>45958</v>
      </c>
      <c r="J1964" s="19" t="s">
        <v>28</v>
      </c>
      <c r="K1964" s="19" t="s">
        <v>5170</v>
      </c>
      <c r="L1964" s="40"/>
    </row>
    <row r="1965" ht="22.5" customHeight="1">
      <c r="C1965" s="19" t="s">
        <v>6505</v>
      </c>
      <c r="D1965" s="39" t="s">
        <v>6623</v>
      </c>
      <c r="E1965" s="43" t="s">
        <v>6624</v>
      </c>
      <c r="F1965" s="43" t="s">
        <v>6625</v>
      </c>
      <c r="G1965" s="43" t="s">
        <v>5917</v>
      </c>
      <c r="H1965" s="44">
        <v>7.862031513E9</v>
      </c>
      <c r="I1965" s="18">
        <f t="shared" si="17"/>
        <v>45958</v>
      </c>
      <c r="J1965" s="19" t="s">
        <v>28</v>
      </c>
      <c r="K1965" s="19" t="s">
        <v>5170</v>
      </c>
      <c r="L1965" s="40"/>
    </row>
    <row r="1966" ht="22.5" customHeight="1">
      <c r="C1966" s="19" t="s">
        <v>6505</v>
      </c>
      <c r="D1966" s="39" t="s">
        <v>6626</v>
      </c>
      <c r="E1966" s="43" t="s">
        <v>6627</v>
      </c>
      <c r="F1966" s="43" t="s">
        <v>6628</v>
      </c>
      <c r="G1966" s="43" t="s">
        <v>6376</v>
      </c>
      <c r="H1966" s="44">
        <v>1.4437449896E10</v>
      </c>
      <c r="I1966" s="18">
        <f t="shared" si="17"/>
        <v>45958</v>
      </c>
      <c r="J1966" s="19" t="s">
        <v>28</v>
      </c>
      <c r="K1966" s="19" t="s">
        <v>5170</v>
      </c>
      <c r="L1966" s="40"/>
    </row>
    <row r="1967" ht="22.5" customHeight="1">
      <c r="C1967" s="19" t="s">
        <v>6505</v>
      </c>
      <c r="D1967" s="39" t="s">
        <v>6629</v>
      </c>
      <c r="E1967" s="43" t="s">
        <v>6630</v>
      </c>
      <c r="F1967" s="43" t="s">
        <v>6631</v>
      </c>
      <c r="G1967" s="43" t="s">
        <v>6063</v>
      </c>
      <c r="H1967" s="42" t="s">
        <v>6632</v>
      </c>
      <c r="I1967" s="18">
        <f t="shared" si="17"/>
        <v>45958</v>
      </c>
      <c r="J1967" s="19" t="s">
        <v>28</v>
      </c>
      <c r="K1967" s="19" t="s">
        <v>5170</v>
      </c>
      <c r="L1967" s="40"/>
    </row>
    <row r="1968" ht="22.5" customHeight="1">
      <c r="C1968" s="19" t="s">
        <v>6505</v>
      </c>
      <c r="D1968" s="39" t="s">
        <v>6633</v>
      </c>
      <c r="E1968" s="43" t="s">
        <v>6634</v>
      </c>
      <c r="F1968" s="43" t="s">
        <v>6635</v>
      </c>
      <c r="G1968" s="43" t="s">
        <v>6160</v>
      </c>
      <c r="H1968" s="42" t="s">
        <v>6636</v>
      </c>
      <c r="I1968" s="18">
        <f t="shared" si="17"/>
        <v>45958</v>
      </c>
      <c r="J1968" s="19" t="s">
        <v>28</v>
      </c>
      <c r="K1968" s="19" t="s">
        <v>5170</v>
      </c>
      <c r="L1968" s="40"/>
    </row>
    <row r="1969" ht="22.5" customHeight="1">
      <c r="C1969" s="19" t="s">
        <v>6505</v>
      </c>
      <c r="D1969" s="39" t="s">
        <v>6637</v>
      </c>
      <c r="E1969" s="43" t="s">
        <v>6638</v>
      </c>
      <c r="F1969" s="43" t="s">
        <v>6639</v>
      </c>
      <c r="G1969" s="43" t="s">
        <v>5921</v>
      </c>
      <c r="H1969" s="44">
        <v>3.056722225E9</v>
      </c>
      <c r="I1969" s="18">
        <f t="shared" si="17"/>
        <v>45958</v>
      </c>
      <c r="J1969" s="19" t="s">
        <v>28</v>
      </c>
      <c r="K1969" s="19" t="s">
        <v>5170</v>
      </c>
      <c r="L1969" s="40"/>
    </row>
    <row r="1970" ht="22.5" customHeight="1">
      <c r="C1970" s="19" t="s">
        <v>6505</v>
      </c>
      <c r="D1970" s="39" t="s">
        <v>6640</v>
      </c>
      <c r="E1970" s="43" t="s">
        <v>6641</v>
      </c>
      <c r="F1970" s="43" t="s">
        <v>6642</v>
      </c>
      <c r="G1970" s="43" t="s">
        <v>6643</v>
      </c>
      <c r="H1970" s="44">
        <v>5.613093769E9</v>
      </c>
      <c r="I1970" s="18">
        <f t="shared" si="17"/>
        <v>45958</v>
      </c>
      <c r="J1970" s="19" t="s">
        <v>28</v>
      </c>
      <c r="K1970" s="19" t="s">
        <v>5170</v>
      </c>
      <c r="L1970" s="40"/>
    </row>
    <row r="1971" ht="22.5" customHeight="1">
      <c r="C1971" s="19" t="s">
        <v>6505</v>
      </c>
      <c r="D1971" s="39" t="s">
        <v>6644</v>
      </c>
      <c r="E1971" s="43" t="s">
        <v>6645</v>
      </c>
      <c r="F1971" s="43" t="s">
        <v>6646</v>
      </c>
      <c r="G1971" s="43" t="s">
        <v>6647</v>
      </c>
      <c r="H1971" s="44">
        <v>7.865639209E9</v>
      </c>
      <c r="I1971" s="18">
        <f t="shared" si="17"/>
        <v>45958</v>
      </c>
      <c r="J1971" s="19" t="s">
        <v>28</v>
      </c>
      <c r="K1971" s="19" t="s">
        <v>5170</v>
      </c>
      <c r="L1971" s="40"/>
    </row>
    <row r="1972" ht="22.5" customHeight="1">
      <c r="C1972" s="19" t="s">
        <v>6648</v>
      </c>
      <c r="D1972" s="39" t="s">
        <v>6649</v>
      </c>
      <c r="E1972" s="43" t="s">
        <v>6650</v>
      </c>
      <c r="F1972" s="43" t="s">
        <v>6651</v>
      </c>
      <c r="G1972" s="43" t="s">
        <v>5908</v>
      </c>
      <c r="H1972" s="42" t="s">
        <v>6652</v>
      </c>
      <c r="I1972" s="18">
        <f t="shared" si="17"/>
        <v>45958</v>
      </c>
      <c r="J1972" s="19" t="s">
        <v>28</v>
      </c>
      <c r="K1972" s="19" t="s">
        <v>5170</v>
      </c>
      <c r="L1972" s="40"/>
    </row>
    <row r="1973" ht="22.5" customHeight="1">
      <c r="C1973" s="19" t="s">
        <v>6648</v>
      </c>
      <c r="D1973" s="39" t="s">
        <v>6653</v>
      </c>
      <c r="E1973" s="43" t="s">
        <v>630</v>
      </c>
      <c r="F1973" s="43" t="s">
        <v>6654</v>
      </c>
      <c r="G1973" s="43" t="s">
        <v>5825</v>
      </c>
      <c r="H1973" s="44">
        <v>7.543173203E9</v>
      </c>
      <c r="I1973" s="18">
        <f t="shared" si="17"/>
        <v>45958</v>
      </c>
      <c r="J1973" s="19" t="s">
        <v>28</v>
      </c>
      <c r="K1973" s="19" t="s">
        <v>5170</v>
      </c>
      <c r="L1973" s="40"/>
    </row>
    <row r="1974" ht="22.5" customHeight="1">
      <c r="C1974" s="19" t="s">
        <v>6648</v>
      </c>
      <c r="D1974" s="39" t="s">
        <v>6655</v>
      </c>
      <c r="E1974" s="43" t="s">
        <v>6656</v>
      </c>
      <c r="F1974" s="43" t="s">
        <v>6657</v>
      </c>
      <c r="G1974" s="43" t="s">
        <v>6422</v>
      </c>
      <c r="H1974" s="44">
        <v>9.175665573E9</v>
      </c>
      <c r="I1974" s="18">
        <f t="shared" si="17"/>
        <v>45958</v>
      </c>
      <c r="J1974" s="19" t="s">
        <v>28</v>
      </c>
      <c r="K1974" s="19" t="s">
        <v>5170</v>
      </c>
      <c r="L1974" s="40"/>
    </row>
    <row r="1975" ht="22.5" customHeight="1">
      <c r="C1975" s="19" t="s">
        <v>6648</v>
      </c>
      <c r="D1975" s="39" t="s">
        <v>6658</v>
      </c>
      <c r="E1975" s="43" t="s">
        <v>6659</v>
      </c>
      <c r="F1975" s="43" t="s">
        <v>6660</v>
      </c>
      <c r="G1975" s="43" t="s">
        <v>5977</v>
      </c>
      <c r="H1975" s="44">
        <v>3.052568399E9</v>
      </c>
      <c r="I1975" s="18">
        <f t="shared" si="17"/>
        <v>45958</v>
      </c>
      <c r="J1975" s="19" t="s">
        <v>28</v>
      </c>
      <c r="K1975" s="19" t="s">
        <v>5170</v>
      </c>
      <c r="L1975" s="40"/>
    </row>
    <row r="1976" ht="22.5" customHeight="1">
      <c r="C1976" s="19" t="s">
        <v>6648</v>
      </c>
      <c r="D1976" s="39" t="s">
        <v>6661</v>
      </c>
      <c r="E1976" s="43" t="s">
        <v>6662</v>
      </c>
      <c r="F1976" s="43" t="s">
        <v>328</v>
      </c>
      <c r="G1976" s="43" t="s">
        <v>5949</v>
      </c>
      <c r="H1976" s="44">
        <v>9.542667646E9</v>
      </c>
      <c r="I1976" s="18">
        <f t="shared" si="17"/>
        <v>45958</v>
      </c>
      <c r="J1976" s="19" t="s">
        <v>28</v>
      </c>
      <c r="K1976" s="19" t="s">
        <v>5170</v>
      </c>
      <c r="L1976" s="40"/>
    </row>
    <row r="1977" ht="22.5" customHeight="1">
      <c r="C1977" s="19" t="s">
        <v>6648</v>
      </c>
      <c r="D1977" s="39" t="s">
        <v>6663</v>
      </c>
      <c r="E1977" s="43" t="s">
        <v>6664</v>
      </c>
      <c r="F1977" s="43" t="s">
        <v>6665</v>
      </c>
      <c r="G1977" s="43" t="s">
        <v>6452</v>
      </c>
      <c r="H1977" s="42" t="s">
        <v>6666</v>
      </c>
      <c r="I1977" s="18">
        <f t="shared" si="17"/>
        <v>45958</v>
      </c>
      <c r="J1977" s="19" t="s">
        <v>28</v>
      </c>
      <c r="K1977" s="19" t="s">
        <v>5170</v>
      </c>
      <c r="L1977" s="40"/>
    </row>
    <row r="1978" ht="22.5" customHeight="1">
      <c r="C1978" s="19" t="s">
        <v>6648</v>
      </c>
      <c r="D1978" s="39" t="s">
        <v>6667</v>
      </c>
      <c r="E1978" s="43" t="s">
        <v>6668</v>
      </c>
      <c r="F1978" s="43" t="s">
        <v>182</v>
      </c>
      <c r="G1978" s="43" t="s">
        <v>6160</v>
      </c>
      <c r="H1978" s="44">
        <v>2.019488275E9</v>
      </c>
      <c r="I1978" s="18">
        <f t="shared" si="17"/>
        <v>45958</v>
      </c>
      <c r="J1978" s="19" t="s">
        <v>28</v>
      </c>
      <c r="K1978" s="19" t="s">
        <v>5170</v>
      </c>
      <c r="L1978" s="40"/>
    </row>
    <row r="1979" ht="22.5" customHeight="1">
      <c r="C1979" s="19" t="s">
        <v>6648</v>
      </c>
      <c r="D1979" s="39" t="s">
        <v>6669</v>
      </c>
      <c r="E1979" s="43" t="s">
        <v>6670</v>
      </c>
      <c r="F1979" s="43" t="s">
        <v>6671</v>
      </c>
      <c r="G1979" s="43" t="s">
        <v>5985</v>
      </c>
      <c r="H1979" s="44">
        <v>3.05849758E9</v>
      </c>
      <c r="I1979" s="18">
        <f t="shared" si="17"/>
        <v>45958</v>
      </c>
      <c r="J1979" s="19" t="s">
        <v>28</v>
      </c>
      <c r="K1979" s="19" t="s">
        <v>5170</v>
      </c>
      <c r="L1979" s="40"/>
    </row>
    <row r="1980" ht="22.5" customHeight="1">
      <c r="C1980" s="19" t="s">
        <v>6648</v>
      </c>
      <c r="D1980" s="39" t="s">
        <v>6672</v>
      </c>
      <c r="E1980" s="43" t="s">
        <v>6673</v>
      </c>
      <c r="F1980" s="43" t="s">
        <v>6674</v>
      </c>
      <c r="G1980" s="43" t="s">
        <v>6076</v>
      </c>
      <c r="H1980" s="42" t="s">
        <v>6675</v>
      </c>
      <c r="I1980" s="18">
        <f t="shared" si="17"/>
        <v>45958</v>
      </c>
      <c r="J1980" s="19" t="s">
        <v>28</v>
      </c>
      <c r="K1980" s="19" t="s">
        <v>5170</v>
      </c>
      <c r="L1980" s="40"/>
    </row>
    <row r="1981" ht="22.5" customHeight="1">
      <c r="C1981" s="19" t="s">
        <v>6648</v>
      </c>
      <c r="D1981" s="39" t="s">
        <v>6676</v>
      </c>
      <c r="E1981" s="43" t="s">
        <v>6677</v>
      </c>
      <c r="F1981" s="43" t="s">
        <v>6678</v>
      </c>
      <c r="G1981" s="43" t="s">
        <v>5866</v>
      </c>
      <c r="H1981" s="44">
        <v>9.544962266E9</v>
      </c>
      <c r="I1981" s="18">
        <f t="shared" si="17"/>
        <v>45958</v>
      </c>
      <c r="J1981" s="19" t="s">
        <v>28</v>
      </c>
      <c r="K1981" s="19" t="s">
        <v>5170</v>
      </c>
      <c r="L1981" s="40"/>
    </row>
    <row r="1982" ht="22.5" customHeight="1">
      <c r="C1982" s="19" t="s">
        <v>6648</v>
      </c>
      <c r="D1982" s="39" t="s">
        <v>6679</v>
      </c>
      <c r="E1982" s="43" t="s">
        <v>6680</v>
      </c>
      <c r="F1982" s="43" t="s">
        <v>6681</v>
      </c>
      <c r="G1982" s="43" t="s">
        <v>6068</v>
      </c>
      <c r="H1982" s="44">
        <v>7.86277747E9</v>
      </c>
      <c r="I1982" s="18">
        <f t="shared" si="17"/>
        <v>45958</v>
      </c>
      <c r="J1982" s="19" t="s">
        <v>28</v>
      </c>
      <c r="K1982" s="19" t="s">
        <v>5170</v>
      </c>
      <c r="L1982" s="40"/>
    </row>
    <row r="1983" ht="22.5" customHeight="1">
      <c r="C1983" s="19" t="s">
        <v>6648</v>
      </c>
      <c r="D1983" s="39" t="s">
        <v>6682</v>
      </c>
      <c r="E1983" s="43" t="s">
        <v>6683</v>
      </c>
      <c r="F1983" s="43" t="s">
        <v>6684</v>
      </c>
      <c r="G1983" s="43" t="s">
        <v>6280</v>
      </c>
      <c r="H1983" s="44">
        <v>7.864174597E9</v>
      </c>
      <c r="I1983" s="18">
        <f t="shared" si="17"/>
        <v>45958</v>
      </c>
      <c r="J1983" s="19" t="s">
        <v>28</v>
      </c>
      <c r="K1983" s="19" t="s">
        <v>5170</v>
      </c>
      <c r="L1983" s="40"/>
    </row>
    <row r="1984" ht="22.5" customHeight="1">
      <c r="C1984" s="19" t="s">
        <v>6648</v>
      </c>
      <c r="D1984" s="39" t="s">
        <v>6685</v>
      </c>
      <c r="E1984" s="43" t="s">
        <v>6686</v>
      </c>
      <c r="F1984" s="43" t="s">
        <v>6687</v>
      </c>
      <c r="G1984" s="43" t="s">
        <v>5957</v>
      </c>
      <c r="H1984" s="44">
        <v>1.3056501235E10</v>
      </c>
      <c r="I1984" s="18">
        <f t="shared" si="17"/>
        <v>45958</v>
      </c>
      <c r="J1984" s="19" t="s">
        <v>28</v>
      </c>
      <c r="K1984" s="19" t="s">
        <v>5170</v>
      </c>
      <c r="L1984" s="40"/>
    </row>
    <row r="1985" ht="22.5" customHeight="1">
      <c r="C1985" s="19" t="s">
        <v>6648</v>
      </c>
      <c r="D1985" s="39" t="s">
        <v>6688</v>
      </c>
      <c r="E1985" s="43" t="s">
        <v>6689</v>
      </c>
      <c r="F1985" s="43" t="s">
        <v>6690</v>
      </c>
      <c r="G1985" s="43" t="s">
        <v>5878</v>
      </c>
      <c r="H1985" s="44">
        <v>3.054953707E9</v>
      </c>
      <c r="I1985" s="18">
        <f t="shared" si="17"/>
        <v>45958</v>
      </c>
      <c r="J1985" s="19" t="s">
        <v>28</v>
      </c>
      <c r="K1985" s="19" t="s">
        <v>5170</v>
      </c>
      <c r="L1985" s="40"/>
    </row>
    <row r="1986" ht="22.5" customHeight="1">
      <c r="C1986" s="19" t="s">
        <v>6648</v>
      </c>
      <c r="D1986" s="39" t="s">
        <v>6691</v>
      </c>
      <c r="E1986" s="43" t="s">
        <v>6692</v>
      </c>
      <c r="F1986" s="43" t="s">
        <v>6693</v>
      </c>
      <c r="G1986" s="43" t="s">
        <v>5900</v>
      </c>
      <c r="H1986" s="44">
        <v>3.058747337E9</v>
      </c>
      <c r="I1986" s="18">
        <f t="shared" si="17"/>
        <v>45958</v>
      </c>
      <c r="J1986" s="19" t="s">
        <v>28</v>
      </c>
      <c r="K1986" s="19" t="s">
        <v>5170</v>
      </c>
      <c r="L1986" s="40"/>
    </row>
    <row r="1987" ht="22.5" customHeight="1">
      <c r="C1987" s="19" t="s">
        <v>6648</v>
      </c>
      <c r="D1987" s="39" t="s">
        <v>6694</v>
      </c>
      <c r="E1987" s="43" t="s">
        <v>6695</v>
      </c>
      <c r="F1987" s="43" t="s">
        <v>6696</v>
      </c>
      <c r="G1987" s="43" t="s">
        <v>5929</v>
      </c>
      <c r="H1987" s="44">
        <v>7.862621987E9</v>
      </c>
      <c r="I1987" s="18">
        <f t="shared" si="17"/>
        <v>45958</v>
      </c>
      <c r="J1987" s="19" t="s">
        <v>28</v>
      </c>
      <c r="K1987" s="19" t="s">
        <v>5170</v>
      </c>
      <c r="L1987" s="40"/>
    </row>
    <row r="1988" ht="22.5" customHeight="1">
      <c r="C1988" s="19" t="s">
        <v>6648</v>
      </c>
      <c r="D1988" s="39" t="s">
        <v>6697</v>
      </c>
      <c r="E1988" s="43" t="s">
        <v>6698</v>
      </c>
      <c r="F1988" s="43" t="s">
        <v>767</v>
      </c>
      <c r="G1988" s="43" t="s">
        <v>5988</v>
      </c>
      <c r="H1988" s="44">
        <v>7.867681529E9</v>
      </c>
      <c r="I1988" s="18">
        <f t="shared" si="17"/>
        <v>45958</v>
      </c>
      <c r="J1988" s="19" t="s">
        <v>28</v>
      </c>
      <c r="K1988" s="19" t="s">
        <v>5170</v>
      </c>
      <c r="L1988" s="4" t="s">
        <v>99</v>
      </c>
    </row>
    <row r="1989" ht="22.5" customHeight="1">
      <c r="C1989" s="19" t="s">
        <v>6648</v>
      </c>
      <c r="D1989" s="39" t="s">
        <v>6699</v>
      </c>
      <c r="E1989" s="43" t="s">
        <v>6700</v>
      </c>
      <c r="F1989" s="43" t="s">
        <v>6701</v>
      </c>
      <c r="G1989" s="43" t="s">
        <v>6372</v>
      </c>
      <c r="H1989" s="44">
        <v>2.064989197E9</v>
      </c>
      <c r="I1989" s="18">
        <f t="shared" si="17"/>
        <v>45958</v>
      </c>
      <c r="J1989" s="19" t="s">
        <v>28</v>
      </c>
      <c r="K1989" s="19" t="s">
        <v>5170</v>
      </c>
      <c r="L1989" s="40"/>
    </row>
    <row r="1990" ht="22.5" customHeight="1">
      <c r="C1990" s="19" t="s">
        <v>6648</v>
      </c>
      <c r="D1990" s="39" t="s">
        <v>6702</v>
      </c>
      <c r="E1990" s="43" t="s">
        <v>6703</v>
      </c>
      <c r="F1990" s="43" t="s">
        <v>6704</v>
      </c>
      <c r="G1990" s="43" t="s">
        <v>5858</v>
      </c>
      <c r="H1990" s="44">
        <v>7.863001398E9</v>
      </c>
      <c r="I1990" s="18">
        <f t="shared" si="17"/>
        <v>45958</v>
      </c>
      <c r="J1990" s="19" t="s">
        <v>28</v>
      </c>
      <c r="K1990" s="19" t="s">
        <v>5170</v>
      </c>
      <c r="L1990" s="40"/>
    </row>
    <row r="1991" ht="22.5" customHeight="1">
      <c r="C1991" s="19" t="s">
        <v>6648</v>
      </c>
      <c r="D1991" s="39" t="s">
        <v>6705</v>
      </c>
      <c r="E1991" s="43" t="s">
        <v>6706</v>
      </c>
      <c r="F1991" s="43" t="s">
        <v>6707</v>
      </c>
      <c r="G1991" s="43" t="s">
        <v>5834</v>
      </c>
      <c r="H1991" s="42" t="s">
        <v>6708</v>
      </c>
      <c r="I1991" s="18">
        <f t="shared" si="17"/>
        <v>45958</v>
      </c>
      <c r="J1991" s="19" t="s">
        <v>28</v>
      </c>
      <c r="K1991" s="19" t="s">
        <v>5170</v>
      </c>
      <c r="L1991" s="40"/>
    </row>
    <row r="1992" ht="22.5" customHeight="1">
      <c r="C1992" s="19" t="s">
        <v>6648</v>
      </c>
      <c r="D1992" s="39" t="s">
        <v>6709</v>
      </c>
      <c r="E1992" s="43" t="s">
        <v>6710</v>
      </c>
      <c r="F1992" s="43" t="s">
        <v>6711</v>
      </c>
      <c r="G1992" s="43" t="s">
        <v>5829</v>
      </c>
      <c r="H1992" s="44">
        <v>3.055048901E9</v>
      </c>
      <c r="I1992" s="18">
        <f t="shared" si="17"/>
        <v>45958</v>
      </c>
      <c r="J1992" s="19" t="s">
        <v>28</v>
      </c>
      <c r="K1992" s="19" t="s">
        <v>5170</v>
      </c>
      <c r="L1992" s="40"/>
    </row>
    <row r="1993" ht="22.5" customHeight="1">
      <c r="C1993" s="19" t="s">
        <v>6648</v>
      </c>
      <c r="D1993" s="39" t="s">
        <v>6712</v>
      </c>
      <c r="E1993" s="43" t="s">
        <v>6713</v>
      </c>
      <c r="F1993" s="43" t="s">
        <v>6714</v>
      </c>
      <c r="G1993" s="43" t="s">
        <v>6063</v>
      </c>
      <c r="H1993" s="42" t="s">
        <v>6715</v>
      </c>
      <c r="I1993" s="18">
        <f t="shared" si="17"/>
        <v>45958</v>
      </c>
      <c r="J1993" s="19" t="s">
        <v>28</v>
      </c>
      <c r="K1993" s="19" t="s">
        <v>5170</v>
      </c>
      <c r="L1993" s="40"/>
    </row>
    <row r="1994" ht="22.5" customHeight="1">
      <c r="C1994" s="19" t="s">
        <v>6648</v>
      </c>
      <c r="D1994" s="39" t="s">
        <v>6716</v>
      </c>
      <c r="E1994" s="43" t="s">
        <v>6717</v>
      </c>
      <c r="F1994" s="43" t="s">
        <v>223</v>
      </c>
      <c r="G1994" s="43" t="s">
        <v>5953</v>
      </c>
      <c r="H1994" s="44">
        <v>3.052068626E9</v>
      </c>
      <c r="I1994" s="18">
        <f t="shared" si="17"/>
        <v>45958</v>
      </c>
      <c r="J1994" s="19" t="s">
        <v>28</v>
      </c>
      <c r="K1994" s="19" t="s">
        <v>5170</v>
      </c>
      <c r="L1994" s="40"/>
    </row>
    <row r="1995" ht="22.5" customHeight="1">
      <c r="C1995" s="19" t="s">
        <v>6648</v>
      </c>
      <c r="D1995" s="39" t="s">
        <v>6718</v>
      </c>
      <c r="E1995" s="43" t="s">
        <v>6719</v>
      </c>
      <c r="F1995" s="43" t="s">
        <v>6720</v>
      </c>
      <c r="G1995" s="43" t="s">
        <v>6721</v>
      </c>
      <c r="H1995" s="42" t="s">
        <v>6722</v>
      </c>
      <c r="I1995" s="18">
        <f t="shared" si="17"/>
        <v>45958</v>
      </c>
      <c r="J1995" s="19" t="s">
        <v>28</v>
      </c>
      <c r="K1995" s="19" t="s">
        <v>5170</v>
      </c>
      <c r="L1995" s="40"/>
    </row>
    <row r="1996" ht="22.5" customHeight="1">
      <c r="C1996" s="19" t="s">
        <v>6648</v>
      </c>
      <c r="D1996" s="39" t="s">
        <v>6723</v>
      </c>
      <c r="E1996" s="43" t="s">
        <v>6724</v>
      </c>
      <c r="F1996" s="43" t="s">
        <v>6725</v>
      </c>
      <c r="G1996" s="43" t="s">
        <v>5934</v>
      </c>
      <c r="H1996" s="44">
        <v>7.864221187E9</v>
      </c>
      <c r="I1996" s="18">
        <f t="shared" si="17"/>
        <v>45958</v>
      </c>
      <c r="J1996" s="19" t="s">
        <v>28</v>
      </c>
      <c r="K1996" s="19" t="s">
        <v>5170</v>
      </c>
      <c r="L1996" s="40"/>
    </row>
    <row r="1997" ht="22.5" customHeight="1">
      <c r="C1997" s="19" t="s">
        <v>6726</v>
      </c>
      <c r="D1997" s="39" t="s">
        <v>6727</v>
      </c>
      <c r="E1997" s="43" t="s">
        <v>6728</v>
      </c>
      <c r="F1997" s="43" t="s">
        <v>6729</v>
      </c>
      <c r="G1997" s="43" t="s">
        <v>108</v>
      </c>
      <c r="H1997" s="42" t="s">
        <v>6730</v>
      </c>
      <c r="I1997" s="18">
        <f t="shared" si="17"/>
        <v>45958</v>
      </c>
      <c r="J1997" s="19" t="s">
        <v>28</v>
      </c>
      <c r="K1997" s="19" t="s">
        <v>325</v>
      </c>
      <c r="L1997" s="40"/>
    </row>
    <row r="1998" ht="22.5" customHeight="1">
      <c r="C1998" s="19" t="s">
        <v>6726</v>
      </c>
      <c r="D1998" s="39" t="s">
        <v>6727</v>
      </c>
      <c r="E1998" s="43" t="s">
        <v>6731</v>
      </c>
      <c r="F1998" s="43" t="s">
        <v>6732</v>
      </c>
      <c r="G1998" s="43" t="s">
        <v>72</v>
      </c>
      <c r="H1998" s="42" t="s">
        <v>6733</v>
      </c>
      <c r="I1998" s="18">
        <f t="shared" si="17"/>
        <v>45958</v>
      </c>
      <c r="J1998" s="19" t="s">
        <v>28</v>
      </c>
      <c r="K1998" s="19" t="s">
        <v>325</v>
      </c>
      <c r="L1998" s="40"/>
    </row>
    <row r="1999" ht="22.5" customHeight="1">
      <c r="C1999" s="19" t="s">
        <v>6726</v>
      </c>
      <c r="D1999" s="39" t="s">
        <v>6727</v>
      </c>
      <c r="E1999" s="43" t="s">
        <v>6734</v>
      </c>
      <c r="F1999" s="43" t="s">
        <v>6735</v>
      </c>
      <c r="G1999" s="43" t="s">
        <v>540</v>
      </c>
      <c r="H1999" s="42" t="s">
        <v>6736</v>
      </c>
      <c r="I1999" s="18">
        <f t="shared" si="17"/>
        <v>45958</v>
      </c>
      <c r="J1999" s="19" t="s">
        <v>28</v>
      </c>
      <c r="K1999" s="19" t="s">
        <v>325</v>
      </c>
      <c r="L1999" s="40"/>
    </row>
    <row r="2000" ht="22.5" customHeight="1">
      <c r="C2000" s="19" t="s">
        <v>6726</v>
      </c>
      <c r="D2000" s="39" t="s">
        <v>6727</v>
      </c>
      <c r="E2000" s="43" t="s">
        <v>6737</v>
      </c>
      <c r="F2000" s="43" t="s">
        <v>6738</v>
      </c>
      <c r="G2000" s="43" t="s">
        <v>52</v>
      </c>
      <c r="H2000" s="42" t="s">
        <v>6739</v>
      </c>
      <c r="I2000" s="18">
        <f t="shared" si="17"/>
        <v>45958</v>
      </c>
      <c r="J2000" s="19" t="s">
        <v>28</v>
      </c>
      <c r="K2000" s="19" t="s">
        <v>325</v>
      </c>
      <c r="L2000" s="40"/>
    </row>
    <row r="2001" ht="22.5" customHeight="1">
      <c r="C2001" s="19" t="s">
        <v>6726</v>
      </c>
      <c r="D2001" s="39" t="s">
        <v>6727</v>
      </c>
      <c r="E2001" s="43" t="s">
        <v>6740</v>
      </c>
      <c r="F2001" s="43" t="s">
        <v>6741</v>
      </c>
      <c r="G2001" s="43" t="s">
        <v>26</v>
      </c>
      <c r="H2001" s="42" t="s">
        <v>6742</v>
      </c>
      <c r="I2001" s="18">
        <f t="shared" si="17"/>
        <v>45958</v>
      </c>
      <c r="J2001" s="19" t="s">
        <v>28</v>
      </c>
      <c r="K2001" s="19" t="s">
        <v>325</v>
      </c>
      <c r="L2001" s="40"/>
    </row>
    <row r="2002" ht="22.5" customHeight="1">
      <c r="C2002" s="19" t="s">
        <v>6726</v>
      </c>
      <c r="D2002" s="39" t="s">
        <v>6727</v>
      </c>
      <c r="E2002" s="43" t="s">
        <v>6743</v>
      </c>
      <c r="F2002" s="43" t="s">
        <v>6744</v>
      </c>
      <c r="G2002" s="43" t="s">
        <v>1199</v>
      </c>
      <c r="H2002" s="44">
        <v>9.085682458E9</v>
      </c>
      <c r="I2002" s="18">
        <f t="shared" si="17"/>
        <v>45958</v>
      </c>
      <c r="J2002" s="19" t="s">
        <v>28</v>
      </c>
      <c r="K2002" s="19" t="s">
        <v>325</v>
      </c>
      <c r="L2002" s="40"/>
    </row>
    <row r="2003" ht="22.5" customHeight="1">
      <c r="C2003" s="19" t="s">
        <v>6726</v>
      </c>
      <c r="D2003" s="39" t="s">
        <v>6727</v>
      </c>
      <c r="E2003" s="43" t="s">
        <v>6745</v>
      </c>
      <c r="F2003" s="43" t="s">
        <v>6746</v>
      </c>
      <c r="G2003" s="43" t="s">
        <v>126</v>
      </c>
      <c r="H2003" s="42" t="s">
        <v>6747</v>
      </c>
      <c r="I2003" s="18">
        <f t="shared" si="17"/>
        <v>45958</v>
      </c>
      <c r="J2003" s="19" t="s">
        <v>28</v>
      </c>
      <c r="K2003" s="19" t="s">
        <v>325</v>
      </c>
      <c r="L2003" s="40"/>
    </row>
    <row r="2004" ht="22.5" customHeight="1">
      <c r="C2004" s="19" t="s">
        <v>6726</v>
      </c>
      <c r="D2004" s="39" t="s">
        <v>6727</v>
      </c>
      <c r="E2004" s="43" t="s">
        <v>6748</v>
      </c>
      <c r="F2004" s="43" t="s">
        <v>6749</v>
      </c>
      <c r="G2004" s="43" t="s">
        <v>3988</v>
      </c>
      <c r="H2004" s="42" t="s">
        <v>6750</v>
      </c>
      <c r="I2004" s="18">
        <f t="shared" si="17"/>
        <v>45958</v>
      </c>
      <c r="J2004" s="19" t="s">
        <v>28</v>
      </c>
      <c r="K2004" s="19" t="s">
        <v>325</v>
      </c>
      <c r="L2004" s="40"/>
    </row>
    <row r="2005" ht="22.5" customHeight="1">
      <c r="C2005" s="19" t="s">
        <v>6726</v>
      </c>
      <c r="D2005" s="39" t="s">
        <v>6727</v>
      </c>
      <c r="E2005" s="43" t="s">
        <v>6751</v>
      </c>
      <c r="F2005" s="43" t="s">
        <v>6752</v>
      </c>
      <c r="G2005" s="43" t="s">
        <v>2664</v>
      </c>
      <c r="H2005" s="44">
        <v>1.2128595059E10</v>
      </c>
      <c r="I2005" s="18">
        <f t="shared" si="17"/>
        <v>45958</v>
      </c>
      <c r="J2005" s="19" t="s">
        <v>28</v>
      </c>
      <c r="K2005" s="19" t="s">
        <v>325</v>
      </c>
      <c r="L2005" s="40"/>
    </row>
    <row r="2006" ht="22.5" customHeight="1">
      <c r="C2006" s="19" t="s">
        <v>6726</v>
      </c>
      <c r="D2006" s="39" t="s">
        <v>6727</v>
      </c>
      <c r="E2006" s="43" t="s">
        <v>6753</v>
      </c>
      <c r="F2006" s="43" t="s">
        <v>6754</v>
      </c>
      <c r="G2006" s="43" t="s">
        <v>421</v>
      </c>
      <c r="H2006" s="42" t="s">
        <v>6755</v>
      </c>
      <c r="I2006" s="18">
        <f t="shared" si="17"/>
        <v>45958</v>
      </c>
      <c r="J2006" s="19" t="s">
        <v>28</v>
      </c>
      <c r="K2006" s="19" t="s">
        <v>325</v>
      </c>
      <c r="L2006" s="40"/>
    </row>
    <row r="2007" ht="22.5" customHeight="1">
      <c r="C2007" s="19" t="s">
        <v>6726</v>
      </c>
      <c r="D2007" s="39" t="s">
        <v>6727</v>
      </c>
      <c r="E2007" s="43" t="s">
        <v>6756</v>
      </c>
      <c r="F2007" s="43" t="s">
        <v>6757</v>
      </c>
      <c r="G2007" s="43" t="s">
        <v>224</v>
      </c>
      <c r="H2007" s="42" t="s">
        <v>6758</v>
      </c>
      <c r="I2007" s="18">
        <f t="shared" si="17"/>
        <v>45958</v>
      </c>
      <c r="J2007" s="19" t="s">
        <v>28</v>
      </c>
      <c r="K2007" s="19" t="s">
        <v>325</v>
      </c>
      <c r="L2007" s="40"/>
    </row>
    <row r="2008" ht="22.5" customHeight="1">
      <c r="C2008" s="19" t="s">
        <v>6726</v>
      </c>
      <c r="D2008" s="39" t="s">
        <v>6727</v>
      </c>
      <c r="E2008" s="43" t="s">
        <v>6759</v>
      </c>
      <c r="F2008" s="43" t="s">
        <v>6760</v>
      </c>
      <c r="G2008" s="43" t="s">
        <v>269</v>
      </c>
      <c r="H2008" s="44">
        <v>6.464239955E9</v>
      </c>
      <c r="I2008" s="18">
        <f t="shared" si="17"/>
        <v>45958</v>
      </c>
      <c r="J2008" s="19" t="s">
        <v>28</v>
      </c>
      <c r="K2008" s="19" t="s">
        <v>325</v>
      </c>
      <c r="L2008" s="40"/>
    </row>
    <row r="2009" ht="22.5" customHeight="1">
      <c r="C2009" s="19" t="s">
        <v>6726</v>
      </c>
      <c r="D2009" s="39" t="s">
        <v>6727</v>
      </c>
      <c r="E2009" s="43" t="s">
        <v>6761</v>
      </c>
      <c r="F2009" s="43" t="s">
        <v>6762</v>
      </c>
      <c r="G2009" s="43" t="s">
        <v>67</v>
      </c>
      <c r="H2009" s="44">
        <v>7.035819666E9</v>
      </c>
      <c r="I2009" s="18">
        <f t="shared" si="17"/>
        <v>45958</v>
      </c>
      <c r="J2009" s="19" t="s">
        <v>28</v>
      </c>
      <c r="K2009" s="19" t="s">
        <v>325</v>
      </c>
      <c r="L2009" s="40"/>
    </row>
    <row r="2010" ht="22.5" customHeight="1">
      <c r="C2010" s="19" t="s">
        <v>6726</v>
      </c>
      <c r="D2010" s="39" t="s">
        <v>6727</v>
      </c>
      <c r="E2010" s="43" t="s">
        <v>6763</v>
      </c>
      <c r="F2010" s="43" t="s">
        <v>6764</v>
      </c>
      <c r="G2010" s="43" t="s">
        <v>57</v>
      </c>
      <c r="H2010" s="42" t="s">
        <v>6765</v>
      </c>
      <c r="I2010" s="18">
        <f t="shared" si="17"/>
        <v>45958</v>
      </c>
      <c r="J2010" s="19" t="s">
        <v>28</v>
      </c>
      <c r="K2010" s="19" t="s">
        <v>325</v>
      </c>
      <c r="L2010" s="40"/>
    </row>
    <row r="2011" ht="22.5" customHeight="1">
      <c r="C2011" s="19" t="s">
        <v>6726</v>
      </c>
      <c r="D2011" s="39" t="s">
        <v>6727</v>
      </c>
      <c r="E2011" s="43" t="s">
        <v>6766</v>
      </c>
      <c r="F2011" s="43" t="s">
        <v>6767</v>
      </c>
      <c r="G2011" s="43" t="s">
        <v>387</v>
      </c>
      <c r="H2011" s="44">
        <v>7.182697607E9</v>
      </c>
      <c r="I2011" s="18">
        <f t="shared" si="17"/>
        <v>45958</v>
      </c>
      <c r="J2011" s="19" t="s">
        <v>28</v>
      </c>
      <c r="K2011" s="19" t="s">
        <v>325</v>
      </c>
      <c r="L2011" s="40"/>
    </row>
    <row r="2012" ht="22.5" customHeight="1">
      <c r="C2012" s="19" t="s">
        <v>6726</v>
      </c>
      <c r="D2012" s="39" t="s">
        <v>6727</v>
      </c>
      <c r="E2012" s="43" t="s">
        <v>6768</v>
      </c>
      <c r="F2012" s="43" t="s">
        <v>6769</v>
      </c>
      <c r="G2012" s="43" t="s">
        <v>170</v>
      </c>
      <c r="H2012" s="42" t="s">
        <v>6770</v>
      </c>
      <c r="I2012" s="18">
        <f t="shared" si="17"/>
        <v>45958</v>
      </c>
      <c r="J2012" s="19" t="s">
        <v>28</v>
      </c>
      <c r="K2012" s="19" t="s">
        <v>325</v>
      </c>
      <c r="L2012" s="40"/>
    </row>
    <row r="2013" ht="22.5" customHeight="1">
      <c r="C2013" s="19" t="s">
        <v>6726</v>
      </c>
      <c r="D2013" s="39" t="s">
        <v>6727</v>
      </c>
      <c r="E2013" s="43" t="s">
        <v>6771</v>
      </c>
      <c r="F2013" s="43" t="s">
        <v>182</v>
      </c>
      <c r="G2013" s="43" t="s">
        <v>6772</v>
      </c>
      <c r="H2013" s="42" t="s">
        <v>6773</v>
      </c>
      <c r="I2013" s="18">
        <f t="shared" si="17"/>
        <v>45958</v>
      </c>
      <c r="J2013" s="19" t="s">
        <v>28</v>
      </c>
      <c r="K2013" s="19" t="s">
        <v>325</v>
      </c>
      <c r="L2013" s="40"/>
    </row>
    <row r="2014" ht="22.5" customHeight="1">
      <c r="C2014" s="19" t="s">
        <v>6774</v>
      </c>
      <c r="D2014" s="39" t="s">
        <v>6775</v>
      </c>
      <c r="E2014" s="43" t="s">
        <v>6776</v>
      </c>
      <c r="F2014" s="43" t="s">
        <v>6777</v>
      </c>
      <c r="G2014" s="43" t="s">
        <v>126</v>
      </c>
      <c r="H2014" s="44">
        <v>9.734547604E9</v>
      </c>
      <c r="I2014" s="18">
        <f t="shared" si="17"/>
        <v>45958</v>
      </c>
      <c r="J2014" s="19" t="s">
        <v>28</v>
      </c>
      <c r="K2014" s="19" t="s">
        <v>325</v>
      </c>
      <c r="L2014" s="40"/>
    </row>
    <row r="2015" ht="22.5" customHeight="1">
      <c r="C2015" s="19" t="s">
        <v>6774</v>
      </c>
      <c r="D2015" s="39" t="s">
        <v>6778</v>
      </c>
      <c r="E2015" s="43" t="s">
        <v>6779</v>
      </c>
      <c r="F2015" s="43" t="s">
        <v>1871</v>
      </c>
      <c r="G2015" s="43" t="s">
        <v>346</v>
      </c>
      <c r="H2015" s="42" t="s">
        <v>6780</v>
      </c>
      <c r="I2015" s="18">
        <f t="shared" si="17"/>
        <v>45958</v>
      </c>
      <c r="J2015" s="19" t="s">
        <v>28</v>
      </c>
      <c r="K2015" s="19" t="s">
        <v>325</v>
      </c>
      <c r="L2015" s="40"/>
    </row>
    <row r="2016" ht="22.5" customHeight="1">
      <c r="C2016" s="19" t="s">
        <v>6774</v>
      </c>
      <c r="D2016" s="39" t="s">
        <v>6781</v>
      </c>
      <c r="E2016" s="43" t="s">
        <v>6782</v>
      </c>
      <c r="F2016" s="43" t="s">
        <v>6783</v>
      </c>
      <c r="G2016" s="43" t="s">
        <v>6784</v>
      </c>
      <c r="H2016" s="42" t="s">
        <v>6785</v>
      </c>
      <c r="I2016" s="18">
        <f t="shared" si="17"/>
        <v>45958</v>
      </c>
      <c r="J2016" s="19" t="s">
        <v>28</v>
      </c>
      <c r="K2016" s="19" t="s">
        <v>325</v>
      </c>
      <c r="L2016" s="40"/>
    </row>
    <row r="2017" ht="22.5" customHeight="1">
      <c r="C2017" s="19" t="s">
        <v>6774</v>
      </c>
      <c r="D2017" s="39" t="s">
        <v>6786</v>
      </c>
      <c r="E2017" s="43" t="s">
        <v>6787</v>
      </c>
      <c r="F2017" s="43" t="s">
        <v>6788</v>
      </c>
      <c r="G2017" s="43" t="s">
        <v>142</v>
      </c>
      <c r="H2017" s="44">
        <v>2.128659848E9</v>
      </c>
      <c r="I2017" s="18">
        <f t="shared" si="17"/>
        <v>45958</v>
      </c>
      <c r="J2017" s="19" t="s">
        <v>28</v>
      </c>
      <c r="K2017" s="19" t="s">
        <v>325</v>
      </c>
      <c r="L2017" s="40"/>
    </row>
    <row r="2018" ht="22.5" customHeight="1">
      <c r="C2018" s="19" t="s">
        <v>6774</v>
      </c>
      <c r="D2018" s="39" t="s">
        <v>6789</v>
      </c>
      <c r="E2018" s="43" t="s">
        <v>6790</v>
      </c>
      <c r="F2018" s="43" t="s">
        <v>1419</v>
      </c>
      <c r="G2018" s="43" t="s">
        <v>67</v>
      </c>
      <c r="H2018" s="42" t="s">
        <v>6791</v>
      </c>
      <c r="I2018" s="18">
        <f t="shared" si="17"/>
        <v>45958</v>
      </c>
      <c r="J2018" s="19" t="s">
        <v>28</v>
      </c>
      <c r="K2018" s="19" t="s">
        <v>325</v>
      </c>
      <c r="L2018" s="40"/>
    </row>
    <row r="2019" ht="22.5" customHeight="1">
      <c r="C2019" s="19" t="s">
        <v>6774</v>
      </c>
      <c r="D2019" s="39" t="s">
        <v>6792</v>
      </c>
      <c r="E2019" s="43" t="s">
        <v>6793</v>
      </c>
      <c r="F2019" s="43" t="s">
        <v>2315</v>
      </c>
      <c r="G2019" s="43" t="s">
        <v>57</v>
      </c>
      <c r="H2019" s="42" t="s">
        <v>6794</v>
      </c>
      <c r="I2019" s="18">
        <f t="shared" si="17"/>
        <v>45958</v>
      </c>
      <c r="J2019" s="19" t="s">
        <v>28</v>
      </c>
      <c r="K2019" s="19" t="s">
        <v>325</v>
      </c>
      <c r="L2019" s="40"/>
    </row>
    <row r="2020" ht="22.5" customHeight="1">
      <c r="C2020" s="19" t="s">
        <v>6774</v>
      </c>
      <c r="D2020" s="39" t="s">
        <v>6795</v>
      </c>
      <c r="E2020" s="43" t="s">
        <v>6796</v>
      </c>
      <c r="F2020" s="43" t="s">
        <v>6797</v>
      </c>
      <c r="G2020" s="43" t="s">
        <v>52</v>
      </c>
      <c r="H2020" s="42" t="s">
        <v>6798</v>
      </c>
      <c r="I2020" s="18">
        <f t="shared" si="17"/>
        <v>45958</v>
      </c>
      <c r="J2020" s="19" t="s">
        <v>28</v>
      </c>
      <c r="K2020" s="19" t="s">
        <v>325</v>
      </c>
      <c r="L2020" s="40"/>
    </row>
    <row r="2021" ht="22.5" customHeight="1">
      <c r="C2021" s="19" t="s">
        <v>6774</v>
      </c>
      <c r="D2021" s="39" t="s">
        <v>6799</v>
      </c>
      <c r="E2021" s="43" t="s">
        <v>6800</v>
      </c>
      <c r="F2021" s="43" t="s">
        <v>6801</v>
      </c>
      <c r="G2021" s="43" t="s">
        <v>108</v>
      </c>
      <c r="H2021" s="42" t="s">
        <v>6802</v>
      </c>
      <c r="I2021" s="18">
        <f t="shared" si="17"/>
        <v>45958</v>
      </c>
      <c r="J2021" s="19" t="s">
        <v>28</v>
      </c>
      <c r="K2021" s="19" t="s">
        <v>325</v>
      </c>
      <c r="L2021" s="40"/>
    </row>
    <row r="2022" ht="22.5" customHeight="1">
      <c r="C2022" s="19" t="s">
        <v>6774</v>
      </c>
      <c r="D2022" s="39" t="s">
        <v>6803</v>
      </c>
      <c r="E2022" s="43" t="s">
        <v>6804</v>
      </c>
      <c r="F2022" s="43" t="s">
        <v>6805</v>
      </c>
      <c r="G2022" s="43" t="s">
        <v>77</v>
      </c>
      <c r="H2022" s="44">
        <v>2.123323227E9</v>
      </c>
      <c r="I2022" s="18">
        <f t="shared" si="17"/>
        <v>45958</v>
      </c>
      <c r="J2022" s="19" t="s">
        <v>28</v>
      </c>
      <c r="K2022" s="19" t="s">
        <v>325</v>
      </c>
      <c r="L2022" s="40"/>
    </row>
    <row r="2023" ht="22.5" customHeight="1">
      <c r="C2023" s="19" t="s">
        <v>6774</v>
      </c>
      <c r="D2023" s="39" t="s">
        <v>6806</v>
      </c>
      <c r="E2023" s="43" t="s">
        <v>6807</v>
      </c>
      <c r="F2023" s="43" t="s">
        <v>6808</v>
      </c>
      <c r="G2023" s="43" t="s">
        <v>540</v>
      </c>
      <c r="H2023" s="42" t="s">
        <v>6809</v>
      </c>
      <c r="I2023" s="18">
        <f t="shared" si="17"/>
        <v>45958</v>
      </c>
      <c r="J2023" s="19" t="s">
        <v>28</v>
      </c>
      <c r="K2023" s="19" t="s">
        <v>325</v>
      </c>
      <c r="L2023" s="40"/>
    </row>
    <row r="2024" ht="22.5" customHeight="1">
      <c r="C2024" s="19" t="s">
        <v>6774</v>
      </c>
      <c r="D2024" s="39" t="s">
        <v>6810</v>
      </c>
      <c r="E2024" s="43" t="s">
        <v>6811</v>
      </c>
      <c r="F2024" s="43" t="s">
        <v>6812</v>
      </c>
      <c r="G2024" s="43" t="s">
        <v>26</v>
      </c>
      <c r="H2024" s="44">
        <v>2.12226035E9</v>
      </c>
      <c r="I2024" s="18">
        <f t="shared" si="17"/>
        <v>45958</v>
      </c>
      <c r="J2024" s="19" t="s">
        <v>28</v>
      </c>
      <c r="K2024" s="19" t="s">
        <v>325</v>
      </c>
      <c r="L2024" s="40"/>
    </row>
    <row r="2025" ht="22.5" customHeight="1">
      <c r="C2025" s="19" t="s">
        <v>6774</v>
      </c>
      <c r="D2025" s="39" t="s">
        <v>6813</v>
      </c>
      <c r="E2025" s="43" t="s">
        <v>6814</v>
      </c>
      <c r="F2025" s="43" t="s">
        <v>6815</v>
      </c>
      <c r="G2025" s="43" t="s">
        <v>67</v>
      </c>
      <c r="H2025" s="44">
        <v>6.097422116E9</v>
      </c>
      <c r="I2025" s="18">
        <f t="shared" si="17"/>
        <v>45958</v>
      </c>
      <c r="J2025" s="19" t="s">
        <v>28</v>
      </c>
      <c r="K2025" s="19" t="s">
        <v>325</v>
      </c>
      <c r="L2025" s="40"/>
    </row>
    <row r="2026" ht="22.5" customHeight="1">
      <c r="C2026" s="19" t="s">
        <v>6774</v>
      </c>
      <c r="D2026" s="39" t="s">
        <v>6816</v>
      </c>
      <c r="E2026" s="43" t="s">
        <v>6817</v>
      </c>
      <c r="F2026" s="43" t="s">
        <v>6818</v>
      </c>
      <c r="G2026" s="43" t="s">
        <v>2854</v>
      </c>
      <c r="H2026" s="42" t="s">
        <v>6819</v>
      </c>
      <c r="I2026" s="18">
        <f t="shared" si="17"/>
        <v>45958</v>
      </c>
      <c r="J2026" s="19" t="s">
        <v>28</v>
      </c>
      <c r="K2026" s="19" t="s">
        <v>325</v>
      </c>
      <c r="L2026" s="40"/>
    </row>
    <row r="2027" ht="22.5" customHeight="1">
      <c r="C2027" s="19" t="s">
        <v>6774</v>
      </c>
      <c r="D2027" s="39" t="s">
        <v>6820</v>
      </c>
      <c r="E2027" s="43" t="s">
        <v>6821</v>
      </c>
      <c r="F2027" s="43" t="s">
        <v>6822</v>
      </c>
      <c r="G2027" s="43" t="s">
        <v>717</v>
      </c>
      <c r="H2027" s="42" t="s">
        <v>6823</v>
      </c>
      <c r="I2027" s="18">
        <f t="shared" si="17"/>
        <v>45958</v>
      </c>
      <c r="J2027" s="19" t="s">
        <v>28</v>
      </c>
      <c r="K2027" s="19" t="s">
        <v>325</v>
      </c>
      <c r="L2027" s="40"/>
    </row>
    <row r="2028" ht="22.5" customHeight="1">
      <c r="C2028" s="19" t="s">
        <v>6774</v>
      </c>
      <c r="D2028" s="39" t="s">
        <v>6824</v>
      </c>
      <c r="E2028" s="43" t="s">
        <v>6825</v>
      </c>
      <c r="F2028" s="43" t="s">
        <v>6826</v>
      </c>
      <c r="G2028" s="43" t="s">
        <v>269</v>
      </c>
      <c r="H2028" s="44">
        <v>9.177031969E9</v>
      </c>
      <c r="I2028" s="18">
        <f t="shared" si="17"/>
        <v>45958</v>
      </c>
      <c r="J2028" s="19" t="s">
        <v>28</v>
      </c>
      <c r="K2028" s="19" t="s">
        <v>325</v>
      </c>
      <c r="L2028" s="40"/>
    </row>
    <row r="2029" ht="22.5" customHeight="1">
      <c r="C2029" s="19" t="s">
        <v>182</v>
      </c>
      <c r="D2029" s="39" t="s">
        <v>182</v>
      </c>
      <c r="E2029" s="39" t="s">
        <v>6827</v>
      </c>
      <c r="F2029" s="45" t="s">
        <v>182</v>
      </c>
      <c r="G2029" s="45" t="s">
        <v>182</v>
      </c>
      <c r="H2029" s="46" t="s">
        <v>182</v>
      </c>
      <c r="I2029" s="18">
        <f>DATE(2025, 10, 29)</f>
        <v>45959</v>
      </c>
      <c r="J2029" s="19" t="s">
        <v>28</v>
      </c>
      <c r="K2029" s="19" t="s">
        <v>28</v>
      </c>
      <c r="L2029" s="4" t="s">
        <v>99</v>
      </c>
    </row>
    <row r="2030" ht="22.5" customHeight="1">
      <c r="C2030" s="19" t="s">
        <v>182</v>
      </c>
      <c r="D2030" s="39" t="s">
        <v>182</v>
      </c>
      <c r="E2030" s="39" t="s">
        <v>6828</v>
      </c>
      <c r="F2030" s="45" t="s">
        <v>182</v>
      </c>
      <c r="G2030" s="45" t="s">
        <v>182</v>
      </c>
      <c r="H2030" s="46" t="s">
        <v>182</v>
      </c>
      <c r="I2030" s="18">
        <f>DATE(2025, 10, 30)</f>
        <v>45960</v>
      </c>
      <c r="J2030" s="19" t="s">
        <v>28</v>
      </c>
      <c r="K2030" s="19" t="s">
        <v>28</v>
      </c>
      <c r="L2030" s="4" t="s">
        <v>148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88"/>
    <col customWidth="1" min="4" max="4" width="23.38"/>
    <col customWidth="1" min="5" max="5" width="27.13"/>
    <col customWidth="1" min="6" max="6" width="24.5"/>
    <col customWidth="1" min="7" max="7" width="13.63"/>
    <col customWidth="1" min="10" max="10" width="17.0"/>
    <col customWidth="1" min="11" max="11" width="15.13"/>
    <col customWidth="1" min="12" max="12" width="14.75"/>
  </cols>
  <sheetData>
    <row r="1">
      <c r="A1" s="10"/>
      <c r="H1" s="11"/>
    </row>
    <row r="2">
      <c r="H2" s="11"/>
    </row>
    <row r="3">
      <c r="H3" s="11"/>
    </row>
    <row r="4">
      <c r="H4" s="11"/>
    </row>
    <row r="5">
      <c r="H5" s="11"/>
    </row>
    <row r="6" ht="22.5" customHeight="1">
      <c r="C6" s="12" t="s">
        <v>12</v>
      </c>
      <c r="D6" s="13" t="s">
        <v>13</v>
      </c>
      <c r="E6" s="12" t="s">
        <v>14</v>
      </c>
      <c r="F6" s="12" t="s">
        <v>15</v>
      </c>
      <c r="G6" s="12" t="s">
        <v>16</v>
      </c>
      <c r="H6" s="14" t="s">
        <v>17</v>
      </c>
      <c r="I6" s="15" t="s">
        <v>18</v>
      </c>
      <c r="J6" s="15" t="s">
        <v>19</v>
      </c>
      <c r="K6" s="15" t="s">
        <v>20</v>
      </c>
      <c r="L6" s="15" t="s">
        <v>21</v>
      </c>
    </row>
    <row r="7" ht="22.5" customHeight="1">
      <c r="C7" s="23" t="s">
        <v>6829</v>
      </c>
      <c r="D7" s="24" t="s">
        <v>6830</v>
      </c>
      <c r="E7" s="48" t="s">
        <v>6831</v>
      </c>
      <c r="F7" s="48" t="s">
        <v>6832</v>
      </c>
      <c r="G7" s="48" t="s">
        <v>5962</v>
      </c>
      <c r="H7" s="49" t="s">
        <v>6833</v>
      </c>
      <c r="I7" s="18">
        <f t="shared" ref="I7:I307" si="1">DATE(2025, 11, 3)</f>
        <v>45964</v>
      </c>
      <c r="J7" s="19" t="s">
        <v>28</v>
      </c>
      <c r="K7" s="19" t="s">
        <v>5170</v>
      </c>
      <c r="L7" s="19"/>
    </row>
    <row r="8" ht="22.5" customHeight="1">
      <c r="C8" s="23" t="s">
        <v>6829</v>
      </c>
      <c r="D8" s="24" t="s">
        <v>6834</v>
      </c>
      <c r="E8" s="48" t="s">
        <v>6835</v>
      </c>
      <c r="F8" s="48" t="s">
        <v>182</v>
      </c>
      <c r="G8" s="48" t="s">
        <v>6164</v>
      </c>
      <c r="H8" s="26">
        <v>9.546675939E9</v>
      </c>
      <c r="I8" s="18">
        <f t="shared" si="1"/>
        <v>45964</v>
      </c>
      <c r="J8" s="19" t="s">
        <v>28</v>
      </c>
      <c r="K8" s="19" t="s">
        <v>5170</v>
      </c>
      <c r="L8" s="19"/>
    </row>
    <row r="9" ht="22.5" customHeight="1">
      <c r="C9" s="23" t="s">
        <v>6829</v>
      </c>
      <c r="D9" s="24" t="s">
        <v>6836</v>
      </c>
      <c r="E9" s="48" t="s">
        <v>6837</v>
      </c>
      <c r="F9" s="48" t="s">
        <v>6838</v>
      </c>
      <c r="G9" s="48" t="s">
        <v>6839</v>
      </c>
      <c r="H9" s="26">
        <v>3.055907799E9</v>
      </c>
      <c r="I9" s="18">
        <f t="shared" si="1"/>
        <v>45964</v>
      </c>
      <c r="J9" s="19" t="s">
        <v>28</v>
      </c>
      <c r="K9" s="19" t="s">
        <v>5170</v>
      </c>
      <c r="L9" s="19"/>
    </row>
    <row r="10" ht="22.5" customHeight="1">
      <c r="C10" s="23" t="s">
        <v>6829</v>
      </c>
      <c r="D10" s="24" t="s">
        <v>6840</v>
      </c>
      <c r="E10" s="48" t="s">
        <v>6841</v>
      </c>
      <c r="F10" s="48" t="s">
        <v>6842</v>
      </c>
      <c r="G10" s="48" t="s">
        <v>6094</v>
      </c>
      <c r="H10" s="26">
        <v>7.865470307E9</v>
      </c>
      <c r="I10" s="18">
        <f t="shared" si="1"/>
        <v>45964</v>
      </c>
      <c r="J10" s="19" t="s">
        <v>28</v>
      </c>
      <c r="K10" s="19" t="s">
        <v>5170</v>
      </c>
      <c r="L10" s="19"/>
    </row>
    <row r="11" ht="22.5" customHeight="1">
      <c r="C11" s="23" t="s">
        <v>6829</v>
      </c>
      <c r="D11" s="24" t="s">
        <v>6843</v>
      </c>
      <c r="E11" s="48" t="s">
        <v>6844</v>
      </c>
      <c r="F11" s="48" t="s">
        <v>182</v>
      </c>
      <c r="G11" s="48" t="s">
        <v>5949</v>
      </c>
      <c r="H11" s="26">
        <v>7.862874958E9</v>
      </c>
      <c r="I11" s="18">
        <f t="shared" si="1"/>
        <v>45964</v>
      </c>
      <c r="J11" s="19" t="s">
        <v>28</v>
      </c>
      <c r="K11" s="19" t="s">
        <v>5170</v>
      </c>
      <c r="L11" s="19"/>
    </row>
    <row r="12" ht="22.5" customHeight="1">
      <c r="C12" s="23" t="s">
        <v>6829</v>
      </c>
      <c r="D12" s="24" t="s">
        <v>6845</v>
      </c>
      <c r="E12" s="48" t="s">
        <v>6846</v>
      </c>
      <c r="F12" s="48" t="s">
        <v>6847</v>
      </c>
      <c r="G12" s="48" t="s">
        <v>6068</v>
      </c>
      <c r="H12" s="26">
        <v>4.076831434E9</v>
      </c>
      <c r="I12" s="18">
        <f t="shared" si="1"/>
        <v>45964</v>
      </c>
      <c r="J12" s="19" t="s">
        <v>28</v>
      </c>
      <c r="K12" s="19" t="s">
        <v>5170</v>
      </c>
      <c r="L12" s="19"/>
    </row>
    <row r="13" ht="22.5" customHeight="1">
      <c r="C13" s="23" t="s">
        <v>6829</v>
      </c>
      <c r="D13" s="24" t="s">
        <v>6848</v>
      </c>
      <c r="E13" s="48" t="s">
        <v>6849</v>
      </c>
      <c r="F13" s="48" t="s">
        <v>6850</v>
      </c>
      <c r="G13" s="48" t="s">
        <v>6284</v>
      </c>
      <c r="H13" s="49" t="s">
        <v>6851</v>
      </c>
      <c r="I13" s="18">
        <f t="shared" si="1"/>
        <v>45964</v>
      </c>
      <c r="J13" s="19" t="s">
        <v>28</v>
      </c>
      <c r="K13" s="19" t="s">
        <v>5170</v>
      </c>
      <c r="L13" s="19" t="s">
        <v>148</v>
      </c>
    </row>
    <row r="14" ht="22.5" customHeight="1">
      <c r="C14" s="23" t="s">
        <v>6829</v>
      </c>
      <c r="D14" s="24" t="s">
        <v>6852</v>
      </c>
      <c r="E14" s="48" t="s">
        <v>6853</v>
      </c>
      <c r="F14" s="48" t="s">
        <v>6854</v>
      </c>
      <c r="G14" s="48" t="s">
        <v>5929</v>
      </c>
      <c r="H14" s="26">
        <v>3.05378521E9</v>
      </c>
      <c r="I14" s="18">
        <f t="shared" si="1"/>
        <v>45964</v>
      </c>
      <c r="J14" s="19" t="s">
        <v>28</v>
      </c>
      <c r="K14" s="19" t="s">
        <v>5170</v>
      </c>
      <c r="L14" s="19"/>
    </row>
    <row r="15" ht="22.5" customHeight="1">
      <c r="C15" s="23" t="s">
        <v>6829</v>
      </c>
      <c r="D15" s="24" t="s">
        <v>6855</v>
      </c>
      <c r="E15" s="48" t="s">
        <v>6856</v>
      </c>
      <c r="F15" s="48" t="s">
        <v>6857</v>
      </c>
      <c r="G15" s="48" t="s">
        <v>6858</v>
      </c>
      <c r="H15" s="26">
        <v>7.86651764E9</v>
      </c>
      <c r="I15" s="18">
        <f t="shared" si="1"/>
        <v>45964</v>
      </c>
      <c r="J15" s="19" t="s">
        <v>28</v>
      </c>
      <c r="K15" s="19" t="s">
        <v>5170</v>
      </c>
      <c r="L15" s="19"/>
    </row>
    <row r="16" ht="22.5" customHeight="1">
      <c r="C16" s="23" t="s">
        <v>6829</v>
      </c>
      <c r="D16" s="24" t="s">
        <v>6859</v>
      </c>
      <c r="E16" s="48" t="s">
        <v>6860</v>
      </c>
      <c r="F16" s="48" t="s">
        <v>6861</v>
      </c>
      <c r="G16" s="48" t="s">
        <v>5921</v>
      </c>
      <c r="H16" s="49" t="s">
        <v>6862</v>
      </c>
      <c r="I16" s="18">
        <f t="shared" si="1"/>
        <v>45964</v>
      </c>
      <c r="J16" s="19" t="s">
        <v>28</v>
      </c>
      <c r="K16" s="19" t="s">
        <v>5170</v>
      </c>
      <c r="L16" s="19"/>
    </row>
    <row r="17" ht="22.5" customHeight="1">
      <c r="C17" s="23" t="s">
        <v>6829</v>
      </c>
      <c r="D17" s="24" t="s">
        <v>6863</v>
      </c>
      <c r="E17" s="48" t="s">
        <v>6864</v>
      </c>
      <c r="F17" s="48" t="s">
        <v>6865</v>
      </c>
      <c r="G17" s="48" t="s">
        <v>5874</v>
      </c>
      <c r="H17" s="49" t="s">
        <v>6866</v>
      </c>
      <c r="I17" s="18">
        <f t="shared" si="1"/>
        <v>45964</v>
      </c>
      <c r="J17" s="19" t="s">
        <v>28</v>
      </c>
      <c r="K17" s="19" t="s">
        <v>5170</v>
      </c>
      <c r="L17" s="19"/>
    </row>
    <row r="18" ht="22.5" customHeight="1">
      <c r="C18" s="23" t="s">
        <v>6829</v>
      </c>
      <c r="D18" s="24" t="s">
        <v>6867</v>
      </c>
      <c r="E18" s="48" t="s">
        <v>6868</v>
      </c>
      <c r="F18" s="48" t="s">
        <v>6869</v>
      </c>
      <c r="G18" s="48" t="s">
        <v>460</v>
      </c>
      <c r="H18" s="49" t="s">
        <v>6870</v>
      </c>
      <c r="I18" s="18">
        <f t="shared" si="1"/>
        <v>45964</v>
      </c>
      <c r="J18" s="19" t="s">
        <v>28</v>
      </c>
      <c r="K18" s="19" t="s">
        <v>5170</v>
      </c>
      <c r="L18" s="19"/>
    </row>
    <row r="19" ht="22.5" customHeight="1">
      <c r="A19" s="22"/>
      <c r="C19" s="23" t="s">
        <v>6829</v>
      </c>
      <c r="D19" s="24" t="s">
        <v>6871</v>
      </c>
      <c r="E19" s="48" t="s">
        <v>6872</v>
      </c>
      <c r="F19" s="48" t="s">
        <v>6873</v>
      </c>
      <c r="G19" s="48" t="s">
        <v>6874</v>
      </c>
      <c r="H19" s="26">
        <v>3.05347008E8</v>
      </c>
      <c r="I19" s="18">
        <f t="shared" si="1"/>
        <v>45964</v>
      </c>
      <c r="J19" s="19" t="s">
        <v>28</v>
      </c>
      <c r="K19" s="19" t="s">
        <v>5170</v>
      </c>
      <c r="L19" s="19"/>
    </row>
    <row r="20" ht="22.5" customHeight="1">
      <c r="A20" s="22"/>
      <c r="C20" s="23" t="s">
        <v>6829</v>
      </c>
      <c r="D20" s="24" t="s">
        <v>6875</v>
      </c>
      <c r="E20" s="43" t="s">
        <v>6876</v>
      </c>
      <c r="F20" s="43" t="s">
        <v>6877</v>
      </c>
      <c r="G20" s="43" t="s">
        <v>6160</v>
      </c>
      <c r="H20" s="26">
        <v>7.86797431E9</v>
      </c>
      <c r="I20" s="18">
        <f t="shared" si="1"/>
        <v>45964</v>
      </c>
      <c r="J20" s="19" t="s">
        <v>28</v>
      </c>
      <c r="K20" s="19" t="s">
        <v>5170</v>
      </c>
      <c r="L20" s="19"/>
    </row>
    <row r="21" ht="22.5" customHeight="1">
      <c r="A21" s="22"/>
      <c r="C21" s="23" t="s">
        <v>6829</v>
      </c>
      <c r="D21" s="24" t="s">
        <v>6878</v>
      </c>
      <c r="E21" s="43" t="s">
        <v>6879</v>
      </c>
      <c r="F21" s="43" t="s">
        <v>6880</v>
      </c>
      <c r="G21" s="43" t="s">
        <v>5957</v>
      </c>
      <c r="H21" s="49" t="s">
        <v>6881</v>
      </c>
      <c r="I21" s="18">
        <f t="shared" si="1"/>
        <v>45964</v>
      </c>
      <c r="J21" s="19" t="s">
        <v>28</v>
      </c>
      <c r="K21" s="19" t="s">
        <v>5170</v>
      </c>
      <c r="L21" s="19"/>
    </row>
    <row r="22" ht="22.5" customHeight="1">
      <c r="A22" s="22"/>
      <c r="C22" s="23" t="s">
        <v>6829</v>
      </c>
      <c r="D22" s="24" t="s">
        <v>6882</v>
      </c>
      <c r="E22" s="43" t="s">
        <v>6883</v>
      </c>
      <c r="F22" s="43" t="s">
        <v>6884</v>
      </c>
      <c r="G22" s="43" t="s">
        <v>5825</v>
      </c>
      <c r="H22" s="49" t="s">
        <v>6885</v>
      </c>
      <c r="I22" s="18">
        <f t="shared" si="1"/>
        <v>45964</v>
      </c>
      <c r="J22" s="19" t="s">
        <v>28</v>
      </c>
      <c r="K22" s="19" t="s">
        <v>5170</v>
      </c>
      <c r="L22" s="19"/>
    </row>
    <row r="23" ht="22.5" customHeight="1">
      <c r="C23" s="23" t="s">
        <v>6829</v>
      </c>
      <c r="D23" s="24" t="s">
        <v>6886</v>
      </c>
      <c r="E23" s="43" t="s">
        <v>6887</v>
      </c>
      <c r="F23" s="43" t="s">
        <v>6888</v>
      </c>
      <c r="G23" s="43" t="s">
        <v>5850</v>
      </c>
      <c r="H23" s="26">
        <v>7.865855929E9</v>
      </c>
      <c r="I23" s="18">
        <f t="shared" si="1"/>
        <v>45964</v>
      </c>
      <c r="J23" s="19" t="s">
        <v>28</v>
      </c>
      <c r="K23" s="19" t="s">
        <v>5170</v>
      </c>
      <c r="L23" s="19"/>
    </row>
    <row r="24" ht="22.5" customHeight="1">
      <c r="C24" s="23" t="s">
        <v>6829</v>
      </c>
      <c r="D24" s="24" t="s">
        <v>6889</v>
      </c>
      <c r="E24" s="43" t="s">
        <v>6890</v>
      </c>
      <c r="F24" s="43" t="s">
        <v>6891</v>
      </c>
      <c r="G24" s="43" t="s">
        <v>6892</v>
      </c>
      <c r="H24" s="26">
        <v>3.058773711E9</v>
      </c>
      <c r="I24" s="18">
        <f t="shared" si="1"/>
        <v>45964</v>
      </c>
      <c r="J24" s="19" t="s">
        <v>28</v>
      </c>
      <c r="K24" s="19" t="s">
        <v>5170</v>
      </c>
      <c r="L24" s="19"/>
    </row>
    <row r="25" ht="22.5" customHeight="1">
      <c r="C25" s="23" t="s">
        <v>6829</v>
      </c>
      <c r="D25" s="24" t="s">
        <v>6893</v>
      </c>
      <c r="E25" s="43" t="s">
        <v>6894</v>
      </c>
      <c r="F25" s="43" t="s">
        <v>6895</v>
      </c>
      <c r="G25" s="43" t="s">
        <v>5900</v>
      </c>
      <c r="H25" s="26">
        <v>7.862104861E9</v>
      </c>
      <c r="I25" s="18">
        <f t="shared" si="1"/>
        <v>45964</v>
      </c>
      <c r="J25" s="19" t="s">
        <v>28</v>
      </c>
      <c r="K25" s="19" t="s">
        <v>5170</v>
      </c>
      <c r="L25" s="19"/>
    </row>
    <row r="26" ht="22.5" customHeight="1">
      <c r="C26" s="23" t="s">
        <v>6829</v>
      </c>
      <c r="D26" s="24" t="s">
        <v>6896</v>
      </c>
      <c r="E26" s="43" t="s">
        <v>6897</v>
      </c>
      <c r="F26" s="43" t="s">
        <v>6463</v>
      </c>
      <c r="G26" s="43" t="s">
        <v>5878</v>
      </c>
      <c r="H26" s="49" t="s">
        <v>6898</v>
      </c>
      <c r="I26" s="18">
        <f t="shared" si="1"/>
        <v>45964</v>
      </c>
      <c r="J26" s="19" t="s">
        <v>28</v>
      </c>
      <c r="K26" s="19" t="s">
        <v>5170</v>
      </c>
      <c r="L26" s="19"/>
    </row>
    <row r="27" ht="22.5" customHeight="1">
      <c r="C27" s="23" t="s">
        <v>6829</v>
      </c>
      <c r="D27" s="24" t="s">
        <v>6899</v>
      </c>
      <c r="E27" s="43" t="s">
        <v>6900</v>
      </c>
      <c r="F27" s="43" t="s">
        <v>6901</v>
      </c>
      <c r="G27" s="43" t="s">
        <v>6902</v>
      </c>
      <c r="H27" s="26">
        <v>7.86214148E9</v>
      </c>
      <c r="I27" s="18">
        <f t="shared" si="1"/>
        <v>45964</v>
      </c>
      <c r="J27" s="19" t="s">
        <v>28</v>
      </c>
      <c r="K27" s="19" t="s">
        <v>5170</v>
      </c>
      <c r="L27" s="19"/>
    </row>
    <row r="28" ht="22.5" customHeight="1">
      <c r="C28" s="23" t="s">
        <v>6829</v>
      </c>
      <c r="D28" s="24" t="s">
        <v>6903</v>
      </c>
      <c r="E28" s="43" t="s">
        <v>6904</v>
      </c>
      <c r="F28" s="43" t="s">
        <v>6905</v>
      </c>
      <c r="G28" s="43" t="s">
        <v>5939</v>
      </c>
      <c r="H28" s="26">
        <v>3.057789684E9</v>
      </c>
      <c r="I28" s="18">
        <f t="shared" si="1"/>
        <v>45964</v>
      </c>
      <c r="J28" s="19" t="s">
        <v>28</v>
      </c>
      <c r="K28" s="19" t="s">
        <v>5170</v>
      </c>
      <c r="L28" s="19"/>
    </row>
    <row r="29" ht="22.5" customHeight="1">
      <c r="C29" s="23" t="s">
        <v>6906</v>
      </c>
      <c r="D29" s="24" t="s">
        <v>6907</v>
      </c>
      <c r="E29" s="43" t="s">
        <v>6908</v>
      </c>
      <c r="F29" s="43" t="s">
        <v>6909</v>
      </c>
      <c r="G29" s="43" t="s">
        <v>5949</v>
      </c>
      <c r="H29" s="26">
        <v>7.862394998E9</v>
      </c>
      <c r="I29" s="18">
        <f t="shared" si="1"/>
        <v>45964</v>
      </c>
      <c r="J29" s="19" t="s">
        <v>28</v>
      </c>
      <c r="K29" s="19" t="s">
        <v>5170</v>
      </c>
      <c r="L29" s="19"/>
    </row>
    <row r="30" ht="22.5" customHeight="1">
      <c r="C30" s="23" t="s">
        <v>6906</v>
      </c>
      <c r="D30" s="24" t="s">
        <v>6910</v>
      </c>
      <c r="E30" s="43" t="s">
        <v>6911</v>
      </c>
      <c r="F30" s="43" t="s">
        <v>6912</v>
      </c>
      <c r="G30" s="43" t="s">
        <v>5850</v>
      </c>
      <c r="H30" s="49" t="s">
        <v>6913</v>
      </c>
      <c r="I30" s="18">
        <f t="shared" si="1"/>
        <v>45964</v>
      </c>
      <c r="J30" s="19" t="s">
        <v>28</v>
      </c>
      <c r="K30" s="19" t="s">
        <v>5170</v>
      </c>
      <c r="L30" s="19"/>
    </row>
    <row r="31" ht="22.5" customHeight="1">
      <c r="C31" s="23" t="s">
        <v>6906</v>
      </c>
      <c r="D31" s="24" t="s">
        <v>6914</v>
      </c>
      <c r="E31" s="43" t="s">
        <v>6915</v>
      </c>
      <c r="F31" s="43" t="s">
        <v>6916</v>
      </c>
      <c r="G31" s="43" t="s">
        <v>5882</v>
      </c>
      <c r="H31" s="26">
        <v>3.056449301E9</v>
      </c>
      <c r="I31" s="18">
        <f t="shared" si="1"/>
        <v>45964</v>
      </c>
      <c r="J31" s="19" t="s">
        <v>28</v>
      </c>
      <c r="K31" s="19" t="s">
        <v>5170</v>
      </c>
      <c r="L31" s="19"/>
    </row>
    <row r="32" ht="22.5" customHeight="1">
      <c r="C32" s="23" t="s">
        <v>6906</v>
      </c>
      <c r="D32" s="24" t="s">
        <v>6917</v>
      </c>
      <c r="E32" s="43" t="s">
        <v>6918</v>
      </c>
      <c r="F32" s="43" t="s">
        <v>6919</v>
      </c>
      <c r="G32" s="43" t="s">
        <v>6920</v>
      </c>
      <c r="H32" s="49" t="s">
        <v>6921</v>
      </c>
      <c r="I32" s="18">
        <f t="shared" si="1"/>
        <v>45964</v>
      </c>
      <c r="J32" s="19" t="s">
        <v>28</v>
      </c>
      <c r="K32" s="19" t="s">
        <v>5170</v>
      </c>
      <c r="L32" s="19"/>
    </row>
    <row r="33" ht="22.5" customHeight="1">
      <c r="C33" s="23" t="s">
        <v>6906</v>
      </c>
      <c r="D33" s="24" t="s">
        <v>6922</v>
      </c>
      <c r="E33" s="43" t="s">
        <v>6923</v>
      </c>
      <c r="F33" s="43" t="s">
        <v>1419</v>
      </c>
      <c r="G33" s="43" t="s">
        <v>5878</v>
      </c>
      <c r="H33" s="49" t="s">
        <v>6924</v>
      </c>
      <c r="I33" s="18">
        <f t="shared" si="1"/>
        <v>45964</v>
      </c>
      <c r="J33" s="19" t="s">
        <v>28</v>
      </c>
      <c r="K33" s="19" t="s">
        <v>5170</v>
      </c>
      <c r="L33" s="19"/>
    </row>
    <row r="34" ht="22.5" customHeight="1">
      <c r="C34" s="23" t="s">
        <v>6906</v>
      </c>
      <c r="D34" s="24" t="s">
        <v>6925</v>
      </c>
      <c r="E34" s="43" t="s">
        <v>6926</v>
      </c>
      <c r="F34" s="43" t="s">
        <v>872</v>
      </c>
      <c r="G34" s="43" t="s">
        <v>5929</v>
      </c>
      <c r="H34" s="26">
        <v>3.057932567E9</v>
      </c>
      <c r="I34" s="18">
        <f t="shared" si="1"/>
        <v>45964</v>
      </c>
      <c r="J34" s="19" t="s">
        <v>28</v>
      </c>
      <c r="K34" s="19" t="s">
        <v>5170</v>
      </c>
      <c r="L34" s="19" t="s">
        <v>99</v>
      </c>
    </row>
    <row r="35" ht="22.5" customHeight="1">
      <c r="C35" s="23" t="s">
        <v>6906</v>
      </c>
      <c r="D35" s="24" t="s">
        <v>6927</v>
      </c>
      <c r="E35" s="43" t="s">
        <v>6928</v>
      </c>
      <c r="F35" s="43" t="s">
        <v>6929</v>
      </c>
      <c r="G35" s="43" t="s">
        <v>5866</v>
      </c>
      <c r="H35" s="49" t="s">
        <v>6930</v>
      </c>
      <c r="I35" s="18">
        <f t="shared" si="1"/>
        <v>45964</v>
      </c>
      <c r="J35" s="19" t="s">
        <v>28</v>
      </c>
      <c r="K35" s="19" t="s">
        <v>5170</v>
      </c>
      <c r="L35" s="19"/>
    </row>
    <row r="36" ht="22.5" customHeight="1">
      <c r="C36" s="23" t="s">
        <v>6906</v>
      </c>
      <c r="D36" s="24" t="s">
        <v>6931</v>
      </c>
      <c r="E36" s="43" t="s">
        <v>6932</v>
      </c>
      <c r="F36" s="43" t="s">
        <v>6933</v>
      </c>
      <c r="G36" s="43" t="s">
        <v>5874</v>
      </c>
      <c r="H36" s="26">
        <v>3.058593035E9</v>
      </c>
      <c r="I36" s="18">
        <f t="shared" si="1"/>
        <v>45964</v>
      </c>
      <c r="J36" s="19" t="s">
        <v>28</v>
      </c>
      <c r="K36" s="19" t="s">
        <v>5170</v>
      </c>
      <c r="L36" s="19" t="s">
        <v>99</v>
      </c>
    </row>
    <row r="37" ht="22.5" customHeight="1">
      <c r="C37" s="23" t="s">
        <v>6906</v>
      </c>
      <c r="D37" s="24" t="s">
        <v>6934</v>
      </c>
      <c r="E37" s="43" t="s">
        <v>6935</v>
      </c>
      <c r="F37" s="43" t="s">
        <v>6936</v>
      </c>
      <c r="G37" s="43" t="s">
        <v>5900</v>
      </c>
      <c r="H37" s="49" t="s">
        <v>6937</v>
      </c>
      <c r="I37" s="18">
        <f t="shared" si="1"/>
        <v>45964</v>
      </c>
      <c r="J37" s="19" t="s">
        <v>28</v>
      </c>
      <c r="K37" s="19" t="s">
        <v>5170</v>
      </c>
      <c r="L37" s="19"/>
    </row>
    <row r="38" ht="22.5" customHeight="1">
      <c r="C38" s="23" t="s">
        <v>6906</v>
      </c>
      <c r="D38" s="24" t="s">
        <v>6938</v>
      </c>
      <c r="E38" s="43" t="s">
        <v>6939</v>
      </c>
      <c r="F38" s="43" t="s">
        <v>6940</v>
      </c>
      <c r="G38" s="43" t="s">
        <v>5908</v>
      </c>
      <c r="H38" s="49" t="s">
        <v>6941</v>
      </c>
      <c r="I38" s="18">
        <f t="shared" si="1"/>
        <v>45964</v>
      </c>
      <c r="J38" s="19" t="s">
        <v>28</v>
      </c>
      <c r="K38" s="19" t="s">
        <v>5170</v>
      </c>
      <c r="L38" s="19"/>
    </row>
    <row r="39" ht="22.5" customHeight="1">
      <c r="C39" s="23" t="s">
        <v>6906</v>
      </c>
      <c r="D39" s="24" t="s">
        <v>6942</v>
      </c>
      <c r="E39" s="43" t="s">
        <v>6943</v>
      </c>
      <c r="F39" s="48" t="s">
        <v>6944</v>
      </c>
      <c r="G39" s="43" t="s">
        <v>6284</v>
      </c>
      <c r="H39" s="49" t="s">
        <v>6945</v>
      </c>
      <c r="I39" s="18">
        <f t="shared" si="1"/>
        <v>45964</v>
      </c>
      <c r="J39" s="19" t="s">
        <v>28</v>
      </c>
      <c r="K39" s="19" t="s">
        <v>5170</v>
      </c>
      <c r="L39" s="19"/>
    </row>
    <row r="40" ht="22.5" customHeight="1">
      <c r="C40" s="23" t="s">
        <v>6906</v>
      </c>
      <c r="D40" s="24" t="s">
        <v>6946</v>
      </c>
      <c r="E40" s="43" t="s">
        <v>6947</v>
      </c>
      <c r="F40" s="43" t="s">
        <v>6948</v>
      </c>
      <c r="G40" s="43" t="s">
        <v>6949</v>
      </c>
      <c r="H40" s="49" t="s">
        <v>6950</v>
      </c>
      <c r="I40" s="18">
        <f t="shared" si="1"/>
        <v>45964</v>
      </c>
      <c r="J40" s="19" t="s">
        <v>28</v>
      </c>
      <c r="K40" s="19" t="s">
        <v>5170</v>
      </c>
      <c r="L40" s="19"/>
    </row>
    <row r="41" ht="22.5" customHeight="1">
      <c r="C41" s="23" t="s">
        <v>6951</v>
      </c>
      <c r="D41" s="24" t="s">
        <v>6952</v>
      </c>
      <c r="E41" s="43" t="s">
        <v>6953</v>
      </c>
      <c r="F41" s="43" t="s">
        <v>182</v>
      </c>
      <c r="G41" s="43" t="s">
        <v>5939</v>
      </c>
      <c r="H41" s="26">
        <v>9.542929759E9</v>
      </c>
      <c r="I41" s="18">
        <f t="shared" si="1"/>
        <v>45964</v>
      </c>
      <c r="J41" s="19" t="s">
        <v>28</v>
      </c>
      <c r="K41" s="19" t="s">
        <v>5170</v>
      </c>
      <c r="L41" s="19"/>
    </row>
    <row r="42" ht="22.5" customHeight="1">
      <c r="C42" s="23" t="s">
        <v>6951</v>
      </c>
      <c r="D42" s="24" t="s">
        <v>6954</v>
      </c>
      <c r="E42" s="43" t="s">
        <v>6955</v>
      </c>
      <c r="F42" s="43" t="s">
        <v>6956</v>
      </c>
      <c r="G42" s="43" t="s">
        <v>6957</v>
      </c>
      <c r="H42" s="49" t="s">
        <v>6958</v>
      </c>
      <c r="I42" s="18">
        <f t="shared" si="1"/>
        <v>45964</v>
      </c>
      <c r="J42" s="19" t="s">
        <v>28</v>
      </c>
      <c r="K42" s="19" t="s">
        <v>5170</v>
      </c>
      <c r="L42" s="19"/>
    </row>
    <row r="43" ht="22.5" customHeight="1">
      <c r="C43" s="23" t="s">
        <v>6951</v>
      </c>
      <c r="D43" s="24" t="s">
        <v>6959</v>
      </c>
      <c r="E43" s="43" t="s">
        <v>6960</v>
      </c>
      <c r="F43" s="43" t="s">
        <v>309</v>
      </c>
      <c r="G43" s="43" t="s">
        <v>5878</v>
      </c>
      <c r="H43" s="49" t="s">
        <v>6961</v>
      </c>
      <c r="I43" s="18">
        <f t="shared" si="1"/>
        <v>45964</v>
      </c>
      <c r="J43" s="19" t="s">
        <v>28</v>
      </c>
      <c r="K43" s="19" t="s">
        <v>5170</v>
      </c>
      <c r="L43" s="19"/>
    </row>
    <row r="44" ht="22.5" customHeight="1">
      <c r="C44" s="23" t="s">
        <v>6951</v>
      </c>
      <c r="D44" s="24" t="s">
        <v>6962</v>
      </c>
      <c r="E44" s="43" t="s">
        <v>6963</v>
      </c>
      <c r="F44" s="43" t="s">
        <v>4286</v>
      </c>
      <c r="G44" s="43" t="s">
        <v>5866</v>
      </c>
      <c r="H44" s="49" t="s">
        <v>6964</v>
      </c>
      <c r="I44" s="18">
        <f t="shared" si="1"/>
        <v>45964</v>
      </c>
      <c r="J44" s="19" t="s">
        <v>28</v>
      </c>
      <c r="K44" s="19" t="s">
        <v>5170</v>
      </c>
      <c r="L44" s="19"/>
    </row>
    <row r="45" ht="22.5" customHeight="1">
      <c r="C45" s="23" t="s">
        <v>6951</v>
      </c>
      <c r="D45" s="24" t="s">
        <v>6965</v>
      </c>
      <c r="E45" s="43" t="s">
        <v>6966</v>
      </c>
      <c r="F45" s="43" t="s">
        <v>6967</v>
      </c>
      <c r="G45" s="43" t="s">
        <v>5870</v>
      </c>
      <c r="H45" s="49" t="s">
        <v>6968</v>
      </c>
      <c r="I45" s="18">
        <f t="shared" si="1"/>
        <v>45964</v>
      </c>
      <c r="J45" s="19" t="s">
        <v>28</v>
      </c>
      <c r="K45" s="19" t="s">
        <v>5170</v>
      </c>
      <c r="L45" s="19"/>
    </row>
    <row r="46" ht="22.5" customHeight="1">
      <c r="C46" s="23" t="s">
        <v>6951</v>
      </c>
      <c r="D46" s="24" t="s">
        <v>6969</v>
      </c>
      <c r="E46" s="43" t="s">
        <v>6970</v>
      </c>
      <c r="F46" s="43" t="s">
        <v>6971</v>
      </c>
      <c r="G46" s="43" t="s">
        <v>6949</v>
      </c>
      <c r="H46" s="49" t="s">
        <v>182</v>
      </c>
      <c r="I46" s="18">
        <f t="shared" si="1"/>
        <v>45964</v>
      </c>
      <c r="J46" s="19" t="s">
        <v>28</v>
      </c>
      <c r="K46" s="19" t="s">
        <v>5170</v>
      </c>
      <c r="L46" s="19"/>
    </row>
    <row r="47" ht="22.5" customHeight="1">
      <c r="C47" s="23" t="s">
        <v>6951</v>
      </c>
      <c r="D47" s="24" t="s">
        <v>6972</v>
      </c>
      <c r="E47" s="43" t="s">
        <v>6973</v>
      </c>
      <c r="F47" s="43" t="s">
        <v>182</v>
      </c>
      <c r="G47" s="43" t="s">
        <v>5862</v>
      </c>
      <c r="H47" s="26">
        <v>3.059873053E9</v>
      </c>
      <c r="I47" s="18">
        <f t="shared" si="1"/>
        <v>45964</v>
      </c>
      <c r="J47" s="19" t="s">
        <v>28</v>
      </c>
      <c r="K47" s="19" t="s">
        <v>5170</v>
      </c>
      <c r="L47" s="19"/>
    </row>
    <row r="48" ht="22.5" customHeight="1">
      <c r="C48" s="23" t="s">
        <v>6951</v>
      </c>
      <c r="D48" s="24" t="s">
        <v>6974</v>
      </c>
      <c r="E48" s="43" t="s">
        <v>6975</v>
      </c>
      <c r="F48" s="43" t="s">
        <v>6976</v>
      </c>
      <c r="G48" s="43" t="s">
        <v>6977</v>
      </c>
      <c r="H48" s="26">
        <v>6.093200075E9</v>
      </c>
      <c r="I48" s="18">
        <f t="shared" si="1"/>
        <v>45964</v>
      </c>
      <c r="J48" s="19" t="s">
        <v>28</v>
      </c>
      <c r="K48" s="19" t="s">
        <v>5170</v>
      </c>
      <c r="L48" s="19"/>
    </row>
    <row r="49" ht="22.5" customHeight="1">
      <c r="C49" s="23" t="s">
        <v>6951</v>
      </c>
      <c r="D49" s="24" t="s">
        <v>6978</v>
      </c>
      <c r="E49" s="43" t="s">
        <v>6979</v>
      </c>
      <c r="F49" s="43" t="s">
        <v>381</v>
      </c>
      <c r="G49" s="43" t="s">
        <v>6004</v>
      </c>
      <c r="H49" s="26">
        <v>3.054961099E9</v>
      </c>
      <c r="I49" s="18">
        <f t="shared" si="1"/>
        <v>45964</v>
      </c>
      <c r="J49" s="19" t="s">
        <v>28</v>
      </c>
      <c r="K49" s="19" t="s">
        <v>5170</v>
      </c>
      <c r="L49" s="19"/>
    </row>
    <row r="50" ht="22.5" customHeight="1">
      <c r="C50" s="23" t="s">
        <v>6951</v>
      </c>
      <c r="D50" s="24" t="s">
        <v>6980</v>
      </c>
      <c r="E50" s="43" t="s">
        <v>6981</v>
      </c>
      <c r="F50" s="43" t="s">
        <v>6982</v>
      </c>
      <c r="G50" s="43" t="s">
        <v>460</v>
      </c>
      <c r="H50" s="26">
        <v>3.057783068E9</v>
      </c>
      <c r="I50" s="18">
        <f t="shared" si="1"/>
        <v>45964</v>
      </c>
      <c r="J50" s="19" t="s">
        <v>28</v>
      </c>
      <c r="K50" s="19" t="s">
        <v>5170</v>
      </c>
      <c r="L50" s="19"/>
    </row>
    <row r="51" ht="22.5" customHeight="1">
      <c r="C51" s="23" t="s">
        <v>6951</v>
      </c>
      <c r="D51" s="24" t="s">
        <v>6983</v>
      </c>
      <c r="E51" s="43" t="s">
        <v>6984</v>
      </c>
      <c r="F51" s="43" t="s">
        <v>6671</v>
      </c>
      <c r="G51" s="43" t="s">
        <v>6985</v>
      </c>
      <c r="H51" s="26">
        <v>3.05849758E9</v>
      </c>
      <c r="I51" s="18">
        <f t="shared" si="1"/>
        <v>45964</v>
      </c>
      <c r="J51" s="19" t="s">
        <v>28</v>
      </c>
      <c r="K51" s="19" t="s">
        <v>5170</v>
      </c>
      <c r="L51" s="19"/>
    </row>
    <row r="52" ht="22.5" customHeight="1">
      <c r="C52" s="23" t="s">
        <v>6951</v>
      </c>
      <c r="D52" s="24" t="s">
        <v>6986</v>
      </c>
      <c r="E52" s="43" t="s">
        <v>6987</v>
      </c>
      <c r="F52" s="43" t="s">
        <v>6988</v>
      </c>
      <c r="G52" s="43" t="s">
        <v>5929</v>
      </c>
      <c r="H52" s="26">
        <v>2.018354622E9</v>
      </c>
      <c r="I52" s="18">
        <f t="shared" si="1"/>
        <v>45964</v>
      </c>
      <c r="J52" s="19" t="s">
        <v>28</v>
      </c>
      <c r="K52" s="19" t="s">
        <v>5170</v>
      </c>
      <c r="L52" s="19"/>
    </row>
    <row r="53" ht="22.5" customHeight="1">
      <c r="C53" s="23" t="s">
        <v>6951</v>
      </c>
      <c r="D53" s="24" t="s">
        <v>6989</v>
      </c>
      <c r="E53" s="43" t="s">
        <v>6990</v>
      </c>
      <c r="F53" s="43" t="s">
        <v>6991</v>
      </c>
      <c r="G53" s="43" t="s">
        <v>6992</v>
      </c>
      <c r="H53" s="26">
        <v>7.862168754E9</v>
      </c>
      <c r="I53" s="18">
        <f t="shared" si="1"/>
        <v>45964</v>
      </c>
      <c r="J53" s="19" t="s">
        <v>28</v>
      </c>
      <c r="K53" s="19" t="s">
        <v>5170</v>
      </c>
      <c r="L53" s="19" t="s">
        <v>148</v>
      </c>
    </row>
    <row r="54" ht="22.5" customHeight="1">
      <c r="C54" s="23" t="s">
        <v>6951</v>
      </c>
      <c r="D54" s="24" t="s">
        <v>6993</v>
      </c>
      <c r="E54" s="43" t="s">
        <v>6994</v>
      </c>
      <c r="F54" s="43" t="s">
        <v>6995</v>
      </c>
      <c r="G54" s="43" t="s">
        <v>5846</v>
      </c>
      <c r="H54" s="26">
        <v>7.862109698E9</v>
      </c>
      <c r="I54" s="18">
        <f t="shared" si="1"/>
        <v>45964</v>
      </c>
      <c r="J54" s="19" t="s">
        <v>28</v>
      </c>
      <c r="K54" s="19" t="s">
        <v>5170</v>
      </c>
      <c r="L54" s="19"/>
    </row>
    <row r="55" ht="22.5" customHeight="1">
      <c r="C55" s="23" t="s">
        <v>6951</v>
      </c>
      <c r="D55" s="24" t="s">
        <v>6996</v>
      </c>
      <c r="E55" s="43" t="s">
        <v>6997</v>
      </c>
      <c r="F55" s="43" t="s">
        <v>6998</v>
      </c>
      <c r="G55" s="43" t="s">
        <v>6241</v>
      </c>
      <c r="H55" s="26">
        <v>7.86970045E9</v>
      </c>
      <c r="I55" s="18">
        <f t="shared" si="1"/>
        <v>45964</v>
      </c>
      <c r="J55" s="19" t="s">
        <v>28</v>
      </c>
      <c r="K55" s="19" t="s">
        <v>5170</v>
      </c>
      <c r="L55" s="19"/>
    </row>
    <row r="56" ht="22.5" customHeight="1">
      <c r="C56" s="23" t="s">
        <v>6951</v>
      </c>
      <c r="D56" s="24" t="s">
        <v>6999</v>
      </c>
      <c r="E56" s="43" t="s">
        <v>7000</v>
      </c>
      <c r="F56" s="43" t="s">
        <v>7001</v>
      </c>
      <c r="G56" s="43" t="s">
        <v>7002</v>
      </c>
      <c r="H56" s="49" t="s">
        <v>7003</v>
      </c>
      <c r="I56" s="18">
        <f t="shared" si="1"/>
        <v>45964</v>
      </c>
      <c r="J56" s="19" t="s">
        <v>28</v>
      </c>
      <c r="K56" s="19" t="s">
        <v>5170</v>
      </c>
      <c r="L56" s="19"/>
    </row>
    <row r="57" ht="22.5" customHeight="1">
      <c r="C57" s="23" t="s">
        <v>6951</v>
      </c>
      <c r="D57" s="24" t="s">
        <v>7004</v>
      </c>
      <c r="E57" s="43" t="s">
        <v>7005</v>
      </c>
      <c r="F57" s="43" t="s">
        <v>7006</v>
      </c>
      <c r="G57" s="43" t="s">
        <v>6376</v>
      </c>
      <c r="H57" s="26">
        <v>3.05562032E9</v>
      </c>
      <c r="I57" s="18">
        <f t="shared" si="1"/>
        <v>45964</v>
      </c>
      <c r="J57" s="19" t="s">
        <v>28</v>
      </c>
      <c r="K57" s="19" t="s">
        <v>5170</v>
      </c>
      <c r="L57" s="19"/>
    </row>
    <row r="58" ht="22.5" customHeight="1">
      <c r="C58" s="23" t="s">
        <v>6951</v>
      </c>
      <c r="D58" s="24" t="s">
        <v>7007</v>
      </c>
      <c r="E58" s="43" t="s">
        <v>7008</v>
      </c>
      <c r="F58" s="43" t="s">
        <v>7009</v>
      </c>
      <c r="G58" s="43" t="s">
        <v>7010</v>
      </c>
      <c r="H58" s="49" t="s">
        <v>7011</v>
      </c>
      <c r="I58" s="18">
        <f t="shared" si="1"/>
        <v>45964</v>
      </c>
      <c r="J58" s="19" t="s">
        <v>28</v>
      </c>
      <c r="K58" s="19" t="s">
        <v>5170</v>
      </c>
      <c r="L58" s="19"/>
    </row>
    <row r="59" ht="22.5" customHeight="1">
      <c r="C59" s="23" t="s">
        <v>6951</v>
      </c>
      <c r="D59" s="24" t="s">
        <v>7012</v>
      </c>
      <c r="E59" s="43" t="s">
        <v>7013</v>
      </c>
      <c r="F59" s="43" t="s">
        <v>7014</v>
      </c>
      <c r="G59" s="43" t="s">
        <v>5949</v>
      </c>
      <c r="H59" s="26">
        <v>3.059156625E9</v>
      </c>
      <c r="I59" s="18">
        <f t="shared" si="1"/>
        <v>45964</v>
      </c>
      <c r="J59" s="19" t="s">
        <v>28</v>
      </c>
      <c r="K59" s="19" t="s">
        <v>5170</v>
      </c>
      <c r="L59" s="19"/>
    </row>
    <row r="60" ht="22.5" customHeight="1">
      <c r="C60" s="23" t="s">
        <v>6951</v>
      </c>
      <c r="D60" s="24" t="s">
        <v>7015</v>
      </c>
      <c r="E60" s="43" t="s">
        <v>7016</v>
      </c>
      <c r="F60" s="43" t="s">
        <v>7017</v>
      </c>
      <c r="G60" s="43" t="s">
        <v>6422</v>
      </c>
      <c r="H60" s="26">
        <v>3.106069559E9</v>
      </c>
      <c r="I60" s="18">
        <f t="shared" si="1"/>
        <v>45964</v>
      </c>
      <c r="J60" s="19" t="s">
        <v>28</v>
      </c>
      <c r="K60" s="19" t="s">
        <v>5170</v>
      </c>
      <c r="L60" s="19"/>
    </row>
    <row r="61" ht="22.5" customHeight="1">
      <c r="C61" s="23" t="s">
        <v>6951</v>
      </c>
      <c r="D61" s="24" t="s">
        <v>7018</v>
      </c>
      <c r="E61" s="43" t="s">
        <v>7019</v>
      </c>
      <c r="F61" s="43" t="s">
        <v>7020</v>
      </c>
      <c r="G61" s="43" t="s">
        <v>7021</v>
      </c>
      <c r="H61" s="49" t="s">
        <v>7022</v>
      </c>
      <c r="I61" s="18">
        <f t="shared" si="1"/>
        <v>45964</v>
      </c>
      <c r="J61" s="19" t="s">
        <v>28</v>
      </c>
      <c r="K61" s="19" t="s">
        <v>5170</v>
      </c>
      <c r="L61" s="19"/>
    </row>
    <row r="62" ht="22.5" customHeight="1">
      <c r="C62" s="23" t="s">
        <v>6951</v>
      </c>
      <c r="D62" s="24" t="s">
        <v>7023</v>
      </c>
      <c r="E62" s="43" t="s">
        <v>7024</v>
      </c>
      <c r="F62" s="43" t="s">
        <v>7025</v>
      </c>
      <c r="G62" s="43" t="s">
        <v>7021</v>
      </c>
      <c r="H62" s="49" t="s">
        <v>7026</v>
      </c>
      <c r="I62" s="18">
        <f t="shared" si="1"/>
        <v>45964</v>
      </c>
      <c r="J62" s="19" t="s">
        <v>28</v>
      </c>
      <c r="K62" s="19" t="s">
        <v>5170</v>
      </c>
      <c r="L62" s="19"/>
    </row>
    <row r="63" ht="22.5" customHeight="1">
      <c r="C63" s="23" t="s">
        <v>6951</v>
      </c>
      <c r="D63" s="24" t="s">
        <v>7027</v>
      </c>
      <c r="E63" s="43" t="s">
        <v>7028</v>
      </c>
      <c r="F63" s="43" t="s">
        <v>7029</v>
      </c>
      <c r="G63" s="43" t="s">
        <v>7030</v>
      </c>
      <c r="H63" s="26">
        <v>3.475466746E9</v>
      </c>
      <c r="I63" s="18">
        <f t="shared" si="1"/>
        <v>45964</v>
      </c>
      <c r="J63" s="19" t="s">
        <v>28</v>
      </c>
      <c r="K63" s="19" t="s">
        <v>5170</v>
      </c>
      <c r="L63" s="19"/>
    </row>
    <row r="64" ht="22.5" customHeight="1">
      <c r="C64" s="23" t="s">
        <v>6951</v>
      </c>
      <c r="D64" s="24" t="s">
        <v>7031</v>
      </c>
      <c r="E64" s="43" t="s">
        <v>7032</v>
      </c>
      <c r="F64" s="43" t="s">
        <v>7033</v>
      </c>
      <c r="G64" s="43" t="s">
        <v>7034</v>
      </c>
      <c r="H64" s="49" t="s">
        <v>7035</v>
      </c>
      <c r="I64" s="18">
        <f t="shared" si="1"/>
        <v>45964</v>
      </c>
      <c r="J64" s="19" t="s">
        <v>28</v>
      </c>
      <c r="K64" s="19" t="s">
        <v>5170</v>
      </c>
      <c r="L64" s="19"/>
    </row>
    <row r="65" ht="22.5" customHeight="1">
      <c r="C65" s="23" t="s">
        <v>6951</v>
      </c>
      <c r="D65" s="24" t="s">
        <v>7036</v>
      </c>
      <c r="E65" s="43" t="s">
        <v>7037</v>
      </c>
      <c r="F65" s="43" t="s">
        <v>7038</v>
      </c>
      <c r="G65" s="43" t="s">
        <v>7039</v>
      </c>
      <c r="H65" s="26">
        <v>6.464105168E9</v>
      </c>
      <c r="I65" s="18">
        <f t="shared" si="1"/>
        <v>45964</v>
      </c>
      <c r="J65" s="19" t="s">
        <v>28</v>
      </c>
      <c r="K65" s="19" t="s">
        <v>5170</v>
      </c>
      <c r="L65" s="19"/>
    </row>
    <row r="66" ht="22.5" customHeight="1">
      <c r="C66" s="23" t="s">
        <v>6951</v>
      </c>
      <c r="D66" s="24" t="s">
        <v>7040</v>
      </c>
      <c r="E66" s="43" t="s">
        <v>7041</v>
      </c>
      <c r="F66" s="43" t="s">
        <v>830</v>
      </c>
      <c r="G66" s="43" t="s">
        <v>6160</v>
      </c>
      <c r="H66" s="26">
        <v>3.055102703E9</v>
      </c>
      <c r="I66" s="18">
        <f t="shared" si="1"/>
        <v>45964</v>
      </c>
      <c r="J66" s="19" t="s">
        <v>28</v>
      </c>
      <c r="K66" s="19" t="s">
        <v>5170</v>
      </c>
      <c r="L66" s="19"/>
    </row>
    <row r="67" ht="22.5" customHeight="1">
      <c r="C67" s="23" t="s">
        <v>6951</v>
      </c>
      <c r="D67" s="24" t="s">
        <v>7042</v>
      </c>
      <c r="E67" s="43" t="s">
        <v>7043</v>
      </c>
      <c r="F67" s="43" t="s">
        <v>182</v>
      </c>
      <c r="G67" s="43" t="s">
        <v>5900</v>
      </c>
      <c r="H67" s="26">
        <v>9.546497557E9</v>
      </c>
      <c r="I67" s="18">
        <f t="shared" si="1"/>
        <v>45964</v>
      </c>
      <c r="J67" s="19" t="s">
        <v>28</v>
      </c>
      <c r="K67" s="19" t="s">
        <v>5170</v>
      </c>
      <c r="L67" s="19"/>
    </row>
    <row r="68" ht="22.5" customHeight="1">
      <c r="C68" s="23" t="s">
        <v>6951</v>
      </c>
      <c r="D68" s="24" t="s">
        <v>7044</v>
      </c>
      <c r="E68" s="43" t="s">
        <v>7045</v>
      </c>
      <c r="F68" s="43" t="s">
        <v>7046</v>
      </c>
      <c r="G68" s="43" t="s">
        <v>6459</v>
      </c>
      <c r="H68" s="26">
        <v>7.867997779E9</v>
      </c>
      <c r="I68" s="18">
        <f t="shared" si="1"/>
        <v>45964</v>
      </c>
      <c r="J68" s="19" t="s">
        <v>28</v>
      </c>
      <c r="K68" s="19" t="s">
        <v>5170</v>
      </c>
      <c r="L68" s="19"/>
    </row>
    <row r="69" ht="22.5" customHeight="1">
      <c r="C69" s="23" t="s">
        <v>6951</v>
      </c>
      <c r="D69" s="24" t="s">
        <v>7047</v>
      </c>
      <c r="E69" s="43" t="s">
        <v>7048</v>
      </c>
      <c r="F69" s="43" t="s">
        <v>7049</v>
      </c>
      <c r="G69" s="43" t="s">
        <v>6113</v>
      </c>
      <c r="H69" s="26">
        <v>3.052440709E9</v>
      </c>
      <c r="I69" s="18">
        <f t="shared" si="1"/>
        <v>45964</v>
      </c>
      <c r="J69" s="19" t="s">
        <v>28</v>
      </c>
      <c r="K69" s="19" t="s">
        <v>5170</v>
      </c>
      <c r="L69" s="19"/>
    </row>
    <row r="70" ht="22.5" customHeight="1">
      <c r="C70" s="23" t="s">
        <v>6951</v>
      </c>
      <c r="D70" s="24" t="s">
        <v>7050</v>
      </c>
      <c r="E70" s="43" t="s">
        <v>7051</v>
      </c>
      <c r="F70" s="43" t="s">
        <v>7052</v>
      </c>
      <c r="G70" s="43" t="s">
        <v>6548</v>
      </c>
      <c r="H70" s="49" t="s">
        <v>7053</v>
      </c>
      <c r="I70" s="18">
        <f t="shared" si="1"/>
        <v>45964</v>
      </c>
      <c r="J70" s="19" t="s">
        <v>28</v>
      </c>
      <c r="K70" s="19" t="s">
        <v>5170</v>
      </c>
      <c r="L70" s="19"/>
    </row>
    <row r="71" ht="22.5" customHeight="1">
      <c r="C71" s="23" t="s">
        <v>6951</v>
      </c>
      <c r="D71" s="24" t="s">
        <v>7054</v>
      </c>
      <c r="E71" s="43" t="s">
        <v>7055</v>
      </c>
      <c r="F71" s="43" t="s">
        <v>7056</v>
      </c>
      <c r="G71" s="43" t="s">
        <v>5957</v>
      </c>
      <c r="H71" s="26">
        <v>1.4122150369E10</v>
      </c>
      <c r="I71" s="18">
        <f t="shared" si="1"/>
        <v>45964</v>
      </c>
      <c r="J71" s="19" t="s">
        <v>28</v>
      </c>
      <c r="K71" s="19" t="s">
        <v>5170</v>
      </c>
      <c r="L71" s="19"/>
    </row>
    <row r="72" ht="22.5" customHeight="1">
      <c r="C72" s="23" t="s">
        <v>6951</v>
      </c>
      <c r="D72" s="24" t="s">
        <v>7057</v>
      </c>
      <c r="E72" s="43" t="s">
        <v>7058</v>
      </c>
      <c r="F72" s="43" t="s">
        <v>7059</v>
      </c>
      <c r="G72" s="43" t="s">
        <v>7060</v>
      </c>
      <c r="H72" s="49" t="s">
        <v>7061</v>
      </c>
      <c r="I72" s="18">
        <f t="shared" si="1"/>
        <v>45964</v>
      </c>
      <c r="J72" s="19" t="s">
        <v>28</v>
      </c>
      <c r="K72" s="19" t="s">
        <v>5170</v>
      </c>
      <c r="L72" s="19"/>
    </row>
    <row r="73" ht="22.5" customHeight="1">
      <c r="C73" s="23" t="s">
        <v>6951</v>
      </c>
      <c r="D73" s="24" t="s">
        <v>7062</v>
      </c>
      <c r="E73" s="43" t="s">
        <v>925</v>
      </c>
      <c r="F73" s="43" t="s">
        <v>818</v>
      </c>
      <c r="G73" s="43" t="s">
        <v>5953</v>
      </c>
      <c r="H73" s="26">
        <v>7.866024923E9</v>
      </c>
      <c r="I73" s="18">
        <f t="shared" si="1"/>
        <v>45964</v>
      </c>
      <c r="J73" s="19" t="s">
        <v>28</v>
      </c>
      <c r="K73" s="19" t="s">
        <v>5170</v>
      </c>
      <c r="L73" s="19"/>
    </row>
    <row r="74" ht="22.5" customHeight="1">
      <c r="C74" s="23" t="s">
        <v>6951</v>
      </c>
      <c r="D74" s="24" t="s">
        <v>7063</v>
      </c>
      <c r="E74" s="43" t="s">
        <v>7064</v>
      </c>
      <c r="F74" s="43" t="s">
        <v>7065</v>
      </c>
      <c r="G74" s="43" t="s">
        <v>5882</v>
      </c>
      <c r="H74" s="26">
        <v>7.867039914E9</v>
      </c>
      <c r="I74" s="18">
        <f t="shared" si="1"/>
        <v>45964</v>
      </c>
      <c r="J74" s="19" t="s">
        <v>28</v>
      </c>
      <c r="K74" s="19" t="s">
        <v>5170</v>
      </c>
      <c r="L74" s="19"/>
    </row>
    <row r="75" ht="22.5" customHeight="1">
      <c r="C75" s="23" t="s">
        <v>6951</v>
      </c>
      <c r="D75" s="24" t="s">
        <v>7066</v>
      </c>
      <c r="E75" s="43" t="s">
        <v>7067</v>
      </c>
      <c r="F75" s="43" t="s">
        <v>7068</v>
      </c>
      <c r="G75" s="43" t="s">
        <v>5820</v>
      </c>
      <c r="H75" s="49" t="s">
        <v>7069</v>
      </c>
      <c r="I75" s="18">
        <f t="shared" si="1"/>
        <v>45964</v>
      </c>
      <c r="J75" s="19" t="s">
        <v>28</v>
      </c>
      <c r="K75" s="19" t="s">
        <v>5170</v>
      </c>
      <c r="L75" s="19"/>
    </row>
    <row r="76" ht="22.5" customHeight="1">
      <c r="C76" s="19" t="s">
        <v>7070</v>
      </c>
      <c r="D76" s="19" t="s">
        <v>7071</v>
      </c>
      <c r="E76" s="43" t="s">
        <v>7072</v>
      </c>
      <c r="F76" s="43" t="s">
        <v>7073</v>
      </c>
      <c r="G76" s="43" t="s">
        <v>5882</v>
      </c>
      <c r="H76" s="26">
        <v>3.05998885E9</v>
      </c>
      <c r="I76" s="18">
        <f t="shared" si="1"/>
        <v>45964</v>
      </c>
      <c r="J76" s="19" t="s">
        <v>28</v>
      </c>
      <c r="K76" s="19" t="s">
        <v>5170</v>
      </c>
      <c r="L76" s="19"/>
    </row>
    <row r="77" ht="22.5" customHeight="1">
      <c r="C77" s="19" t="s">
        <v>7070</v>
      </c>
      <c r="D77" s="19" t="s">
        <v>7074</v>
      </c>
      <c r="E77" s="43" t="s">
        <v>7075</v>
      </c>
      <c r="F77" s="43" t="s">
        <v>7076</v>
      </c>
      <c r="G77" s="43" t="s">
        <v>6581</v>
      </c>
      <c r="H77" s="49" t="s">
        <v>7077</v>
      </c>
      <c r="I77" s="18">
        <f t="shared" si="1"/>
        <v>45964</v>
      </c>
      <c r="J77" s="19" t="s">
        <v>28</v>
      </c>
      <c r="K77" s="19" t="s">
        <v>5170</v>
      </c>
      <c r="L77" s="19"/>
    </row>
    <row r="78" ht="22.5" customHeight="1">
      <c r="C78" s="19" t="s">
        <v>7070</v>
      </c>
      <c r="D78" s="19" t="s">
        <v>7078</v>
      </c>
      <c r="E78" s="43" t="s">
        <v>7079</v>
      </c>
      <c r="F78" s="43" t="s">
        <v>7080</v>
      </c>
      <c r="G78" s="43" t="s">
        <v>7081</v>
      </c>
      <c r="H78" s="26">
        <v>9.542045452E9</v>
      </c>
      <c r="I78" s="18">
        <f t="shared" si="1"/>
        <v>45964</v>
      </c>
      <c r="J78" s="19" t="s">
        <v>28</v>
      </c>
      <c r="K78" s="19" t="s">
        <v>5170</v>
      </c>
      <c r="L78" s="19"/>
    </row>
    <row r="79" ht="22.5" customHeight="1">
      <c r="C79" s="19" t="s">
        <v>7070</v>
      </c>
      <c r="D79" s="19" t="s">
        <v>7082</v>
      </c>
      <c r="E79" s="43" t="s">
        <v>7083</v>
      </c>
      <c r="F79" s="43" t="s">
        <v>3706</v>
      </c>
      <c r="G79" s="43" t="s">
        <v>5953</v>
      </c>
      <c r="H79" s="49" t="s">
        <v>7084</v>
      </c>
      <c r="I79" s="18">
        <f t="shared" si="1"/>
        <v>45964</v>
      </c>
      <c r="J79" s="19" t="s">
        <v>28</v>
      </c>
      <c r="K79" s="19" t="s">
        <v>5170</v>
      </c>
      <c r="L79" s="19"/>
    </row>
    <row r="80" ht="22.5" customHeight="1">
      <c r="C80" s="19" t="s">
        <v>7070</v>
      </c>
      <c r="D80" s="19" t="s">
        <v>7085</v>
      </c>
      <c r="E80" s="43" t="s">
        <v>7086</v>
      </c>
      <c r="F80" s="43" t="s">
        <v>7087</v>
      </c>
      <c r="G80" s="43" t="s">
        <v>7088</v>
      </c>
      <c r="H80" s="49" t="s">
        <v>7089</v>
      </c>
      <c r="I80" s="18">
        <f t="shared" si="1"/>
        <v>45964</v>
      </c>
      <c r="J80" s="19" t="s">
        <v>28</v>
      </c>
      <c r="K80" s="19" t="s">
        <v>5170</v>
      </c>
      <c r="L80" s="19"/>
    </row>
    <row r="81" ht="22.5" customHeight="1">
      <c r="C81" s="19" t="s">
        <v>7070</v>
      </c>
      <c r="D81" s="19" t="s">
        <v>7090</v>
      </c>
      <c r="E81" s="43" t="s">
        <v>7091</v>
      </c>
      <c r="F81" s="43" t="s">
        <v>7092</v>
      </c>
      <c r="G81" s="43" t="s">
        <v>5900</v>
      </c>
      <c r="H81" s="26">
        <v>3.059928815E9</v>
      </c>
      <c r="I81" s="18">
        <f t="shared" si="1"/>
        <v>45964</v>
      </c>
      <c r="J81" s="19" t="s">
        <v>28</v>
      </c>
      <c r="K81" s="19" t="s">
        <v>5170</v>
      </c>
      <c r="L81" s="19"/>
    </row>
    <row r="82" ht="22.5" customHeight="1">
      <c r="C82" s="19" t="s">
        <v>7070</v>
      </c>
      <c r="D82" s="19" t="s">
        <v>7093</v>
      </c>
      <c r="E82" s="43" t="s">
        <v>7094</v>
      </c>
      <c r="F82" s="43" t="s">
        <v>7094</v>
      </c>
      <c r="G82" s="43" t="s">
        <v>6063</v>
      </c>
      <c r="H82" s="26">
        <v>3.05308004E9</v>
      </c>
      <c r="I82" s="18">
        <f t="shared" si="1"/>
        <v>45964</v>
      </c>
      <c r="J82" s="19" t="s">
        <v>28</v>
      </c>
      <c r="K82" s="19" t="s">
        <v>5170</v>
      </c>
      <c r="L82" s="19"/>
    </row>
    <row r="83" ht="22.5" customHeight="1">
      <c r="C83" s="19" t="s">
        <v>7070</v>
      </c>
      <c r="D83" s="19" t="s">
        <v>7095</v>
      </c>
      <c r="E83" s="43" t="s">
        <v>7096</v>
      </c>
      <c r="F83" s="43" t="s">
        <v>7097</v>
      </c>
      <c r="G83" s="43" t="s">
        <v>5878</v>
      </c>
      <c r="H83" s="49" t="s">
        <v>7098</v>
      </c>
      <c r="I83" s="18">
        <f t="shared" si="1"/>
        <v>45964</v>
      </c>
      <c r="J83" s="19" t="s">
        <v>28</v>
      </c>
      <c r="K83" s="19" t="s">
        <v>5170</v>
      </c>
      <c r="L83" s="19"/>
    </row>
    <row r="84" ht="22.5" customHeight="1">
      <c r="C84" s="19" t="s">
        <v>7070</v>
      </c>
      <c r="D84" s="19" t="s">
        <v>7099</v>
      </c>
      <c r="E84" s="43" t="s">
        <v>7100</v>
      </c>
      <c r="F84" s="43" t="s">
        <v>7056</v>
      </c>
      <c r="G84" s="43" t="s">
        <v>5957</v>
      </c>
      <c r="H84" s="49" t="s">
        <v>7101</v>
      </c>
      <c r="I84" s="18">
        <f t="shared" si="1"/>
        <v>45964</v>
      </c>
      <c r="J84" s="19" t="s">
        <v>28</v>
      </c>
      <c r="K84" s="19" t="s">
        <v>5170</v>
      </c>
      <c r="L84" s="19"/>
    </row>
    <row r="85" ht="22.5" customHeight="1">
      <c r="C85" s="19" t="s">
        <v>7070</v>
      </c>
      <c r="D85" s="19" t="s">
        <v>7102</v>
      </c>
      <c r="E85" s="43" t="s">
        <v>7103</v>
      </c>
      <c r="F85" s="43" t="s">
        <v>7104</v>
      </c>
      <c r="G85" s="43" t="s">
        <v>6004</v>
      </c>
      <c r="H85" s="26">
        <v>1.3059011404E10</v>
      </c>
      <c r="I85" s="18">
        <f t="shared" si="1"/>
        <v>45964</v>
      </c>
      <c r="J85" s="19" t="s">
        <v>28</v>
      </c>
      <c r="K85" s="19" t="s">
        <v>5170</v>
      </c>
      <c r="L85" s="19"/>
    </row>
    <row r="86" ht="22.5" customHeight="1">
      <c r="C86" s="19" t="s">
        <v>7070</v>
      </c>
      <c r="D86" s="19" t="s">
        <v>7105</v>
      </c>
      <c r="E86" s="43" t="s">
        <v>7106</v>
      </c>
      <c r="F86" s="43" t="s">
        <v>7107</v>
      </c>
      <c r="G86" s="43" t="s">
        <v>5949</v>
      </c>
      <c r="H86" s="49" t="s">
        <v>7108</v>
      </c>
      <c r="I86" s="18">
        <f t="shared" si="1"/>
        <v>45964</v>
      </c>
      <c r="J86" s="19" t="s">
        <v>28</v>
      </c>
      <c r="K86" s="19" t="s">
        <v>5170</v>
      </c>
      <c r="L86" s="19"/>
    </row>
    <row r="87" ht="22.5" customHeight="1">
      <c r="C87" s="19" t="s">
        <v>7070</v>
      </c>
      <c r="D87" s="19" t="s">
        <v>7109</v>
      </c>
      <c r="E87" s="43" t="s">
        <v>7110</v>
      </c>
      <c r="F87" s="43" t="s">
        <v>3320</v>
      </c>
      <c r="G87" s="43" t="s">
        <v>5866</v>
      </c>
      <c r="H87" s="26">
        <v>6.789336817E9</v>
      </c>
      <c r="I87" s="18">
        <f t="shared" si="1"/>
        <v>45964</v>
      </c>
      <c r="J87" s="19" t="s">
        <v>28</v>
      </c>
      <c r="K87" s="19" t="s">
        <v>5170</v>
      </c>
      <c r="L87" s="19"/>
    </row>
    <row r="88" ht="22.5" customHeight="1">
      <c r="C88" s="19" t="s">
        <v>7070</v>
      </c>
      <c r="D88" s="19" t="s">
        <v>7111</v>
      </c>
      <c r="E88" s="43" t="s">
        <v>7112</v>
      </c>
      <c r="F88" s="43" t="s">
        <v>182</v>
      </c>
      <c r="G88" s="43" t="s">
        <v>6160</v>
      </c>
      <c r="H88" s="49" t="s">
        <v>7113</v>
      </c>
      <c r="I88" s="18">
        <f t="shared" si="1"/>
        <v>45964</v>
      </c>
      <c r="J88" s="19" t="s">
        <v>28</v>
      </c>
      <c r="K88" s="19" t="s">
        <v>5170</v>
      </c>
      <c r="L88" s="19"/>
    </row>
    <row r="89" ht="22.5" customHeight="1">
      <c r="C89" s="19" t="s">
        <v>7070</v>
      </c>
      <c r="D89" s="19" t="s">
        <v>7114</v>
      </c>
      <c r="E89" s="43" t="s">
        <v>7115</v>
      </c>
      <c r="F89" s="43" t="s">
        <v>7116</v>
      </c>
      <c r="G89" s="43" t="s">
        <v>5862</v>
      </c>
      <c r="H89" s="49" t="s">
        <v>7117</v>
      </c>
      <c r="I89" s="18">
        <f t="shared" si="1"/>
        <v>45964</v>
      </c>
      <c r="J89" s="19" t="s">
        <v>28</v>
      </c>
      <c r="K89" s="19" t="s">
        <v>5170</v>
      </c>
      <c r="L89" s="19"/>
    </row>
    <row r="90" ht="22.5" customHeight="1">
      <c r="C90" s="19" t="s">
        <v>7070</v>
      </c>
      <c r="D90" s="19" t="s">
        <v>7118</v>
      </c>
      <c r="E90" s="43" t="s">
        <v>7119</v>
      </c>
      <c r="F90" s="43" t="s">
        <v>7120</v>
      </c>
      <c r="G90" s="43" t="s">
        <v>6348</v>
      </c>
      <c r="H90" s="26">
        <v>9.543306358E9</v>
      </c>
      <c r="I90" s="18">
        <f t="shared" si="1"/>
        <v>45964</v>
      </c>
      <c r="J90" s="19" t="s">
        <v>28</v>
      </c>
      <c r="K90" s="19" t="s">
        <v>5170</v>
      </c>
      <c r="L90" s="19" t="s">
        <v>148</v>
      </c>
    </row>
    <row r="91" ht="22.5" customHeight="1">
      <c r="C91" s="19" t="s">
        <v>7070</v>
      </c>
      <c r="D91" s="19" t="s">
        <v>7121</v>
      </c>
      <c r="E91" s="43" t="s">
        <v>7122</v>
      </c>
      <c r="F91" s="43" t="s">
        <v>7123</v>
      </c>
      <c r="G91" s="43" t="s">
        <v>6098</v>
      </c>
      <c r="H91" s="26">
        <v>9.142990464E9</v>
      </c>
      <c r="I91" s="18">
        <f t="shared" si="1"/>
        <v>45964</v>
      </c>
      <c r="J91" s="19" t="s">
        <v>28</v>
      </c>
      <c r="K91" s="19" t="s">
        <v>5170</v>
      </c>
      <c r="L91" s="19"/>
    </row>
    <row r="92" ht="22.5" customHeight="1">
      <c r="C92" s="19" t="s">
        <v>7070</v>
      </c>
      <c r="D92" s="19" t="s">
        <v>7124</v>
      </c>
      <c r="E92" s="43" t="s">
        <v>7125</v>
      </c>
      <c r="F92" s="43" t="s">
        <v>376</v>
      </c>
      <c r="G92" s="43" t="s">
        <v>5904</v>
      </c>
      <c r="H92" s="49" t="s">
        <v>7126</v>
      </c>
      <c r="I92" s="18">
        <f t="shared" si="1"/>
        <v>45964</v>
      </c>
      <c r="J92" s="19" t="s">
        <v>28</v>
      </c>
      <c r="K92" s="19" t="s">
        <v>5170</v>
      </c>
      <c r="L92" s="19"/>
    </row>
    <row r="93" ht="22.5" customHeight="1">
      <c r="C93" s="19" t="s">
        <v>7070</v>
      </c>
      <c r="D93" s="19" t="s">
        <v>7127</v>
      </c>
      <c r="E93" s="43" t="s">
        <v>7128</v>
      </c>
      <c r="F93" s="43" t="s">
        <v>7129</v>
      </c>
      <c r="G93" s="43" t="s">
        <v>7130</v>
      </c>
      <c r="H93" s="49" t="s">
        <v>7131</v>
      </c>
      <c r="I93" s="18">
        <f t="shared" si="1"/>
        <v>45964</v>
      </c>
      <c r="J93" s="19" t="s">
        <v>28</v>
      </c>
      <c r="K93" s="19" t="s">
        <v>5170</v>
      </c>
      <c r="L93" s="19"/>
    </row>
    <row r="94" ht="22.5" customHeight="1">
      <c r="C94" s="19" t="s">
        <v>7070</v>
      </c>
      <c r="D94" s="19" t="s">
        <v>7132</v>
      </c>
      <c r="E94" s="43" t="s">
        <v>7133</v>
      </c>
      <c r="F94" s="43" t="s">
        <v>7134</v>
      </c>
      <c r="G94" s="43" t="s">
        <v>5962</v>
      </c>
      <c r="H94" s="26">
        <v>1.9177145541E10</v>
      </c>
      <c r="I94" s="18">
        <f t="shared" si="1"/>
        <v>45964</v>
      </c>
      <c r="J94" s="19" t="s">
        <v>28</v>
      </c>
      <c r="K94" s="19" t="s">
        <v>5170</v>
      </c>
      <c r="L94" s="19"/>
    </row>
    <row r="95" ht="22.5" customHeight="1">
      <c r="C95" s="19" t="s">
        <v>7070</v>
      </c>
      <c r="D95" s="19" t="s">
        <v>7135</v>
      </c>
      <c r="E95" s="43" t="s">
        <v>7136</v>
      </c>
      <c r="F95" s="43" t="s">
        <v>7137</v>
      </c>
      <c r="G95" s="43" t="s">
        <v>7138</v>
      </c>
      <c r="H95" s="49" t="s">
        <v>7139</v>
      </c>
      <c r="I95" s="18">
        <f t="shared" si="1"/>
        <v>45964</v>
      </c>
      <c r="J95" s="19" t="s">
        <v>28</v>
      </c>
      <c r="K95" s="19" t="s">
        <v>5170</v>
      </c>
      <c r="L95" s="19"/>
    </row>
    <row r="96" ht="22.5" customHeight="1">
      <c r="C96" s="19" t="s">
        <v>7070</v>
      </c>
      <c r="D96" s="19" t="s">
        <v>7140</v>
      </c>
      <c r="E96" s="43" t="s">
        <v>7141</v>
      </c>
      <c r="F96" s="43" t="s">
        <v>7142</v>
      </c>
      <c r="G96" s="43" t="s">
        <v>7143</v>
      </c>
      <c r="H96" s="49" t="s">
        <v>7144</v>
      </c>
      <c r="I96" s="18">
        <f t="shared" si="1"/>
        <v>45964</v>
      </c>
      <c r="J96" s="19" t="s">
        <v>28</v>
      </c>
      <c r="K96" s="19" t="s">
        <v>5170</v>
      </c>
      <c r="L96" s="19"/>
    </row>
    <row r="97" ht="22.5" customHeight="1">
      <c r="C97" s="19" t="s">
        <v>7070</v>
      </c>
      <c r="D97" s="19" t="s">
        <v>7145</v>
      </c>
      <c r="E97" s="43" t="s">
        <v>7146</v>
      </c>
      <c r="F97" s="43" t="s">
        <v>7147</v>
      </c>
      <c r="G97" s="43" t="s">
        <v>7148</v>
      </c>
      <c r="H97" s="49" t="s">
        <v>7149</v>
      </c>
      <c r="I97" s="18">
        <f t="shared" si="1"/>
        <v>45964</v>
      </c>
      <c r="J97" s="19" t="s">
        <v>28</v>
      </c>
      <c r="K97" s="19" t="s">
        <v>5170</v>
      </c>
      <c r="L97" s="19"/>
    </row>
    <row r="98" ht="22.5" customHeight="1">
      <c r="C98" s="19" t="s">
        <v>7150</v>
      </c>
      <c r="D98" s="19" t="s">
        <v>7151</v>
      </c>
      <c r="E98" s="43" t="s">
        <v>7152</v>
      </c>
      <c r="F98" s="43" t="s">
        <v>7153</v>
      </c>
      <c r="G98" s="43" t="s">
        <v>7154</v>
      </c>
      <c r="H98" s="49" t="s">
        <v>7155</v>
      </c>
      <c r="I98" s="18">
        <f t="shared" si="1"/>
        <v>45964</v>
      </c>
      <c r="J98" s="19" t="s">
        <v>28</v>
      </c>
      <c r="K98" s="19" t="s">
        <v>5170</v>
      </c>
      <c r="L98" s="19"/>
    </row>
    <row r="99" ht="22.5" customHeight="1">
      <c r="C99" s="19" t="s">
        <v>7150</v>
      </c>
      <c r="D99" s="19" t="s">
        <v>7156</v>
      </c>
      <c r="E99" s="43" t="s">
        <v>7157</v>
      </c>
      <c r="F99" s="43" t="s">
        <v>7158</v>
      </c>
      <c r="G99" s="43" t="s">
        <v>7159</v>
      </c>
      <c r="H99" s="49" t="s">
        <v>7160</v>
      </c>
      <c r="I99" s="18">
        <f t="shared" si="1"/>
        <v>45964</v>
      </c>
      <c r="J99" s="19" t="s">
        <v>28</v>
      </c>
      <c r="K99" s="19" t="s">
        <v>5170</v>
      </c>
      <c r="L99" s="19"/>
    </row>
    <row r="100" ht="22.5" customHeight="1">
      <c r="C100" s="19" t="s">
        <v>7150</v>
      </c>
      <c r="D100" s="19" t="s">
        <v>7161</v>
      </c>
      <c r="E100" s="43" t="s">
        <v>7162</v>
      </c>
      <c r="F100" s="43" t="s">
        <v>7163</v>
      </c>
      <c r="G100" s="43" t="s">
        <v>5850</v>
      </c>
      <c r="H100" s="26">
        <v>3.053109042E9</v>
      </c>
      <c r="I100" s="18">
        <f t="shared" si="1"/>
        <v>45964</v>
      </c>
      <c r="J100" s="19" t="s">
        <v>28</v>
      </c>
      <c r="K100" s="19" t="s">
        <v>5170</v>
      </c>
      <c r="L100" s="19"/>
    </row>
    <row r="101" ht="22.5" customHeight="1">
      <c r="C101" s="19" t="s">
        <v>7150</v>
      </c>
      <c r="D101" s="19" t="s">
        <v>7164</v>
      </c>
      <c r="E101" s="43" t="s">
        <v>7165</v>
      </c>
      <c r="F101" s="43" t="s">
        <v>7166</v>
      </c>
      <c r="G101" s="43" t="s">
        <v>460</v>
      </c>
      <c r="H101" s="26">
        <v>3.053353407E9</v>
      </c>
      <c r="I101" s="18">
        <f t="shared" si="1"/>
        <v>45964</v>
      </c>
      <c r="J101" s="19" t="s">
        <v>28</v>
      </c>
      <c r="K101" s="19" t="s">
        <v>5170</v>
      </c>
      <c r="L101" s="19"/>
    </row>
    <row r="102" ht="22.5" customHeight="1">
      <c r="C102" s="19" t="s">
        <v>7150</v>
      </c>
      <c r="D102" s="19" t="s">
        <v>7167</v>
      </c>
      <c r="E102" s="43" t="s">
        <v>7168</v>
      </c>
      <c r="F102" s="43" t="s">
        <v>5877</v>
      </c>
      <c r="G102" s="43" t="s">
        <v>5878</v>
      </c>
      <c r="H102" s="49" t="s">
        <v>7169</v>
      </c>
      <c r="I102" s="18">
        <f t="shared" si="1"/>
        <v>45964</v>
      </c>
      <c r="J102" s="19" t="s">
        <v>28</v>
      </c>
      <c r="K102" s="19" t="s">
        <v>5170</v>
      </c>
      <c r="L102" s="19"/>
    </row>
    <row r="103" ht="22.5" customHeight="1">
      <c r="C103" s="19" t="s">
        <v>7150</v>
      </c>
      <c r="D103" s="19" t="s">
        <v>7170</v>
      </c>
      <c r="E103" s="43" t="s">
        <v>7171</v>
      </c>
      <c r="F103" s="43" t="s">
        <v>7172</v>
      </c>
      <c r="G103" s="43" t="s">
        <v>5957</v>
      </c>
      <c r="H103" s="26">
        <v>9.144949211E9</v>
      </c>
      <c r="I103" s="18">
        <f t="shared" si="1"/>
        <v>45964</v>
      </c>
      <c r="J103" s="19" t="s">
        <v>28</v>
      </c>
      <c r="K103" s="19" t="s">
        <v>5170</v>
      </c>
      <c r="L103" s="19"/>
    </row>
    <row r="104" ht="22.5" customHeight="1">
      <c r="C104" s="19" t="s">
        <v>7150</v>
      </c>
      <c r="D104" s="19" t="s">
        <v>7173</v>
      </c>
      <c r="E104" s="43" t="s">
        <v>7174</v>
      </c>
      <c r="F104" s="43" t="s">
        <v>7175</v>
      </c>
      <c r="G104" s="43" t="s">
        <v>5949</v>
      </c>
      <c r="H104" s="49" t="s">
        <v>7176</v>
      </c>
      <c r="I104" s="18">
        <f t="shared" si="1"/>
        <v>45964</v>
      </c>
      <c r="J104" s="19" t="s">
        <v>28</v>
      </c>
      <c r="K104" s="19" t="s">
        <v>5170</v>
      </c>
      <c r="L104" s="19"/>
    </row>
    <row r="105" ht="22.5" customHeight="1">
      <c r="C105" s="19" t="s">
        <v>7150</v>
      </c>
      <c r="D105" s="19" t="s">
        <v>7177</v>
      </c>
      <c r="E105" s="48" t="s">
        <v>7178</v>
      </c>
      <c r="F105" s="48" t="s">
        <v>767</v>
      </c>
      <c r="G105" s="48" t="s">
        <v>5988</v>
      </c>
      <c r="H105" s="26">
        <v>7.863525044E9</v>
      </c>
      <c r="I105" s="18">
        <f t="shared" si="1"/>
        <v>45964</v>
      </c>
      <c r="J105" s="19" t="s">
        <v>28</v>
      </c>
      <c r="K105" s="19" t="s">
        <v>5170</v>
      </c>
      <c r="L105" s="19"/>
    </row>
    <row r="106" ht="22.5" customHeight="1">
      <c r="C106" s="19" t="s">
        <v>7150</v>
      </c>
      <c r="D106" s="19" t="s">
        <v>7179</v>
      </c>
      <c r="E106" s="43" t="s">
        <v>7180</v>
      </c>
      <c r="F106" s="43" t="s">
        <v>1871</v>
      </c>
      <c r="G106" s="43" t="s">
        <v>5929</v>
      </c>
      <c r="H106" s="26">
        <v>3.056074489E9</v>
      </c>
      <c r="I106" s="18">
        <f t="shared" si="1"/>
        <v>45964</v>
      </c>
      <c r="J106" s="19" t="s">
        <v>28</v>
      </c>
      <c r="K106" s="19" t="s">
        <v>5170</v>
      </c>
      <c r="L106" s="19"/>
    </row>
    <row r="107" ht="22.5" customHeight="1">
      <c r="C107" s="19" t="s">
        <v>7150</v>
      </c>
      <c r="D107" s="19" t="s">
        <v>7181</v>
      </c>
      <c r="E107" s="43" t="s">
        <v>7182</v>
      </c>
      <c r="F107" s="43" t="s">
        <v>7183</v>
      </c>
      <c r="G107" s="43" t="s">
        <v>5854</v>
      </c>
      <c r="H107" s="26">
        <v>3.126369214E9</v>
      </c>
      <c r="I107" s="18">
        <f t="shared" si="1"/>
        <v>45964</v>
      </c>
      <c r="J107" s="19" t="s">
        <v>28</v>
      </c>
      <c r="K107" s="19" t="s">
        <v>5170</v>
      </c>
      <c r="L107" s="19"/>
    </row>
    <row r="108" ht="22.5" customHeight="1">
      <c r="C108" s="19" t="s">
        <v>7150</v>
      </c>
      <c r="D108" s="19" t="s">
        <v>7184</v>
      </c>
      <c r="E108" s="43" t="s">
        <v>7185</v>
      </c>
      <c r="F108" s="43" t="s">
        <v>7186</v>
      </c>
      <c r="G108" s="43" t="s">
        <v>5962</v>
      </c>
      <c r="H108" s="49" t="s">
        <v>7187</v>
      </c>
      <c r="I108" s="18">
        <f t="shared" si="1"/>
        <v>45964</v>
      </c>
      <c r="J108" s="19" t="s">
        <v>28</v>
      </c>
      <c r="K108" s="19" t="s">
        <v>5170</v>
      </c>
      <c r="L108" s="19"/>
    </row>
    <row r="109" ht="22.5" customHeight="1">
      <c r="C109" s="19" t="s">
        <v>7150</v>
      </c>
      <c r="D109" s="19" t="s">
        <v>7188</v>
      </c>
      <c r="E109" s="43" t="s">
        <v>7189</v>
      </c>
      <c r="F109" s="43" t="s">
        <v>7190</v>
      </c>
      <c r="G109" s="43" t="s">
        <v>6977</v>
      </c>
      <c r="H109" s="49" t="s">
        <v>7191</v>
      </c>
      <c r="I109" s="18">
        <f t="shared" si="1"/>
        <v>45964</v>
      </c>
      <c r="J109" s="19" t="s">
        <v>28</v>
      </c>
      <c r="K109" s="19" t="s">
        <v>5170</v>
      </c>
      <c r="L109" s="19"/>
    </row>
    <row r="110" ht="22.5" customHeight="1">
      <c r="C110" s="19" t="s">
        <v>7150</v>
      </c>
      <c r="D110" s="19" t="s">
        <v>7192</v>
      </c>
      <c r="E110" s="43" t="s">
        <v>7193</v>
      </c>
      <c r="F110" s="43" t="s">
        <v>7194</v>
      </c>
      <c r="G110" s="43" t="s">
        <v>5917</v>
      </c>
      <c r="H110" s="49" t="s">
        <v>7195</v>
      </c>
      <c r="I110" s="18">
        <f t="shared" si="1"/>
        <v>45964</v>
      </c>
      <c r="J110" s="19" t="s">
        <v>28</v>
      </c>
      <c r="K110" s="19" t="s">
        <v>5170</v>
      </c>
      <c r="L110" s="19"/>
    </row>
    <row r="111" ht="22.5" customHeight="1">
      <c r="C111" s="19" t="s">
        <v>7196</v>
      </c>
      <c r="D111" s="19" t="s">
        <v>7197</v>
      </c>
      <c r="E111" s="43" t="s">
        <v>7198</v>
      </c>
      <c r="F111" s="43" t="s">
        <v>7199</v>
      </c>
      <c r="G111" s="43" t="s">
        <v>5866</v>
      </c>
      <c r="H111" s="26">
        <v>2.039179554E9</v>
      </c>
      <c r="I111" s="18">
        <f t="shared" si="1"/>
        <v>45964</v>
      </c>
      <c r="J111" s="19" t="s">
        <v>28</v>
      </c>
      <c r="K111" s="19" t="s">
        <v>5170</v>
      </c>
      <c r="L111" s="19"/>
    </row>
    <row r="112" ht="22.5" customHeight="1">
      <c r="C112" s="19" t="s">
        <v>7196</v>
      </c>
      <c r="D112" s="19" t="s">
        <v>7200</v>
      </c>
      <c r="E112" s="43" t="s">
        <v>7201</v>
      </c>
      <c r="F112" s="43" t="s">
        <v>7202</v>
      </c>
      <c r="G112" s="43" t="s">
        <v>6232</v>
      </c>
      <c r="H112" s="26">
        <v>7.863159134E9</v>
      </c>
      <c r="I112" s="18">
        <f t="shared" si="1"/>
        <v>45964</v>
      </c>
      <c r="J112" s="19" t="s">
        <v>28</v>
      </c>
      <c r="K112" s="19" t="s">
        <v>5170</v>
      </c>
      <c r="L112" s="19"/>
    </row>
    <row r="113" ht="22.5" customHeight="1">
      <c r="C113" s="19" t="s">
        <v>7196</v>
      </c>
      <c r="D113" s="19" t="s">
        <v>7203</v>
      </c>
      <c r="E113" s="43" t="s">
        <v>7204</v>
      </c>
      <c r="F113" s="43" t="s">
        <v>7205</v>
      </c>
      <c r="G113" s="43" t="s">
        <v>5949</v>
      </c>
      <c r="H113" s="49" t="s">
        <v>7206</v>
      </c>
      <c r="I113" s="18">
        <f t="shared" si="1"/>
        <v>45964</v>
      </c>
      <c r="J113" s="19" t="s">
        <v>28</v>
      </c>
      <c r="K113" s="19" t="s">
        <v>5170</v>
      </c>
      <c r="L113" s="19"/>
    </row>
    <row r="114" ht="22.5" customHeight="1">
      <c r="C114" s="19" t="s">
        <v>7196</v>
      </c>
      <c r="D114" s="19" t="s">
        <v>7207</v>
      </c>
      <c r="E114" s="43" t="s">
        <v>7208</v>
      </c>
      <c r="F114" s="43" t="s">
        <v>7209</v>
      </c>
      <c r="G114" s="43" t="s">
        <v>6288</v>
      </c>
      <c r="H114" s="26">
        <v>7.86699996E9</v>
      </c>
      <c r="I114" s="18">
        <f t="shared" si="1"/>
        <v>45964</v>
      </c>
      <c r="J114" s="19" t="s">
        <v>28</v>
      </c>
      <c r="K114" s="19" t="s">
        <v>5170</v>
      </c>
      <c r="L114" s="19"/>
    </row>
    <row r="115" ht="22.5" customHeight="1">
      <c r="C115" s="19" t="s">
        <v>7196</v>
      </c>
      <c r="D115" s="19" t="s">
        <v>7210</v>
      </c>
      <c r="E115" s="43" t="s">
        <v>7211</v>
      </c>
      <c r="F115" s="43" t="s">
        <v>7212</v>
      </c>
      <c r="G115" s="43" t="s">
        <v>5820</v>
      </c>
      <c r="H115" s="26">
        <v>9.172256827E9</v>
      </c>
      <c r="I115" s="18">
        <f t="shared" si="1"/>
        <v>45964</v>
      </c>
      <c r="J115" s="19" t="s">
        <v>28</v>
      </c>
      <c r="K115" s="19" t="s">
        <v>5170</v>
      </c>
      <c r="L115" s="19"/>
    </row>
    <row r="116" ht="22.5" customHeight="1">
      <c r="C116" s="19" t="s">
        <v>7196</v>
      </c>
      <c r="D116" s="19" t="s">
        <v>7213</v>
      </c>
      <c r="E116" s="43" t="s">
        <v>7214</v>
      </c>
      <c r="F116" s="43" t="s">
        <v>7215</v>
      </c>
      <c r="G116" s="43" t="s">
        <v>5957</v>
      </c>
      <c r="H116" s="49" t="s">
        <v>7216</v>
      </c>
      <c r="I116" s="18">
        <f t="shared" si="1"/>
        <v>45964</v>
      </c>
      <c r="J116" s="19" t="s">
        <v>28</v>
      </c>
      <c r="K116" s="19" t="s">
        <v>5170</v>
      </c>
      <c r="L116" s="19"/>
    </row>
    <row r="117" ht="22.5" customHeight="1">
      <c r="C117" s="19" t="s">
        <v>7196</v>
      </c>
      <c r="D117" s="19" t="s">
        <v>7217</v>
      </c>
      <c r="E117" s="43" t="s">
        <v>7218</v>
      </c>
      <c r="F117" s="43" t="s">
        <v>7219</v>
      </c>
      <c r="G117" s="43" t="s">
        <v>5878</v>
      </c>
      <c r="H117" s="49" t="s">
        <v>7220</v>
      </c>
      <c r="I117" s="18">
        <f t="shared" si="1"/>
        <v>45964</v>
      </c>
      <c r="J117" s="19" t="s">
        <v>28</v>
      </c>
      <c r="K117" s="19" t="s">
        <v>5170</v>
      </c>
      <c r="L117" s="19"/>
    </row>
    <row r="118" ht="22.5" customHeight="1">
      <c r="C118" s="19" t="s">
        <v>7196</v>
      </c>
      <c r="D118" s="19" t="s">
        <v>7221</v>
      </c>
      <c r="E118" s="43" t="s">
        <v>7222</v>
      </c>
      <c r="F118" s="43" t="s">
        <v>7223</v>
      </c>
      <c r="G118" s="43" t="s">
        <v>5882</v>
      </c>
      <c r="H118" s="26">
        <v>3.059288787E9</v>
      </c>
      <c r="I118" s="18">
        <f t="shared" si="1"/>
        <v>45964</v>
      </c>
      <c r="J118" s="19" t="s">
        <v>28</v>
      </c>
      <c r="K118" s="19" t="s">
        <v>5170</v>
      </c>
      <c r="L118" s="19"/>
    </row>
    <row r="119" ht="22.5" customHeight="1">
      <c r="C119" s="19" t="s">
        <v>7196</v>
      </c>
      <c r="D119" s="19" t="s">
        <v>7224</v>
      </c>
      <c r="E119" s="43" t="s">
        <v>7225</v>
      </c>
      <c r="F119" s="43" t="s">
        <v>2823</v>
      </c>
      <c r="G119" s="43" t="s">
        <v>5953</v>
      </c>
      <c r="H119" s="49" t="s">
        <v>182</v>
      </c>
      <c r="I119" s="18">
        <f t="shared" si="1"/>
        <v>45964</v>
      </c>
      <c r="J119" s="19" t="s">
        <v>28</v>
      </c>
      <c r="K119" s="19" t="s">
        <v>5170</v>
      </c>
      <c r="L119" s="19" t="s">
        <v>99</v>
      </c>
    </row>
    <row r="120" ht="22.5" customHeight="1">
      <c r="C120" s="19" t="s">
        <v>7196</v>
      </c>
      <c r="D120" s="19" t="s">
        <v>7226</v>
      </c>
      <c r="E120" s="43" t="s">
        <v>7227</v>
      </c>
      <c r="F120" s="43" t="s">
        <v>7228</v>
      </c>
      <c r="G120" s="43" t="s">
        <v>5825</v>
      </c>
      <c r="H120" s="26">
        <v>7.869998436E9</v>
      </c>
      <c r="I120" s="18">
        <f t="shared" si="1"/>
        <v>45964</v>
      </c>
      <c r="J120" s="19" t="s">
        <v>28</v>
      </c>
      <c r="K120" s="19" t="s">
        <v>5170</v>
      </c>
      <c r="L120" s="19"/>
    </row>
    <row r="121" ht="22.5" customHeight="1">
      <c r="C121" s="19" t="s">
        <v>7196</v>
      </c>
      <c r="D121" s="19" t="s">
        <v>7229</v>
      </c>
      <c r="E121" s="43" t="s">
        <v>7230</v>
      </c>
      <c r="F121" s="43" t="s">
        <v>7231</v>
      </c>
      <c r="G121" s="43" t="s">
        <v>5891</v>
      </c>
      <c r="H121" s="49" t="s">
        <v>7232</v>
      </c>
      <c r="I121" s="18">
        <f t="shared" si="1"/>
        <v>45964</v>
      </c>
      <c r="J121" s="19" t="s">
        <v>28</v>
      </c>
      <c r="K121" s="19" t="s">
        <v>5170</v>
      </c>
      <c r="L121" s="19"/>
    </row>
    <row r="122" ht="22.5" customHeight="1">
      <c r="C122" s="19" t="s">
        <v>7196</v>
      </c>
      <c r="D122" s="19" t="s">
        <v>7233</v>
      </c>
      <c r="E122" s="43" t="s">
        <v>7234</v>
      </c>
      <c r="F122" s="43" t="s">
        <v>7235</v>
      </c>
      <c r="G122" s="43" t="s">
        <v>6957</v>
      </c>
      <c r="H122" s="49" t="s">
        <v>7236</v>
      </c>
      <c r="I122" s="18">
        <f t="shared" si="1"/>
        <v>45964</v>
      </c>
      <c r="J122" s="19" t="s">
        <v>28</v>
      </c>
      <c r="K122" s="19" t="s">
        <v>5170</v>
      </c>
      <c r="L122" s="19"/>
    </row>
    <row r="123" ht="22.5" customHeight="1">
      <c r="C123" s="19" t="s">
        <v>7237</v>
      </c>
      <c r="D123" s="19" t="s">
        <v>7238</v>
      </c>
      <c r="E123" s="43" t="s">
        <v>7239</v>
      </c>
      <c r="F123" s="43" t="s">
        <v>7240</v>
      </c>
      <c r="G123" s="43" t="s">
        <v>6068</v>
      </c>
      <c r="H123" s="49" t="s">
        <v>7241</v>
      </c>
      <c r="I123" s="18">
        <f t="shared" si="1"/>
        <v>45964</v>
      </c>
      <c r="J123" s="19" t="s">
        <v>28</v>
      </c>
      <c r="K123" s="19" t="s">
        <v>5170</v>
      </c>
      <c r="L123" s="19"/>
    </row>
    <row r="124" ht="22.5" customHeight="1">
      <c r="C124" s="19" t="s">
        <v>7237</v>
      </c>
      <c r="D124" s="19" t="s">
        <v>7242</v>
      </c>
      <c r="E124" s="43" t="s">
        <v>7243</v>
      </c>
      <c r="F124" s="43" t="s">
        <v>7244</v>
      </c>
      <c r="G124" s="43" t="s">
        <v>6094</v>
      </c>
      <c r="H124" s="26">
        <v>7.869554178E9</v>
      </c>
      <c r="I124" s="18">
        <f t="shared" si="1"/>
        <v>45964</v>
      </c>
      <c r="J124" s="19" t="s">
        <v>28</v>
      </c>
      <c r="K124" s="19" t="s">
        <v>5170</v>
      </c>
      <c r="L124" s="19"/>
    </row>
    <row r="125" ht="22.5" customHeight="1">
      <c r="C125" s="19" t="s">
        <v>7237</v>
      </c>
      <c r="D125" s="19" t="s">
        <v>7245</v>
      </c>
      <c r="E125" s="43" t="s">
        <v>7246</v>
      </c>
      <c r="F125" s="43" t="s">
        <v>7247</v>
      </c>
      <c r="G125" s="43" t="s">
        <v>5874</v>
      </c>
      <c r="H125" s="49" t="s">
        <v>7248</v>
      </c>
      <c r="I125" s="18">
        <f t="shared" si="1"/>
        <v>45964</v>
      </c>
      <c r="J125" s="19" t="s">
        <v>28</v>
      </c>
      <c r="K125" s="19" t="s">
        <v>5170</v>
      </c>
      <c r="L125" s="19"/>
    </row>
    <row r="126" ht="22.5" customHeight="1">
      <c r="C126" s="19" t="s">
        <v>7237</v>
      </c>
      <c r="D126" s="19" t="s">
        <v>7249</v>
      </c>
      <c r="E126" s="43" t="s">
        <v>7250</v>
      </c>
      <c r="F126" s="43" t="s">
        <v>7251</v>
      </c>
      <c r="G126" s="43" t="s">
        <v>6063</v>
      </c>
      <c r="H126" s="49" t="s">
        <v>7252</v>
      </c>
      <c r="I126" s="18">
        <f t="shared" si="1"/>
        <v>45964</v>
      </c>
      <c r="J126" s="19" t="s">
        <v>28</v>
      </c>
      <c r="K126" s="19" t="s">
        <v>5170</v>
      </c>
      <c r="L126" s="19"/>
    </row>
    <row r="127" ht="22.5" customHeight="1">
      <c r="C127" s="19" t="s">
        <v>7237</v>
      </c>
      <c r="D127" s="19" t="s">
        <v>7253</v>
      </c>
      <c r="E127" s="43" t="s">
        <v>7254</v>
      </c>
      <c r="F127" s="43" t="s">
        <v>7255</v>
      </c>
      <c r="G127" s="43" t="s">
        <v>6160</v>
      </c>
      <c r="H127" s="49" t="s">
        <v>7256</v>
      </c>
      <c r="I127" s="18">
        <f t="shared" si="1"/>
        <v>45964</v>
      </c>
      <c r="J127" s="19" t="s">
        <v>28</v>
      </c>
      <c r="K127" s="19" t="s">
        <v>5170</v>
      </c>
      <c r="L127" s="19"/>
    </row>
    <row r="128" ht="22.5" customHeight="1">
      <c r="C128" s="19" t="s">
        <v>7237</v>
      </c>
      <c r="D128" s="19" t="s">
        <v>7257</v>
      </c>
      <c r="E128" s="43" t="s">
        <v>7258</v>
      </c>
      <c r="F128" s="43" t="s">
        <v>7259</v>
      </c>
      <c r="G128" s="43" t="s">
        <v>7143</v>
      </c>
      <c r="H128" s="49" t="s">
        <v>7260</v>
      </c>
      <c r="I128" s="18">
        <f t="shared" si="1"/>
        <v>45964</v>
      </c>
      <c r="J128" s="19" t="s">
        <v>28</v>
      </c>
      <c r="K128" s="19" t="s">
        <v>5170</v>
      </c>
      <c r="L128" s="19"/>
    </row>
    <row r="129" ht="22.5" customHeight="1">
      <c r="C129" s="19" t="s">
        <v>7237</v>
      </c>
      <c r="D129" s="19" t="s">
        <v>7261</v>
      </c>
      <c r="E129" s="43" t="s">
        <v>7262</v>
      </c>
      <c r="F129" s="43" t="s">
        <v>7263</v>
      </c>
      <c r="G129" s="43" t="s">
        <v>6721</v>
      </c>
      <c r="H129" s="26">
        <v>3.057596011E9</v>
      </c>
      <c r="I129" s="18">
        <f t="shared" si="1"/>
        <v>45964</v>
      </c>
      <c r="J129" s="19" t="s">
        <v>28</v>
      </c>
      <c r="K129" s="19" t="s">
        <v>5170</v>
      </c>
      <c r="L129" s="19"/>
    </row>
    <row r="130" ht="22.5" customHeight="1">
      <c r="C130" s="19" t="s">
        <v>7237</v>
      </c>
      <c r="D130" s="19" t="s">
        <v>7264</v>
      </c>
      <c r="E130" s="43" t="s">
        <v>7265</v>
      </c>
      <c r="F130" s="43" t="s">
        <v>7266</v>
      </c>
      <c r="G130" s="43" t="s">
        <v>6004</v>
      </c>
      <c r="H130" s="26">
        <v>3.058747894E9</v>
      </c>
      <c r="I130" s="18">
        <f t="shared" si="1"/>
        <v>45964</v>
      </c>
      <c r="J130" s="19" t="s">
        <v>28</v>
      </c>
      <c r="K130" s="19" t="s">
        <v>5170</v>
      </c>
      <c r="L130" s="19"/>
    </row>
    <row r="131" ht="22.5" customHeight="1">
      <c r="C131" s="19" t="s">
        <v>7237</v>
      </c>
      <c r="D131" s="19" t="s">
        <v>7267</v>
      </c>
      <c r="E131" s="43" t="s">
        <v>7268</v>
      </c>
      <c r="F131" s="43" t="s">
        <v>7269</v>
      </c>
      <c r="G131" s="43" t="s">
        <v>5962</v>
      </c>
      <c r="H131" s="26">
        <v>7.865271109E9</v>
      </c>
      <c r="I131" s="18">
        <f t="shared" si="1"/>
        <v>45964</v>
      </c>
      <c r="J131" s="19" t="s">
        <v>28</v>
      </c>
      <c r="K131" s="19" t="s">
        <v>5170</v>
      </c>
      <c r="L131" s="19"/>
    </row>
    <row r="132" ht="22.5" customHeight="1">
      <c r="C132" s="19" t="s">
        <v>7237</v>
      </c>
      <c r="D132" s="19" t="s">
        <v>7270</v>
      </c>
      <c r="E132" s="43" t="s">
        <v>7271</v>
      </c>
      <c r="F132" s="43" t="s">
        <v>7272</v>
      </c>
      <c r="G132" s="43" t="s">
        <v>7273</v>
      </c>
      <c r="H132" s="26">
        <v>2.698307398E9</v>
      </c>
      <c r="I132" s="18">
        <f t="shared" si="1"/>
        <v>45964</v>
      </c>
      <c r="J132" s="19" t="s">
        <v>28</v>
      </c>
      <c r="K132" s="19" t="s">
        <v>5170</v>
      </c>
      <c r="L132" s="19"/>
    </row>
    <row r="133" ht="22.5" customHeight="1">
      <c r="C133" s="19" t="s">
        <v>7237</v>
      </c>
      <c r="D133" s="19" t="s">
        <v>7274</v>
      </c>
      <c r="E133" s="43" t="s">
        <v>7275</v>
      </c>
      <c r="F133" s="43" t="s">
        <v>7276</v>
      </c>
      <c r="G133" s="43" t="s">
        <v>7148</v>
      </c>
      <c r="H133" s="49" t="s">
        <v>7277</v>
      </c>
      <c r="I133" s="18">
        <f t="shared" si="1"/>
        <v>45964</v>
      </c>
      <c r="J133" s="19" t="s">
        <v>28</v>
      </c>
      <c r="K133" s="19" t="s">
        <v>5170</v>
      </c>
      <c r="L133" s="19"/>
    </row>
    <row r="134" ht="22.5" customHeight="1">
      <c r="C134" s="19" t="s">
        <v>7237</v>
      </c>
      <c r="D134" s="19" t="s">
        <v>7278</v>
      </c>
      <c r="E134" s="43" t="s">
        <v>7279</v>
      </c>
      <c r="F134" s="43" t="s">
        <v>7279</v>
      </c>
      <c r="G134" s="43" t="s">
        <v>5878</v>
      </c>
      <c r="H134" s="49" t="s">
        <v>7280</v>
      </c>
      <c r="I134" s="18">
        <f t="shared" si="1"/>
        <v>45964</v>
      </c>
      <c r="J134" s="19" t="s">
        <v>28</v>
      </c>
      <c r="K134" s="19" t="s">
        <v>5170</v>
      </c>
      <c r="L134" s="19"/>
    </row>
    <row r="135" ht="22.5" customHeight="1">
      <c r="C135" s="19" t="s">
        <v>7237</v>
      </c>
      <c r="D135" s="19" t="s">
        <v>7281</v>
      </c>
      <c r="E135" s="43" t="s">
        <v>7282</v>
      </c>
      <c r="F135" s="43" t="s">
        <v>7283</v>
      </c>
      <c r="G135" s="43" t="s">
        <v>6548</v>
      </c>
      <c r="H135" s="49" t="s">
        <v>7284</v>
      </c>
      <c r="I135" s="18">
        <f t="shared" si="1"/>
        <v>45964</v>
      </c>
      <c r="J135" s="19" t="s">
        <v>28</v>
      </c>
      <c r="K135" s="19" t="s">
        <v>5170</v>
      </c>
      <c r="L135" s="19"/>
    </row>
    <row r="136" ht="22.5" customHeight="1">
      <c r="C136" s="19" t="s">
        <v>7237</v>
      </c>
      <c r="D136" s="19" t="s">
        <v>7285</v>
      </c>
      <c r="E136" s="43" t="s">
        <v>7286</v>
      </c>
      <c r="F136" s="43" t="s">
        <v>1356</v>
      </c>
      <c r="G136" s="43" t="s">
        <v>5882</v>
      </c>
      <c r="H136" s="49" t="s">
        <v>7287</v>
      </c>
      <c r="I136" s="18">
        <f t="shared" si="1"/>
        <v>45964</v>
      </c>
      <c r="J136" s="19" t="s">
        <v>28</v>
      </c>
      <c r="K136" s="19" t="s">
        <v>5170</v>
      </c>
      <c r="L136" s="19"/>
    </row>
    <row r="137" ht="22.5" customHeight="1">
      <c r="C137" s="19" t="s">
        <v>7237</v>
      </c>
      <c r="D137" s="19" t="s">
        <v>7288</v>
      </c>
      <c r="E137" s="43" t="s">
        <v>7289</v>
      </c>
      <c r="F137" s="43" t="s">
        <v>7290</v>
      </c>
      <c r="G137" s="43" t="s">
        <v>7291</v>
      </c>
      <c r="H137" s="26">
        <v>7.86306253E9</v>
      </c>
      <c r="I137" s="18">
        <f t="shared" si="1"/>
        <v>45964</v>
      </c>
      <c r="J137" s="19" t="s">
        <v>28</v>
      </c>
      <c r="K137" s="19" t="s">
        <v>5170</v>
      </c>
      <c r="L137" s="19"/>
    </row>
    <row r="138" ht="22.5" customHeight="1">
      <c r="C138" s="19" t="s">
        <v>7237</v>
      </c>
      <c r="D138" s="19" t="s">
        <v>7292</v>
      </c>
      <c r="E138" s="43" t="s">
        <v>7293</v>
      </c>
      <c r="F138" s="43" t="s">
        <v>7294</v>
      </c>
      <c r="G138" s="43" t="s">
        <v>6874</v>
      </c>
      <c r="H138" s="26">
        <v>3.055821203E9</v>
      </c>
      <c r="I138" s="18">
        <f t="shared" si="1"/>
        <v>45964</v>
      </c>
      <c r="J138" s="19" t="s">
        <v>28</v>
      </c>
      <c r="K138" s="19" t="s">
        <v>5170</v>
      </c>
      <c r="L138" s="19"/>
    </row>
    <row r="139" ht="22.5" customHeight="1">
      <c r="C139" s="19" t="s">
        <v>7237</v>
      </c>
      <c r="D139" s="19" t="s">
        <v>7295</v>
      </c>
      <c r="E139" s="43" t="s">
        <v>7296</v>
      </c>
      <c r="F139" s="43" t="s">
        <v>7297</v>
      </c>
      <c r="G139" s="43" t="s">
        <v>5834</v>
      </c>
      <c r="H139" s="26">
        <v>7.86272636E9</v>
      </c>
      <c r="I139" s="18">
        <f t="shared" si="1"/>
        <v>45964</v>
      </c>
      <c r="J139" s="19" t="s">
        <v>28</v>
      </c>
      <c r="K139" s="19" t="s">
        <v>5170</v>
      </c>
      <c r="L139" s="19"/>
    </row>
    <row r="140" ht="22.5" customHeight="1">
      <c r="C140" s="19" t="s">
        <v>7237</v>
      </c>
      <c r="D140" s="19" t="s">
        <v>7298</v>
      </c>
      <c r="E140" s="43" t="s">
        <v>7299</v>
      </c>
      <c r="F140" s="43" t="s">
        <v>7300</v>
      </c>
      <c r="G140" s="43" t="s">
        <v>5949</v>
      </c>
      <c r="H140" s="26">
        <v>3.058075713E9</v>
      </c>
      <c r="I140" s="18">
        <f t="shared" si="1"/>
        <v>45964</v>
      </c>
      <c r="J140" s="19" t="s">
        <v>28</v>
      </c>
      <c r="K140" s="19" t="s">
        <v>5170</v>
      </c>
      <c r="L140" s="19"/>
    </row>
    <row r="141" ht="22.5" customHeight="1">
      <c r="C141" s="19" t="s">
        <v>7237</v>
      </c>
      <c r="D141" s="19" t="s">
        <v>7301</v>
      </c>
      <c r="E141" s="43" t="s">
        <v>7302</v>
      </c>
      <c r="F141" s="43" t="s">
        <v>7303</v>
      </c>
      <c r="G141" s="43" t="s">
        <v>6902</v>
      </c>
      <c r="H141" s="49" t="s">
        <v>182</v>
      </c>
      <c r="I141" s="18">
        <f t="shared" si="1"/>
        <v>45964</v>
      </c>
      <c r="J141" s="19" t="s">
        <v>28</v>
      </c>
      <c r="K141" s="19" t="s">
        <v>5170</v>
      </c>
      <c r="L141" s="19"/>
    </row>
    <row r="142" ht="22.5" customHeight="1">
      <c r="C142" s="19" t="s">
        <v>7237</v>
      </c>
      <c r="D142" s="19" t="s">
        <v>7304</v>
      </c>
      <c r="E142" s="43" t="s">
        <v>7305</v>
      </c>
      <c r="F142" s="43" t="s">
        <v>7306</v>
      </c>
      <c r="G142" s="43" t="s">
        <v>5829</v>
      </c>
      <c r="H142" s="26">
        <v>3.054466099E9</v>
      </c>
      <c r="I142" s="18">
        <f t="shared" si="1"/>
        <v>45964</v>
      </c>
      <c r="J142" s="19" t="s">
        <v>28</v>
      </c>
      <c r="K142" s="19" t="s">
        <v>5170</v>
      </c>
      <c r="L142" s="19"/>
    </row>
    <row r="143" ht="22.5" customHeight="1">
      <c r="C143" s="19" t="s">
        <v>7237</v>
      </c>
      <c r="D143" s="19" t="s">
        <v>7307</v>
      </c>
      <c r="E143" s="43" t="s">
        <v>7308</v>
      </c>
      <c r="F143" s="43" t="s">
        <v>7309</v>
      </c>
      <c r="G143" s="43" t="s">
        <v>6581</v>
      </c>
      <c r="H143" s="26">
        <v>7.863001227E9</v>
      </c>
      <c r="I143" s="18">
        <f t="shared" si="1"/>
        <v>45964</v>
      </c>
      <c r="J143" s="19" t="s">
        <v>28</v>
      </c>
      <c r="K143" s="19" t="s">
        <v>5170</v>
      </c>
      <c r="L143" s="19"/>
    </row>
    <row r="144" ht="22.5" customHeight="1">
      <c r="C144" s="19" t="s">
        <v>7237</v>
      </c>
      <c r="D144" s="19" t="s">
        <v>7310</v>
      </c>
      <c r="E144" s="43" t="s">
        <v>7311</v>
      </c>
      <c r="F144" s="43" t="s">
        <v>7312</v>
      </c>
      <c r="G144" s="43" t="s">
        <v>6076</v>
      </c>
      <c r="H144" s="49" t="s">
        <v>7313</v>
      </c>
      <c r="I144" s="18">
        <f t="shared" si="1"/>
        <v>45964</v>
      </c>
      <c r="J144" s="19" t="s">
        <v>28</v>
      </c>
      <c r="K144" s="19" t="s">
        <v>5170</v>
      </c>
      <c r="L144" s="19"/>
    </row>
    <row r="145" ht="22.5" customHeight="1">
      <c r="C145" s="19" t="s">
        <v>7237</v>
      </c>
      <c r="D145" s="19" t="s">
        <v>7314</v>
      </c>
      <c r="E145" s="43" t="s">
        <v>7315</v>
      </c>
      <c r="F145" s="43" t="s">
        <v>7316</v>
      </c>
      <c r="G145" s="43" t="s">
        <v>5825</v>
      </c>
      <c r="H145" s="49" t="s">
        <v>7317</v>
      </c>
      <c r="I145" s="18">
        <f t="shared" si="1"/>
        <v>45964</v>
      </c>
      <c r="J145" s="19" t="s">
        <v>28</v>
      </c>
      <c r="K145" s="19" t="s">
        <v>5170</v>
      </c>
      <c r="L145" s="19"/>
    </row>
    <row r="146" ht="22.5" customHeight="1">
      <c r="C146" s="19" t="s">
        <v>7237</v>
      </c>
      <c r="D146" s="19" t="s">
        <v>7318</v>
      </c>
      <c r="E146" s="43" t="s">
        <v>7319</v>
      </c>
      <c r="F146" s="43" t="s">
        <v>7320</v>
      </c>
      <c r="G146" s="43" t="s">
        <v>5820</v>
      </c>
      <c r="H146" s="49" t="s">
        <v>7321</v>
      </c>
      <c r="I146" s="18">
        <f t="shared" si="1"/>
        <v>45964</v>
      </c>
      <c r="J146" s="19" t="s">
        <v>28</v>
      </c>
      <c r="K146" s="19" t="s">
        <v>5170</v>
      </c>
      <c r="L146" s="19"/>
    </row>
    <row r="147" ht="22.5" customHeight="1">
      <c r="C147" s="19" t="s">
        <v>7237</v>
      </c>
      <c r="D147" s="19" t="s">
        <v>7322</v>
      </c>
      <c r="E147" s="43" t="s">
        <v>7323</v>
      </c>
      <c r="F147" s="43" t="s">
        <v>7324</v>
      </c>
      <c r="G147" s="43" t="s">
        <v>5957</v>
      </c>
      <c r="H147" s="26">
        <v>3.053473151E9</v>
      </c>
      <c r="I147" s="18">
        <f t="shared" si="1"/>
        <v>45964</v>
      </c>
      <c r="J147" s="19" t="s">
        <v>28</v>
      </c>
      <c r="K147" s="19" t="s">
        <v>5170</v>
      </c>
      <c r="L147" s="19"/>
    </row>
    <row r="148" ht="22.5" customHeight="1">
      <c r="C148" s="19" t="s">
        <v>7237</v>
      </c>
      <c r="D148" s="19" t="s">
        <v>7325</v>
      </c>
      <c r="E148" s="43" t="s">
        <v>7326</v>
      </c>
      <c r="F148" s="43" t="s">
        <v>7327</v>
      </c>
      <c r="G148" s="43" t="s">
        <v>7328</v>
      </c>
      <c r="H148" s="26">
        <v>3.108480106E9</v>
      </c>
      <c r="I148" s="18">
        <f t="shared" si="1"/>
        <v>45964</v>
      </c>
      <c r="J148" s="19" t="s">
        <v>28</v>
      </c>
      <c r="K148" s="19" t="s">
        <v>5170</v>
      </c>
      <c r="L148" s="19"/>
    </row>
    <row r="149" ht="22.5" customHeight="1">
      <c r="C149" s="19" t="s">
        <v>7237</v>
      </c>
      <c r="D149" s="19" t="s">
        <v>7329</v>
      </c>
      <c r="E149" s="43" t="s">
        <v>7330</v>
      </c>
      <c r="F149" s="43" t="s">
        <v>7331</v>
      </c>
      <c r="G149" s="43" t="s">
        <v>5900</v>
      </c>
      <c r="H149" s="49" t="s">
        <v>7332</v>
      </c>
      <c r="I149" s="18">
        <f t="shared" si="1"/>
        <v>45964</v>
      </c>
      <c r="J149" s="19" t="s">
        <v>28</v>
      </c>
      <c r="K149" s="19" t="s">
        <v>5170</v>
      </c>
      <c r="L149" s="19"/>
    </row>
    <row r="150" ht="22.5" customHeight="1">
      <c r="C150" s="19" t="s">
        <v>7237</v>
      </c>
      <c r="D150" s="19" t="s">
        <v>7333</v>
      </c>
      <c r="E150" s="43" t="s">
        <v>7334</v>
      </c>
      <c r="F150" s="43" t="s">
        <v>612</v>
      </c>
      <c r="G150" s="43" t="s">
        <v>5953</v>
      </c>
      <c r="H150" s="49" t="s">
        <v>7335</v>
      </c>
      <c r="I150" s="18">
        <f t="shared" si="1"/>
        <v>45964</v>
      </c>
      <c r="J150" s="19" t="s">
        <v>28</v>
      </c>
      <c r="K150" s="19" t="s">
        <v>5170</v>
      </c>
      <c r="L150" s="19"/>
    </row>
    <row r="151" ht="22.5" customHeight="1">
      <c r="C151" s="19" t="s">
        <v>7237</v>
      </c>
      <c r="D151" s="19" t="s">
        <v>7336</v>
      </c>
      <c r="E151" s="43" t="s">
        <v>7337</v>
      </c>
      <c r="F151" s="43" t="s">
        <v>7337</v>
      </c>
      <c r="G151" s="43" t="s">
        <v>5908</v>
      </c>
      <c r="H151" s="26">
        <v>1.3054582256E10</v>
      </c>
      <c r="I151" s="18">
        <f t="shared" si="1"/>
        <v>45964</v>
      </c>
      <c r="J151" s="19" t="s">
        <v>28</v>
      </c>
      <c r="K151" s="19" t="s">
        <v>5170</v>
      </c>
      <c r="L151" s="19"/>
    </row>
    <row r="152" ht="22.5" customHeight="1">
      <c r="C152" s="19" t="s">
        <v>7237</v>
      </c>
      <c r="D152" s="19" t="s">
        <v>7338</v>
      </c>
      <c r="E152" s="43" t="s">
        <v>7339</v>
      </c>
      <c r="F152" s="43" t="s">
        <v>359</v>
      </c>
      <c r="G152" s="43" t="s">
        <v>5846</v>
      </c>
      <c r="H152" s="49" t="s">
        <v>361</v>
      </c>
      <c r="I152" s="18">
        <f t="shared" si="1"/>
        <v>45964</v>
      </c>
      <c r="J152" s="19" t="s">
        <v>28</v>
      </c>
      <c r="K152" s="19" t="s">
        <v>5170</v>
      </c>
      <c r="L152" s="19"/>
    </row>
    <row r="153" ht="22.5" customHeight="1">
      <c r="C153" s="19" t="s">
        <v>7340</v>
      </c>
      <c r="D153" s="19" t="s">
        <v>7238</v>
      </c>
      <c r="E153" s="43" t="s">
        <v>7341</v>
      </c>
      <c r="F153" s="43" t="s">
        <v>7342</v>
      </c>
      <c r="G153" s="43" t="s">
        <v>6284</v>
      </c>
      <c r="H153" s="26">
        <v>4.123309482E9</v>
      </c>
      <c r="I153" s="18">
        <f t="shared" si="1"/>
        <v>45964</v>
      </c>
      <c r="J153" s="19" t="s">
        <v>28</v>
      </c>
      <c r="K153" s="19" t="s">
        <v>5170</v>
      </c>
      <c r="L153" s="19"/>
    </row>
    <row r="154" ht="22.5" customHeight="1">
      <c r="C154" s="19" t="s">
        <v>7340</v>
      </c>
      <c r="D154" s="19" t="s">
        <v>7242</v>
      </c>
      <c r="E154" s="43" t="s">
        <v>7343</v>
      </c>
      <c r="F154" s="43" t="s">
        <v>1356</v>
      </c>
      <c r="G154" s="43" t="s">
        <v>5882</v>
      </c>
      <c r="H154" s="26">
        <v>7.867405456E9</v>
      </c>
      <c r="I154" s="18">
        <f t="shared" si="1"/>
        <v>45964</v>
      </c>
      <c r="J154" s="19" t="s">
        <v>28</v>
      </c>
      <c r="K154" s="19" t="s">
        <v>5170</v>
      </c>
      <c r="L154" s="19"/>
    </row>
    <row r="155" ht="22.5" customHeight="1">
      <c r="C155" s="19" t="s">
        <v>7340</v>
      </c>
      <c r="D155" s="19" t="s">
        <v>7245</v>
      </c>
      <c r="E155" s="43" t="s">
        <v>7344</v>
      </c>
      <c r="F155" s="43" t="s">
        <v>7345</v>
      </c>
      <c r="G155" s="43" t="s">
        <v>7346</v>
      </c>
      <c r="H155" s="49" t="s">
        <v>7347</v>
      </c>
      <c r="I155" s="18">
        <f t="shared" si="1"/>
        <v>45964</v>
      </c>
      <c r="J155" s="19" t="s">
        <v>28</v>
      </c>
      <c r="K155" s="19" t="s">
        <v>5170</v>
      </c>
      <c r="L155" s="19"/>
    </row>
    <row r="156" ht="22.5" customHeight="1">
      <c r="C156" s="19" t="s">
        <v>7340</v>
      </c>
      <c r="D156" s="19" t="s">
        <v>7249</v>
      </c>
      <c r="E156" s="43" t="s">
        <v>7348</v>
      </c>
      <c r="F156" s="43" t="s">
        <v>7349</v>
      </c>
      <c r="G156" s="43" t="s">
        <v>5816</v>
      </c>
      <c r="H156" s="49" t="s">
        <v>7350</v>
      </c>
      <c r="I156" s="18">
        <f t="shared" si="1"/>
        <v>45964</v>
      </c>
      <c r="J156" s="19" t="s">
        <v>28</v>
      </c>
      <c r="K156" s="19" t="s">
        <v>5170</v>
      </c>
      <c r="L156" s="19"/>
    </row>
    <row r="157" ht="22.5" customHeight="1">
      <c r="C157" s="19" t="s">
        <v>7340</v>
      </c>
      <c r="D157" s="19" t="s">
        <v>7253</v>
      </c>
      <c r="E157" s="43" t="s">
        <v>7351</v>
      </c>
      <c r="F157" s="43" t="s">
        <v>7352</v>
      </c>
      <c r="G157" s="43" t="s">
        <v>5929</v>
      </c>
      <c r="H157" s="49" t="s">
        <v>7353</v>
      </c>
      <c r="I157" s="18">
        <f t="shared" si="1"/>
        <v>45964</v>
      </c>
      <c r="J157" s="19" t="s">
        <v>28</v>
      </c>
      <c r="K157" s="19" t="s">
        <v>5170</v>
      </c>
      <c r="L157" s="19"/>
    </row>
    <row r="158" ht="22.5" customHeight="1">
      <c r="C158" s="19" t="s">
        <v>7340</v>
      </c>
      <c r="D158" s="19" t="s">
        <v>7257</v>
      </c>
      <c r="E158" s="43" t="s">
        <v>7354</v>
      </c>
      <c r="F158" s="43" t="s">
        <v>7355</v>
      </c>
      <c r="G158" s="43" t="s">
        <v>7138</v>
      </c>
      <c r="H158" s="49" t="s">
        <v>7356</v>
      </c>
      <c r="I158" s="18">
        <f t="shared" si="1"/>
        <v>45964</v>
      </c>
      <c r="J158" s="19" t="s">
        <v>28</v>
      </c>
      <c r="K158" s="19" t="s">
        <v>5170</v>
      </c>
      <c r="L158" s="19"/>
    </row>
    <row r="159" ht="22.5" customHeight="1">
      <c r="C159" s="19" t="s">
        <v>7340</v>
      </c>
      <c r="D159" s="19" t="s">
        <v>7261</v>
      </c>
      <c r="E159" s="43" t="s">
        <v>7357</v>
      </c>
      <c r="F159" s="43" t="s">
        <v>7358</v>
      </c>
      <c r="G159" s="43" t="s">
        <v>7130</v>
      </c>
      <c r="H159" s="49" t="s">
        <v>7359</v>
      </c>
      <c r="I159" s="18">
        <f t="shared" si="1"/>
        <v>45964</v>
      </c>
      <c r="J159" s="19" t="s">
        <v>28</v>
      </c>
      <c r="K159" s="19" t="s">
        <v>5170</v>
      </c>
      <c r="L159" s="19"/>
    </row>
    <row r="160" ht="22.5" customHeight="1">
      <c r="C160" s="19" t="s">
        <v>7340</v>
      </c>
      <c r="D160" s="19" t="s">
        <v>7264</v>
      </c>
      <c r="E160" s="43" t="s">
        <v>7360</v>
      </c>
      <c r="F160" s="43" t="s">
        <v>7361</v>
      </c>
      <c r="G160" s="43" t="s">
        <v>460</v>
      </c>
      <c r="H160" s="26">
        <v>7.862209705E9</v>
      </c>
      <c r="I160" s="18">
        <f t="shared" si="1"/>
        <v>45964</v>
      </c>
      <c r="J160" s="19" t="s">
        <v>28</v>
      </c>
      <c r="K160" s="19" t="s">
        <v>5170</v>
      </c>
      <c r="L160" s="19"/>
    </row>
    <row r="161" ht="22.5" customHeight="1">
      <c r="C161" s="19" t="s">
        <v>7340</v>
      </c>
      <c r="D161" s="19" t="s">
        <v>7267</v>
      </c>
      <c r="E161" s="43" t="s">
        <v>7362</v>
      </c>
      <c r="F161" s="43" t="s">
        <v>7363</v>
      </c>
      <c r="G161" s="43" t="s">
        <v>460</v>
      </c>
      <c r="H161" s="49" t="s">
        <v>7364</v>
      </c>
      <c r="I161" s="18">
        <f t="shared" si="1"/>
        <v>45964</v>
      </c>
      <c r="J161" s="19" t="s">
        <v>28</v>
      </c>
      <c r="K161" s="19" t="s">
        <v>5170</v>
      </c>
      <c r="L161" s="19"/>
    </row>
    <row r="162" ht="22.5" customHeight="1">
      <c r="C162" s="19" t="s">
        <v>7340</v>
      </c>
      <c r="D162" s="19" t="s">
        <v>7270</v>
      </c>
      <c r="E162" s="43" t="s">
        <v>7365</v>
      </c>
      <c r="F162" s="43" t="s">
        <v>7366</v>
      </c>
      <c r="G162" s="43" t="s">
        <v>5829</v>
      </c>
      <c r="H162" s="49" t="s">
        <v>7367</v>
      </c>
      <c r="I162" s="18">
        <f t="shared" si="1"/>
        <v>45964</v>
      </c>
      <c r="J162" s="19" t="s">
        <v>28</v>
      </c>
      <c r="K162" s="19" t="s">
        <v>5170</v>
      </c>
      <c r="L162" s="19"/>
    </row>
    <row r="163" ht="22.5" customHeight="1">
      <c r="C163" s="19" t="s">
        <v>7340</v>
      </c>
      <c r="D163" s="19" t="s">
        <v>7274</v>
      </c>
      <c r="E163" s="43" t="s">
        <v>7368</v>
      </c>
      <c r="F163" s="43" t="s">
        <v>3715</v>
      </c>
      <c r="G163" s="43" t="s">
        <v>5908</v>
      </c>
      <c r="H163" s="49" t="s">
        <v>7369</v>
      </c>
      <c r="I163" s="18">
        <f t="shared" si="1"/>
        <v>45964</v>
      </c>
      <c r="J163" s="19" t="s">
        <v>28</v>
      </c>
      <c r="K163" s="19" t="s">
        <v>5170</v>
      </c>
      <c r="L163" s="19"/>
    </row>
    <row r="164" ht="22.5" customHeight="1">
      <c r="C164" s="19" t="s">
        <v>7340</v>
      </c>
      <c r="D164" s="19" t="s">
        <v>7278</v>
      </c>
      <c r="E164" s="43" t="s">
        <v>7370</v>
      </c>
      <c r="F164" s="43" t="s">
        <v>7371</v>
      </c>
      <c r="G164" s="43" t="s">
        <v>6920</v>
      </c>
      <c r="H164" s="49" t="s">
        <v>7372</v>
      </c>
      <c r="I164" s="18">
        <f t="shared" si="1"/>
        <v>45964</v>
      </c>
      <c r="J164" s="19" t="s">
        <v>28</v>
      </c>
      <c r="K164" s="19" t="s">
        <v>5170</v>
      </c>
      <c r="L164" s="19"/>
    </row>
    <row r="165" ht="22.5" customHeight="1">
      <c r="C165" s="19" t="s">
        <v>7340</v>
      </c>
      <c r="D165" s="19" t="s">
        <v>7281</v>
      </c>
      <c r="E165" s="43" t="s">
        <v>7373</v>
      </c>
      <c r="F165" s="43" t="s">
        <v>7272</v>
      </c>
      <c r="G165" s="43" t="s">
        <v>7273</v>
      </c>
      <c r="H165" s="49" t="s">
        <v>7374</v>
      </c>
      <c r="I165" s="18">
        <f t="shared" si="1"/>
        <v>45964</v>
      </c>
      <c r="J165" s="19" t="s">
        <v>28</v>
      </c>
      <c r="K165" s="19" t="s">
        <v>5170</v>
      </c>
      <c r="L165" s="19"/>
    </row>
    <row r="166" ht="22.5" customHeight="1">
      <c r="C166" s="19" t="s">
        <v>7340</v>
      </c>
      <c r="D166" s="19" t="s">
        <v>7285</v>
      </c>
      <c r="E166" s="43" t="s">
        <v>7375</v>
      </c>
      <c r="F166" s="43" t="s">
        <v>7376</v>
      </c>
      <c r="G166" s="43" t="s">
        <v>5846</v>
      </c>
      <c r="H166" s="49" t="s">
        <v>7377</v>
      </c>
      <c r="I166" s="18">
        <f t="shared" si="1"/>
        <v>45964</v>
      </c>
      <c r="J166" s="19" t="s">
        <v>28</v>
      </c>
      <c r="K166" s="19" t="s">
        <v>5170</v>
      </c>
      <c r="L166" s="19"/>
    </row>
    <row r="167" ht="22.5" customHeight="1">
      <c r="C167" s="19" t="s">
        <v>7340</v>
      </c>
      <c r="D167" s="19" t="s">
        <v>7288</v>
      </c>
      <c r="E167" s="43" t="s">
        <v>7378</v>
      </c>
      <c r="F167" s="43" t="s">
        <v>7379</v>
      </c>
      <c r="G167" s="43" t="s">
        <v>6459</v>
      </c>
      <c r="H167" s="49" t="s">
        <v>7380</v>
      </c>
      <c r="I167" s="18">
        <f t="shared" si="1"/>
        <v>45964</v>
      </c>
      <c r="J167" s="19" t="s">
        <v>28</v>
      </c>
      <c r="K167" s="19" t="s">
        <v>5170</v>
      </c>
      <c r="L167" s="19"/>
    </row>
    <row r="168" ht="22.5" customHeight="1">
      <c r="C168" s="19" t="s">
        <v>7340</v>
      </c>
      <c r="D168" s="19" t="s">
        <v>7292</v>
      </c>
      <c r="E168" s="43" t="s">
        <v>7381</v>
      </c>
      <c r="F168" s="43" t="s">
        <v>7382</v>
      </c>
      <c r="G168" s="43" t="s">
        <v>7039</v>
      </c>
      <c r="H168" s="49" t="s">
        <v>7383</v>
      </c>
      <c r="I168" s="18">
        <f t="shared" si="1"/>
        <v>45964</v>
      </c>
      <c r="J168" s="19" t="s">
        <v>28</v>
      </c>
      <c r="K168" s="19" t="s">
        <v>5170</v>
      </c>
      <c r="L168" s="19"/>
    </row>
    <row r="169" ht="22.5" customHeight="1">
      <c r="C169" s="19" t="s">
        <v>7340</v>
      </c>
      <c r="D169" s="19" t="s">
        <v>7295</v>
      </c>
      <c r="E169" s="43" t="s">
        <v>7384</v>
      </c>
      <c r="F169" s="43" t="s">
        <v>7385</v>
      </c>
      <c r="G169" s="43" t="s">
        <v>6160</v>
      </c>
      <c r="H169" s="26">
        <v>9.546504448E9</v>
      </c>
      <c r="I169" s="18">
        <f t="shared" si="1"/>
        <v>45964</v>
      </c>
      <c r="J169" s="19" t="s">
        <v>28</v>
      </c>
      <c r="K169" s="19" t="s">
        <v>5170</v>
      </c>
      <c r="L169" s="19"/>
    </row>
    <row r="170" ht="22.5" customHeight="1">
      <c r="C170" s="19" t="s">
        <v>7340</v>
      </c>
      <c r="D170" s="19" t="s">
        <v>7298</v>
      </c>
      <c r="E170" s="43" t="s">
        <v>7386</v>
      </c>
      <c r="F170" s="43" t="s">
        <v>7387</v>
      </c>
      <c r="G170" s="43" t="s">
        <v>7388</v>
      </c>
      <c r="H170" s="26">
        <v>3.05457127E9</v>
      </c>
      <c r="I170" s="18">
        <f t="shared" si="1"/>
        <v>45964</v>
      </c>
      <c r="J170" s="19" t="s">
        <v>28</v>
      </c>
      <c r="K170" s="19" t="s">
        <v>5170</v>
      </c>
      <c r="L170" s="19"/>
    </row>
    <row r="171" ht="22.5" customHeight="1">
      <c r="C171" s="19" t="s">
        <v>7340</v>
      </c>
      <c r="D171" s="19" t="s">
        <v>7301</v>
      </c>
      <c r="E171" s="43" t="s">
        <v>7389</v>
      </c>
      <c r="F171" s="43" t="s">
        <v>7390</v>
      </c>
      <c r="G171" s="43" t="s">
        <v>6169</v>
      </c>
      <c r="H171" s="26">
        <v>3.05507345E9</v>
      </c>
      <c r="I171" s="18">
        <f t="shared" si="1"/>
        <v>45964</v>
      </c>
      <c r="J171" s="19" t="s">
        <v>28</v>
      </c>
      <c r="K171" s="19" t="s">
        <v>5170</v>
      </c>
      <c r="L171" s="19"/>
    </row>
    <row r="172" ht="22.5" customHeight="1">
      <c r="C172" s="19" t="s">
        <v>7340</v>
      </c>
      <c r="D172" s="19" t="s">
        <v>7304</v>
      </c>
      <c r="E172" s="43" t="s">
        <v>7391</v>
      </c>
      <c r="F172" s="43" t="s">
        <v>7392</v>
      </c>
      <c r="G172" s="43" t="s">
        <v>6949</v>
      </c>
      <c r="H172" s="26">
        <v>7.863030102E9</v>
      </c>
      <c r="I172" s="18">
        <f t="shared" si="1"/>
        <v>45964</v>
      </c>
      <c r="J172" s="19" t="s">
        <v>28</v>
      </c>
      <c r="K172" s="19" t="s">
        <v>5170</v>
      </c>
      <c r="L172" s="19"/>
    </row>
    <row r="173" ht="22.5" customHeight="1">
      <c r="C173" s="19" t="s">
        <v>7340</v>
      </c>
      <c r="D173" s="19" t="s">
        <v>7307</v>
      </c>
      <c r="E173" s="48" t="s">
        <v>7393</v>
      </c>
      <c r="F173" s="43" t="s">
        <v>7394</v>
      </c>
      <c r="G173" s="43" t="s">
        <v>6957</v>
      </c>
      <c r="H173" s="49" t="s">
        <v>7395</v>
      </c>
      <c r="I173" s="18">
        <f t="shared" si="1"/>
        <v>45964</v>
      </c>
      <c r="J173" s="19" t="s">
        <v>28</v>
      </c>
      <c r="K173" s="19" t="s">
        <v>5170</v>
      </c>
      <c r="L173" s="19" t="s">
        <v>148</v>
      </c>
    </row>
    <row r="174" ht="22.5" customHeight="1">
      <c r="C174" s="19" t="s">
        <v>7340</v>
      </c>
      <c r="D174" s="19" t="s">
        <v>7310</v>
      </c>
      <c r="E174" s="43" t="s">
        <v>7396</v>
      </c>
      <c r="F174" s="43" t="s">
        <v>7397</v>
      </c>
      <c r="G174" s="43" t="s">
        <v>7398</v>
      </c>
      <c r="H174" s="26">
        <v>3.055032814E9</v>
      </c>
      <c r="I174" s="18">
        <f t="shared" si="1"/>
        <v>45964</v>
      </c>
      <c r="J174" s="19" t="s">
        <v>28</v>
      </c>
      <c r="K174" s="19" t="s">
        <v>5170</v>
      </c>
      <c r="L174" s="19"/>
    </row>
    <row r="175" ht="22.5" customHeight="1">
      <c r="C175" s="19" t="s">
        <v>7340</v>
      </c>
      <c r="D175" s="19" t="s">
        <v>7314</v>
      </c>
      <c r="E175" s="43" t="s">
        <v>7399</v>
      </c>
      <c r="F175" s="43" t="s">
        <v>7400</v>
      </c>
      <c r="G175" s="43" t="s">
        <v>5820</v>
      </c>
      <c r="H175" s="49" t="s">
        <v>7401</v>
      </c>
      <c r="I175" s="18">
        <f t="shared" si="1"/>
        <v>45964</v>
      </c>
      <c r="J175" s="19" t="s">
        <v>28</v>
      </c>
      <c r="K175" s="19" t="s">
        <v>5170</v>
      </c>
      <c r="L175" s="19"/>
    </row>
    <row r="176" ht="22.5" customHeight="1">
      <c r="C176" s="19" t="s">
        <v>7340</v>
      </c>
      <c r="D176" s="19" t="s">
        <v>7318</v>
      </c>
      <c r="E176" s="43" t="s">
        <v>7402</v>
      </c>
      <c r="F176" s="43" t="s">
        <v>7403</v>
      </c>
      <c r="G176" s="43" t="s">
        <v>7404</v>
      </c>
      <c r="H176" s="26">
        <v>5.042502837E9</v>
      </c>
      <c r="I176" s="18">
        <f t="shared" si="1"/>
        <v>45964</v>
      </c>
      <c r="J176" s="19" t="s">
        <v>28</v>
      </c>
      <c r="K176" s="19" t="s">
        <v>5170</v>
      </c>
      <c r="L176" s="19"/>
    </row>
    <row r="177" ht="22.5" customHeight="1">
      <c r="C177" s="19" t="s">
        <v>7340</v>
      </c>
      <c r="D177" s="19" t="s">
        <v>7322</v>
      </c>
      <c r="E177" s="43" t="s">
        <v>7405</v>
      </c>
      <c r="F177" s="43" t="s">
        <v>7406</v>
      </c>
      <c r="G177" s="43" t="s">
        <v>6004</v>
      </c>
      <c r="H177" s="49" t="s">
        <v>7407</v>
      </c>
      <c r="I177" s="18">
        <f t="shared" si="1"/>
        <v>45964</v>
      </c>
      <c r="J177" s="19" t="s">
        <v>28</v>
      </c>
      <c r="K177" s="19" t="s">
        <v>5170</v>
      </c>
      <c r="L177" s="19"/>
    </row>
    <row r="178" ht="22.5" customHeight="1">
      <c r="C178" s="19" t="s">
        <v>7340</v>
      </c>
      <c r="D178" s="19" t="s">
        <v>7325</v>
      </c>
      <c r="E178" s="43" t="s">
        <v>7408</v>
      </c>
      <c r="F178" s="43" t="s">
        <v>7409</v>
      </c>
      <c r="G178" s="43" t="s">
        <v>5825</v>
      </c>
      <c r="H178" s="49" t="s">
        <v>7410</v>
      </c>
      <c r="I178" s="18">
        <f t="shared" si="1"/>
        <v>45964</v>
      </c>
      <c r="J178" s="19" t="s">
        <v>28</v>
      </c>
      <c r="K178" s="19" t="s">
        <v>5170</v>
      </c>
      <c r="L178" s="19"/>
    </row>
    <row r="179" ht="22.5" customHeight="1">
      <c r="C179" s="19" t="s">
        <v>7340</v>
      </c>
      <c r="D179" s="19" t="s">
        <v>7329</v>
      </c>
      <c r="E179" s="43" t="s">
        <v>7411</v>
      </c>
      <c r="F179" s="43" t="s">
        <v>7412</v>
      </c>
      <c r="G179" s="43" t="s">
        <v>6063</v>
      </c>
      <c r="H179" s="49" t="s">
        <v>7413</v>
      </c>
      <c r="I179" s="18">
        <f t="shared" si="1"/>
        <v>45964</v>
      </c>
      <c r="J179" s="19" t="s">
        <v>28</v>
      </c>
      <c r="K179" s="19" t="s">
        <v>5170</v>
      </c>
      <c r="L179" s="19"/>
    </row>
    <row r="180" ht="22.5" customHeight="1">
      <c r="C180" s="19" t="s">
        <v>7340</v>
      </c>
      <c r="D180" s="19" t="s">
        <v>7333</v>
      </c>
      <c r="E180" s="43" t="s">
        <v>7414</v>
      </c>
      <c r="F180" s="43" t="s">
        <v>7415</v>
      </c>
      <c r="G180" s="43" t="s">
        <v>5825</v>
      </c>
      <c r="H180" s="49" t="s">
        <v>7416</v>
      </c>
      <c r="I180" s="18">
        <f t="shared" si="1"/>
        <v>45964</v>
      </c>
      <c r="J180" s="19" t="s">
        <v>28</v>
      </c>
      <c r="K180" s="19" t="s">
        <v>5170</v>
      </c>
      <c r="L180" s="19"/>
    </row>
    <row r="181" ht="22.5" customHeight="1">
      <c r="C181" s="19" t="s">
        <v>7340</v>
      </c>
      <c r="D181" s="19" t="s">
        <v>7336</v>
      </c>
      <c r="E181" s="43" t="s">
        <v>7417</v>
      </c>
      <c r="F181" s="43" t="s">
        <v>7418</v>
      </c>
      <c r="G181" s="43" t="s">
        <v>6288</v>
      </c>
      <c r="H181" s="26">
        <v>3.053325958E9</v>
      </c>
      <c r="I181" s="18">
        <f t="shared" si="1"/>
        <v>45964</v>
      </c>
      <c r="J181" s="19" t="s">
        <v>28</v>
      </c>
      <c r="K181" s="19" t="s">
        <v>5170</v>
      </c>
      <c r="L181" s="19"/>
    </row>
    <row r="182" ht="22.5" customHeight="1">
      <c r="C182" s="19" t="s">
        <v>7340</v>
      </c>
      <c r="D182" s="19" t="s">
        <v>7338</v>
      </c>
      <c r="E182" s="43" t="s">
        <v>7419</v>
      </c>
      <c r="F182" s="43" t="s">
        <v>7420</v>
      </c>
      <c r="G182" s="43" t="s">
        <v>6581</v>
      </c>
      <c r="H182" s="26">
        <v>3.05714437E9</v>
      </c>
      <c r="I182" s="18">
        <f t="shared" si="1"/>
        <v>45964</v>
      </c>
      <c r="J182" s="19" t="s">
        <v>28</v>
      </c>
      <c r="K182" s="19" t="s">
        <v>5170</v>
      </c>
      <c r="L182" s="19"/>
    </row>
    <row r="183" ht="22.5" customHeight="1">
      <c r="C183" s="19" t="s">
        <v>7340</v>
      </c>
      <c r="D183" s="19" t="s">
        <v>7421</v>
      </c>
      <c r="E183" s="43" t="s">
        <v>7422</v>
      </c>
      <c r="F183" s="43" t="s">
        <v>7423</v>
      </c>
      <c r="G183" s="43" t="s">
        <v>7424</v>
      </c>
      <c r="H183" s="26">
        <v>7.542300884E9</v>
      </c>
      <c r="I183" s="18">
        <f t="shared" si="1"/>
        <v>45964</v>
      </c>
      <c r="J183" s="19" t="s">
        <v>28</v>
      </c>
      <c r="K183" s="19" t="s">
        <v>5170</v>
      </c>
      <c r="L183" s="19"/>
    </row>
    <row r="184" ht="22.5" customHeight="1">
      <c r="C184" s="19" t="s">
        <v>7340</v>
      </c>
      <c r="D184" s="19" t="s">
        <v>7425</v>
      </c>
      <c r="E184" s="43" t="s">
        <v>7426</v>
      </c>
      <c r="F184" s="43" t="s">
        <v>7427</v>
      </c>
      <c r="G184" s="43" t="s">
        <v>6949</v>
      </c>
      <c r="H184" s="26">
        <v>3.055021613E9</v>
      </c>
      <c r="I184" s="18">
        <f t="shared" si="1"/>
        <v>45964</v>
      </c>
      <c r="J184" s="19" t="s">
        <v>28</v>
      </c>
      <c r="K184" s="19" t="s">
        <v>5170</v>
      </c>
      <c r="L184" s="19"/>
    </row>
    <row r="185" ht="22.5" customHeight="1">
      <c r="C185" s="19" t="s">
        <v>7340</v>
      </c>
      <c r="D185" s="19" t="s">
        <v>7428</v>
      </c>
      <c r="E185" s="43" t="s">
        <v>7429</v>
      </c>
      <c r="F185" s="43" t="s">
        <v>7430</v>
      </c>
      <c r="G185" s="43" t="s">
        <v>7431</v>
      </c>
      <c r="H185" s="49" t="s">
        <v>7432</v>
      </c>
      <c r="I185" s="18">
        <f t="shared" si="1"/>
        <v>45964</v>
      </c>
      <c r="J185" s="19" t="s">
        <v>28</v>
      </c>
      <c r="K185" s="19" t="s">
        <v>5170</v>
      </c>
      <c r="L185" s="19" t="s">
        <v>99</v>
      </c>
    </row>
    <row r="186" ht="22.5" customHeight="1">
      <c r="C186" s="19" t="s">
        <v>7340</v>
      </c>
      <c r="D186" s="19" t="s">
        <v>7433</v>
      </c>
      <c r="E186" s="43" t="s">
        <v>7434</v>
      </c>
      <c r="F186" s="43" t="s">
        <v>7435</v>
      </c>
      <c r="G186" s="43" t="s">
        <v>6459</v>
      </c>
      <c r="H186" s="49" t="s">
        <v>7436</v>
      </c>
      <c r="I186" s="18">
        <f t="shared" si="1"/>
        <v>45964</v>
      </c>
      <c r="J186" s="19" t="s">
        <v>28</v>
      </c>
      <c r="K186" s="19" t="s">
        <v>5170</v>
      </c>
      <c r="L186" s="19"/>
    </row>
    <row r="187" ht="22.5" customHeight="1">
      <c r="C187" s="19" t="s">
        <v>7340</v>
      </c>
      <c r="D187" s="19" t="s">
        <v>7437</v>
      </c>
      <c r="E187" s="43" t="s">
        <v>7438</v>
      </c>
      <c r="F187" s="43" t="s">
        <v>7439</v>
      </c>
      <c r="G187" s="43" t="s">
        <v>5957</v>
      </c>
      <c r="H187" s="49" t="s">
        <v>7440</v>
      </c>
      <c r="I187" s="18">
        <f t="shared" si="1"/>
        <v>45964</v>
      </c>
      <c r="J187" s="19" t="s">
        <v>28</v>
      </c>
      <c r="K187" s="19" t="s">
        <v>5170</v>
      </c>
      <c r="L187" s="19"/>
    </row>
    <row r="188" ht="22.5" customHeight="1">
      <c r="C188" s="19" t="s">
        <v>7340</v>
      </c>
      <c r="D188" s="19" t="s">
        <v>7441</v>
      </c>
      <c r="E188" s="43" t="s">
        <v>7442</v>
      </c>
      <c r="F188" s="43" t="s">
        <v>7415</v>
      </c>
      <c r="G188" s="43" t="s">
        <v>5900</v>
      </c>
      <c r="H188" s="49" t="s">
        <v>7443</v>
      </c>
      <c r="I188" s="18">
        <f t="shared" si="1"/>
        <v>45964</v>
      </c>
      <c r="J188" s="19" t="s">
        <v>28</v>
      </c>
      <c r="K188" s="19" t="s">
        <v>5170</v>
      </c>
      <c r="L188" s="19"/>
    </row>
    <row r="189" ht="22.5" customHeight="1">
      <c r="C189" s="19" t="s">
        <v>7340</v>
      </c>
      <c r="D189" s="19" t="s">
        <v>7444</v>
      </c>
      <c r="E189" s="43" t="s">
        <v>7445</v>
      </c>
      <c r="F189" s="43" t="s">
        <v>7446</v>
      </c>
      <c r="G189" s="43" t="s">
        <v>5934</v>
      </c>
      <c r="H189" s="49" t="s">
        <v>7447</v>
      </c>
      <c r="I189" s="18">
        <f t="shared" si="1"/>
        <v>45964</v>
      </c>
      <c r="J189" s="19" t="s">
        <v>28</v>
      </c>
      <c r="K189" s="19" t="s">
        <v>5170</v>
      </c>
      <c r="L189" s="19"/>
    </row>
    <row r="190" ht="22.5" customHeight="1">
      <c r="C190" s="19" t="s">
        <v>7340</v>
      </c>
      <c r="D190" s="19" t="s">
        <v>7448</v>
      </c>
      <c r="E190" s="43" t="s">
        <v>7449</v>
      </c>
      <c r="F190" s="43" t="s">
        <v>7450</v>
      </c>
      <c r="G190" s="43" t="s">
        <v>6164</v>
      </c>
      <c r="H190" s="49" t="s">
        <v>7451</v>
      </c>
      <c r="I190" s="18">
        <f t="shared" si="1"/>
        <v>45964</v>
      </c>
      <c r="J190" s="19" t="s">
        <v>28</v>
      </c>
      <c r="K190" s="19" t="s">
        <v>5170</v>
      </c>
      <c r="L190" s="19"/>
    </row>
    <row r="191" ht="22.5" customHeight="1">
      <c r="C191" s="19" t="s">
        <v>7340</v>
      </c>
      <c r="D191" s="19" t="s">
        <v>7452</v>
      </c>
      <c r="E191" s="43" t="s">
        <v>7453</v>
      </c>
      <c r="F191" s="43" t="s">
        <v>7454</v>
      </c>
      <c r="G191" s="43" t="s">
        <v>5874</v>
      </c>
      <c r="H191" s="26">
        <v>7.865580048E9</v>
      </c>
      <c r="I191" s="18">
        <f t="shared" si="1"/>
        <v>45964</v>
      </c>
      <c r="J191" s="19" t="s">
        <v>28</v>
      </c>
      <c r="K191" s="19" t="s">
        <v>5170</v>
      </c>
      <c r="L191" s="19"/>
    </row>
    <row r="192" ht="22.5" customHeight="1">
      <c r="C192" s="19" t="s">
        <v>7340</v>
      </c>
      <c r="D192" s="19" t="s">
        <v>7455</v>
      </c>
      <c r="E192" s="43" t="s">
        <v>7456</v>
      </c>
      <c r="F192" s="43" t="s">
        <v>7457</v>
      </c>
      <c r="G192" s="43" t="s">
        <v>6068</v>
      </c>
      <c r="H192" s="26">
        <v>3.059697829E9</v>
      </c>
      <c r="I192" s="18">
        <f t="shared" si="1"/>
        <v>45964</v>
      </c>
      <c r="J192" s="19" t="s">
        <v>28</v>
      </c>
      <c r="K192" s="19" t="s">
        <v>5170</v>
      </c>
      <c r="L192" s="19"/>
    </row>
    <row r="193" ht="22.5" customHeight="1">
      <c r="C193" s="19" t="s">
        <v>7340</v>
      </c>
      <c r="D193" s="19" t="s">
        <v>7458</v>
      </c>
      <c r="E193" s="43" t="s">
        <v>7459</v>
      </c>
      <c r="F193" s="43" t="s">
        <v>7460</v>
      </c>
      <c r="G193" s="43" t="s">
        <v>5913</v>
      </c>
      <c r="H193" s="49" t="s">
        <v>7461</v>
      </c>
      <c r="I193" s="18">
        <f t="shared" si="1"/>
        <v>45964</v>
      </c>
      <c r="J193" s="19" t="s">
        <v>28</v>
      </c>
      <c r="K193" s="19" t="s">
        <v>5170</v>
      </c>
      <c r="L193" s="19"/>
    </row>
    <row r="194" ht="22.5" customHeight="1">
      <c r="C194" s="19" t="s">
        <v>7340</v>
      </c>
      <c r="D194" s="19" t="s">
        <v>7462</v>
      </c>
      <c r="E194" s="43" t="s">
        <v>7463</v>
      </c>
      <c r="F194" s="43" t="s">
        <v>7464</v>
      </c>
      <c r="G194" s="43" t="s">
        <v>7465</v>
      </c>
      <c r="H194" s="26">
        <v>7.864267774E9</v>
      </c>
      <c r="I194" s="18">
        <f t="shared" si="1"/>
        <v>45964</v>
      </c>
      <c r="J194" s="19" t="s">
        <v>28</v>
      </c>
      <c r="K194" s="19" t="s">
        <v>5170</v>
      </c>
      <c r="L194" s="19"/>
    </row>
    <row r="195" ht="22.5" customHeight="1">
      <c r="C195" s="19" t="s">
        <v>7340</v>
      </c>
      <c r="D195" s="19" t="s">
        <v>7466</v>
      </c>
      <c r="E195" s="43" t="s">
        <v>7467</v>
      </c>
      <c r="F195" s="43" t="s">
        <v>7468</v>
      </c>
      <c r="G195" s="43" t="s">
        <v>7469</v>
      </c>
      <c r="H195" s="26">
        <v>2.025709748E9</v>
      </c>
      <c r="I195" s="18">
        <f t="shared" si="1"/>
        <v>45964</v>
      </c>
      <c r="J195" s="19" t="s">
        <v>28</v>
      </c>
      <c r="K195" s="19" t="s">
        <v>5170</v>
      </c>
      <c r="L195" s="19"/>
    </row>
    <row r="196" ht="22.5" customHeight="1">
      <c r="C196" s="19" t="s">
        <v>7340</v>
      </c>
      <c r="D196" s="19" t="s">
        <v>7470</v>
      </c>
      <c r="E196" s="43" t="s">
        <v>7471</v>
      </c>
      <c r="F196" s="43" t="s">
        <v>7472</v>
      </c>
      <c r="G196" s="43" t="s">
        <v>7473</v>
      </c>
      <c r="H196" s="49" t="s">
        <v>7474</v>
      </c>
      <c r="I196" s="18">
        <f t="shared" si="1"/>
        <v>45964</v>
      </c>
      <c r="J196" s="19" t="s">
        <v>28</v>
      </c>
      <c r="K196" s="19" t="s">
        <v>5170</v>
      </c>
      <c r="L196" s="19"/>
    </row>
    <row r="197" ht="22.5" customHeight="1">
      <c r="C197" s="19" t="s">
        <v>7340</v>
      </c>
      <c r="D197" s="19" t="s">
        <v>7475</v>
      </c>
      <c r="E197" s="43" t="s">
        <v>7476</v>
      </c>
      <c r="F197" s="43" t="s">
        <v>7477</v>
      </c>
      <c r="G197" s="43" t="s">
        <v>5878</v>
      </c>
      <c r="H197" s="49" t="s">
        <v>7478</v>
      </c>
      <c r="I197" s="18">
        <f t="shared" si="1"/>
        <v>45964</v>
      </c>
      <c r="J197" s="19" t="s">
        <v>28</v>
      </c>
      <c r="K197" s="19" t="s">
        <v>5170</v>
      </c>
      <c r="L197" s="19"/>
    </row>
    <row r="198" ht="22.5" customHeight="1">
      <c r="C198" s="19" t="s">
        <v>7340</v>
      </c>
      <c r="D198" s="19" t="s">
        <v>7479</v>
      </c>
      <c r="E198" s="43" t="s">
        <v>7480</v>
      </c>
      <c r="F198" s="43" t="s">
        <v>7481</v>
      </c>
      <c r="G198" s="43" t="s">
        <v>7482</v>
      </c>
      <c r="H198" s="26">
        <v>9.546337757E9</v>
      </c>
      <c r="I198" s="18">
        <f t="shared" si="1"/>
        <v>45964</v>
      </c>
      <c r="J198" s="19" t="s">
        <v>28</v>
      </c>
      <c r="K198" s="19" t="s">
        <v>5170</v>
      </c>
      <c r="L198" s="19"/>
    </row>
    <row r="199" ht="22.5" customHeight="1">
      <c r="C199" s="19" t="s">
        <v>7340</v>
      </c>
      <c r="D199" s="19" t="s">
        <v>7483</v>
      </c>
      <c r="E199" s="43" t="s">
        <v>7484</v>
      </c>
      <c r="F199" s="43" t="s">
        <v>7485</v>
      </c>
      <c r="G199" s="43" t="s">
        <v>7291</v>
      </c>
      <c r="H199" s="26">
        <v>3.054913884E9</v>
      </c>
      <c r="I199" s="18">
        <f t="shared" si="1"/>
        <v>45964</v>
      </c>
      <c r="J199" s="19" t="s">
        <v>28</v>
      </c>
      <c r="K199" s="19" t="s">
        <v>5170</v>
      </c>
      <c r="L199" s="19"/>
    </row>
    <row r="200" ht="22.5" customHeight="1">
      <c r="C200" s="19" t="s">
        <v>7340</v>
      </c>
      <c r="D200" s="19" t="s">
        <v>7486</v>
      </c>
      <c r="E200" s="43" t="s">
        <v>7487</v>
      </c>
      <c r="F200" s="43" t="s">
        <v>7488</v>
      </c>
      <c r="G200" s="43" t="s">
        <v>5988</v>
      </c>
      <c r="H200" s="26">
        <v>7.863446868E9</v>
      </c>
      <c r="I200" s="18">
        <f t="shared" si="1"/>
        <v>45964</v>
      </c>
      <c r="J200" s="19" t="s">
        <v>28</v>
      </c>
      <c r="K200" s="19" t="s">
        <v>5170</v>
      </c>
      <c r="L200" s="19"/>
    </row>
    <row r="201" ht="22.5" customHeight="1">
      <c r="C201" s="19" t="s">
        <v>7340</v>
      </c>
      <c r="D201" s="19" t="s">
        <v>7489</v>
      </c>
      <c r="E201" s="43" t="s">
        <v>7490</v>
      </c>
      <c r="F201" s="43" t="s">
        <v>7491</v>
      </c>
      <c r="G201" s="43" t="s">
        <v>460</v>
      </c>
      <c r="H201" s="49" t="s">
        <v>7492</v>
      </c>
      <c r="I201" s="18">
        <f t="shared" si="1"/>
        <v>45964</v>
      </c>
      <c r="J201" s="19" t="s">
        <v>28</v>
      </c>
      <c r="K201" s="19" t="s">
        <v>5170</v>
      </c>
      <c r="L201" s="19"/>
    </row>
    <row r="202" ht="22.5" customHeight="1">
      <c r="C202" s="19" t="s">
        <v>7340</v>
      </c>
      <c r="D202" s="19" t="s">
        <v>7493</v>
      </c>
      <c r="E202" s="43" t="s">
        <v>7494</v>
      </c>
      <c r="F202" s="43" t="s">
        <v>7495</v>
      </c>
      <c r="G202" s="43" t="s">
        <v>7496</v>
      </c>
      <c r="H202" s="26">
        <v>3.055079097E9</v>
      </c>
      <c r="I202" s="18">
        <f t="shared" si="1"/>
        <v>45964</v>
      </c>
      <c r="J202" s="19" t="s">
        <v>28</v>
      </c>
      <c r="K202" s="19" t="s">
        <v>5170</v>
      </c>
      <c r="L202" s="19"/>
    </row>
    <row r="203" ht="22.5" customHeight="1">
      <c r="C203" s="19" t="s">
        <v>7340</v>
      </c>
      <c r="D203" s="19" t="s">
        <v>7497</v>
      </c>
      <c r="E203" s="43" t="s">
        <v>7498</v>
      </c>
      <c r="F203" s="43" t="s">
        <v>7499</v>
      </c>
      <c r="G203" s="43" t="s">
        <v>5949</v>
      </c>
      <c r="H203" s="49" t="s">
        <v>7500</v>
      </c>
      <c r="I203" s="18">
        <f t="shared" si="1"/>
        <v>45964</v>
      </c>
      <c r="J203" s="19" t="s">
        <v>28</v>
      </c>
      <c r="K203" s="19" t="s">
        <v>5170</v>
      </c>
      <c r="L203" s="19"/>
    </row>
    <row r="204" ht="22.5" customHeight="1">
      <c r="C204" s="19" t="s">
        <v>7340</v>
      </c>
      <c r="D204" s="19" t="s">
        <v>7501</v>
      </c>
      <c r="E204" s="43" t="s">
        <v>7502</v>
      </c>
      <c r="F204" s="43" t="s">
        <v>7503</v>
      </c>
      <c r="G204" s="43" t="s">
        <v>5834</v>
      </c>
      <c r="H204" s="49" t="s">
        <v>7504</v>
      </c>
      <c r="I204" s="18">
        <f t="shared" si="1"/>
        <v>45964</v>
      </c>
      <c r="J204" s="19" t="s">
        <v>28</v>
      </c>
      <c r="K204" s="19" t="s">
        <v>5170</v>
      </c>
      <c r="L204" s="19"/>
    </row>
    <row r="205" ht="22.5" customHeight="1">
      <c r="C205" s="19" t="s">
        <v>7340</v>
      </c>
      <c r="D205" s="19" t="s">
        <v>7505</v>
      </c>
      <c r="E205" s="43" t="s">
        <v>7506</v>
      </c>
      <c r="F205" s="43" t="s">
        <v>7507</v>
      </c>
      <c r="G205" s="43" t="s">
        <v>7508</v>
      </c>
      <c r="H205" s="49" t="s">
        <v>7509</v>
      </c>
      <c r="I205" s="18">
        <f t="shared" si="1"/>
        <v>45964</v>
      </c>
      <c r="J205" s="19" t="s">
        <v>28</v>
      </c>
      <c r="K205" s="19" t="s">
        <v>5170</v>
      </c>
      <c r="L205" s="19"/>
    </row>
    <row r="206" ht="22.5" customHeight="1">
      <c r="C206" s="19" t="s">
        <v>7340</v>
      </c>
      <c r="D206" s="19" t="s">
        <v>7510</v>
      </c>
      <c r="E206" s="43" t="s">
        <v>7511</v>
      </c>
      <c r="F206" s="43" t="s">
        <v>7512</v>
      </c>
      <c r="G206" s="43" t="s">
        <v>460</v>
      </c>
      <c r="H206" s="49" t="s">
        <v>7513</v>
      </c>
      <c r="I206" s="18">
        <f t="shared" si="1"/>
        <v>45964</v>
      </c>
      <c r="J206" s="19" t="s">
        <v>28</v>
      </c>
      <c r="K206" s="19" t="s">
        <v>5170</v>
      </c>
      <c r="L206" s="19"/>
    </row>
    <row r="207" ht="22.5" customHeight="1">
      <c r="C207" s="19" t="s">
        <v>7340</v>
      </c>
      <c r="D207" s="19" t="s">
        <v>7514</v>
      </c>
      <c r="E207" s="43" t="s">
        <v>7515</v>
      </c>
      <c r="F207" s="43" t="s">
        <v>5903</v>
      </c>
      <c r="G207" s="43" t="s">
        <v>5904</v>
      </c>
      <c r="H207" s="26">
        <v>3.053370569E9</v>
      </c>
      <c r="I207" s="18">
        <f t="shared" si="1"/>
        <v>45964</v>
      </c>
      <c r="J207" s="19" t="s">
        <v>28</v>
      </c>
      <c r="K207" s="19" t="s">
        <v>5170</v>
      </c>
      <c r="L207" s="19"/>
    </row>
    <row r="208" ht="22.5" customHeight="1">
      <c r="C208" s="19" t="s">
        <v>7340</v>
      </c>
      <c r="D208" s="19" t="s">
        <v>7516</v>
      </c>
      <c r="E208" s="43" t="s">
        <v>7517</v>
      </c>
      <c r="F208" s="43" t="s">
        <v>223</v>
      </c>
      <c r="G208" s="43" t="s">
        <v>6043</v>
      </c>
      <c r="H208" s="26">
        <v>7.865783149E9</v>
      </c>
      <c r="I208" s="18">
        <f t="shared" si="1"/>
        <v>45964</v>
      </c>
      <c r="J208" s="19" t="s">
        <v>28</v>
      </c>
      <c r="K208" s="19" t="s">
        <v>5170</v>
      </c>
      <c r="L208" s="19"/>
    </row>
    <row r="209" ht="22.5" customHeight="1">
      <c r="C209" s="19" t="s">
        <v>7340</v>
      </c>
      <c r="D209" s="19" t="s">
        <v>7518</v>
      </c>
      <c r="E209" s="43" t="s">
        <v>7519</v>
      </c>
      <c r="F209" s="43" t="s">
        <v>7520</v>
      </c>
      <c r="G209" s="43" t="s">
        <v>5962</v>
      </c>
      <c r="H209" s="49" t="s">
        <v>7521</v>
      </c>
      <c r="I209" s="18">
        <f t="shared" si="1"/>
        <v>45964</v>
      </c>
      <c r="J209" s="19" t="s">
        <v>28</v>
      </c>
      <c r="K209" s="19" t="s">
        <v>5170</v>
      </c>
      <c r="L209" s="19"/>
    </row>
    <row r="210" ht="22.5" customHeight="1">
      <c r="C210" s="19" t="s">
        <v>7340</v>
      </c>
      <c r="D210" s="19" t="s">
        <v>7522</v>
      </c>
      <c r="E210" s="43" t="s">
        <v>7523</v>
      </c>
      <c r="F210" s="43" t="s">
        <v>7524</v>
      </c>
      <c r="G210" s="43" t="s">
        <v>6076</v>
      </c>
      <c r="H210" s="49" t="s">
        <v>7525</v>
      </c>
      <c r="I210" s="18">
        <f t="shared" si="1"/>
        <v>45964</v>
      </c>
      <c r="J210" s="19" t="s">
        <v>28</v>
      </c>
      <c r="K210" s="19" t="s">
        <v>5170</v>
      </c>
      <c r="L210" s="19"/>
    </row>
    <row r="211" ht="22.5" customHeight="1">
      <c r="C211" s="19" t="s">
        <v>7340</v>
      </c>
      <c r="D211" s="19" t="s">
        <v>7526</v>
      </c>
      <c r="E211" s="43" t="s">
        <v>7527</v>
      </c>
      <c r="F211" s="43" t="s">
        <v>7528</v>
      </c>
      <c r="G211" s="43" t="s">
        <v>6076</v>
      </c>
      <c r="H211" s="49" t="s">
        <v>7529</v>
      </c>
      <c r="I211" s="18">
        <f t="shared" si="1"/>
        <v>45964</v>
      </c>
      <c r="J211" s="19" t="s">
        <v>28</v>
      </c>
      <c r="K211" s="19" t="s">
        <v>5170</v>
      </c>
      <c r="L211" s="19"/>
    </row>
    <row r="212" ht="22.5" customHeight="1">
      <c r="C212" s="19" t="s">
        <v>7340</v>
      </c>
      <c r="D212" s="19" t="s">
        <v>7530</v>
      </c>
      <c r="E212" s="43" t="s">
        <v>7531</v>
      </c>
      <c r="F212" s="43" t="s">
        <v>7532</v>
      </c>
      <c r="G212" s="43" t="s">
        <v>5926</v>
      </c>
      <c r="H212" s="26">
        <v>3.058505885E9</v>
      </c>
      <c r="I212" s="18">
        <f t="shared" si="1"/>
        <v>45964</v>
      </c>
      <c r="J212" s="19" t="s">
        <v>28</v>
      </c>
      <c r="K212" s="19" t="s">
        <v>5170</v>
      </c>
      <c r="L212" s="19"/>
    </row>
    <row r="213" ht="22.5" customHeight="1">
      <c r="C213" s="19" t="s">
        <v>7340</v>
      </c>
      <c r="D213" s="19" t="s">
        <v>7533</v>
      </c>
      <c r="E213" s="43" t="s">
        <v>7534</v>
      </c>
      <c r="F213" s="43" t="s">
        <v>7535</v>
      </c>
      <c r="G213" s="43" t="s">
        <v>7536</v>
      </c>
      <c r="H213" s="49" t="s">
        <v>7537</v>
      </c>
      <c r="I213" s="18">
        <f t="shared" si="1"/>
        <v>45964</v>
      </c>
      <c r="J213" s="19" t="s">
        <v>28</v>
      </c>
      <c r="K213" s="19" t="s">
        <v>5170</v>
      </c>
      <c r="L213" s="19"/>
    </row>
    <row r="214" ht="22.5" customHeight="1">
      <c r="C214" s="19" t="s">
        <v>7340</v>
      </c>
      <c r="D214" s="19" t="s">
        <v>7538</v>
      </c>
      <c r="E214" s="43" t="s">
        <v>7539</v>
      </c>
      <c r="F214" s="43" t="s">
        <v>7540</v>
      </c>
      <c r="G214" s="43" t="s">
        <v>6348</v>
      </c>
      <c r="H214" s="26">
        <v>7.862122182E9</v>
      </c>
      <c r="I214" s="18">
        <f t="shared" si="1"/>
        <v>45964</v>
      </c>
      <c r="J214" s="19" t="s">
        <v>28</v>
      </c>
      <c r="K214" s="19" t="s">
        <v>5170</v>
      </c>
      <c r="L214" s="19"/>
    </row>
    <row r="215" ht="22.5" customHeight="1">
      <c r="C215" s="19" t="s">
        <v>7541</v>
      </c>
      <c r="D215" s="19" t="s">
        <v>7238</v>
      </c>
      <c r="E215" s="43" t="s">
        <v>7542</v>
      </c>
      <c r="F215" s="43" t="s">
        <v>7543</v>
      </c>
      <c r="G215" s="43" t="s">
        <v>5895</v>
      </c>
      <c r="H215" s="26">
        <v>3.054421177E9</v>
      </c>
      <c r="I215" s="18">
        <f t="shared" si="1"/>
        <v>45964</v>
      </c>
      <c r="J215" s="19" t="s">
        <v>28</v>
      </c>
      <c r="K215" s="19" t="s">
        <v>5170</v>
      </c>
      <c r="L215" s="19"/>
    </row>
    <row r="216" ht="22.5" customHeight="1">
      <c r="C216" s="19" t="s">
        <v>7541</v>
      </c>
      <c r="D216" s="19" t="s">
        <v>7242</v>
      </c>
      <c r="E216" s="43" t="s">
        <v>7544</v>
      </c>
      <c r="F216" s="43" t="s">
        <v>3071</v>
      </c>
      <c r="G216" s="43" t="s">
        <v>5866</v>
      </c>
      <c r="H216" s="49" t="s">
        <v>7545</v>
      </c>
      <c r="I216" s="18">
        <f t="shared" si="1"/>
        <v>45964</v>
      </c>
      <c r="J216" s="19" t="s">
        <v>28</v>
      </c>
      <c r="K216" s="19" t="s">
        <v>5170</v>
      </c>
      <c r="L216" s="19"/>
    </row>
    <row r="217" ht="22.5" customHeight="1">
      <c r="C217" s="19" t="s">
        <v>7541</v>
      </c>
      <c r="D217" s="19" t="s">
        <v>7245</v>
      </c>
      <c r="E217" s="43" t="s">
        <v>7546</v>
      </c>
      <c r="F217" s="43" t="s">
        <v>7547</v>
      </c>
      <c r="G217" s="43" t="s">
        <v>6063</v>
      </c>
      <c r="H217" s="49" t="s">
        <v>7548</v>
      </c>
      <c r="I217" s="18">
        <f t="shared" si="1"/>
        <v>45964</v>
      </c>
      <c r="J217" s="19" t="s">
        <v>28</v>
      </c>
      <c r="K217" s="19" t="s">
        <v>5170</v>
      </c>
      <c r="L217" s="19"/>
    </row>
    <row r="218" ht="22.5" customHeight="1">
      <c r="C218" s="19" t="s">
        <v>7541</v>
      </c>
      <c r="D218" s="19" t="s">
        <v>7249</v>
      </c>
      <c r="E218" s="43" t="s">
        <v>7549</v>
      </c>
      <c r="F218" s="43" t="s">
        <v>7550</v>
      </c>
      <c r="G218" s="43" t="s">
        <v>5882</v>
      </c>
      <c r="H218" s="26">
        <v>6.177970036E9</v>
      </c>
      <c r="I218" s="18">
        <f t="shared" si="1"/>
        <v>45964</v>
      </c>
      <c r="J218" s="19" t="s">
        <v>28</v>
      </c>
      <c r="K218" s="19" t="s">
        <v>5170</v>
      </c>
      <c r="L218" s="19"/>
    </row>
    <row r="219" ht="22.5" customHeight="1">
      <c r="C219" s="19" t="s">
        <v>7541</v>
      </c>
      <c r="D219" s="19" t="s">
        <v>7253</v>
      </c>
      <c r="E219" s="43" t="s">
        <v>7551</v>
      </c>
      <c r="F219" s="43" t="s">
        <v>1541</v>
      </c>
      <c r="G219" s="43" t="s">
        <v>5929</v>
      </c>
      <c r="H219" s="26">
        <v>3.053459102E9</v>
      </c>
      <c r="I219" s="18">
        <f t="shared" si="1"/>
        <v>45964</v>
      </c>
      <c r="J219" s="19" t="s">
        <v>28</v>
      </c>
      <c r="K219" s="19" t="s">
        <v>5170</v>
      </c>
      <c r="L219" s="19"/>
    </row>
    <row r="220" ht="22.5" customHeight="1">
      <c r="C220" s="19" t="s">
        <v>7541</v>
      </c>
      <c r="D220" s="19" t="s">
        <v>7257</v>
      </c>
      <c r="E220" s="43" t="s">
        <v>7552</v>
      </c>
      <c r="F220" s="43" t="s">
        <v>7553</v>
      </c>
      <c r="G220" s="43" t="s">
        <v>5949</v>
      </c>
      <c r="H220" s="42" t="s">
        <v>7554</v>
      </c>
      <c r="I220" s="18">
        <f t="shared" si="1"/>
        <v>45964</v>
      </c>
      <c r="J220" s="19" t="s">
        <v>28</v>
      </c>
      <c r="K220" s="19" t="s">
        <v>5170</v>
      </c>
      <c r="L220" s="19"/>
    </row>
    <row r="221" ht="22.5" customHeight="1">
      <c r="C221" s="19" t="s">
        <v>7541</v>
      </c>
      <c r="D221" s="19" t="s">
        <v>7261</v>
      </c>
      <c r="E221" s="43" t="s">
        <v>7555</v>
      </c>
      <c r="F221" s="43" t="s">
        <v>7556</v>
      </c>
      <c r="G221" s="43" t="s">
        <v>6459</v>
      </c>
      <c r="H221" s="49" t="s">
        <v>7557</v>
      </c>
      <c r="I221" s="18">
        <f t="shared" si="1"/>
        <v>45964</v>
      </c>
      <c r="J221" s="19" t="s">
        <v>28</v>
      </c>
      <c r="K221" s="19" t="s">
        <v>5170</v>
      </c>
      <c r="L221" s="19"/>
    </row>
    <row r="222" ht="22.5" customHeight="1">
      <c r="C222" s="19" t="s">
        <v>7541</v>
      </c>
      <c r="D222" s="19" t="s">
        <v>7264</v>
      </c>
      <c r="E222" s="43" t="s">
        <v>7558</v>
      </c>
      <c r="F222" s="43" t="s">
        <v>7559</v>
      </c>
      <c r="G222" s="43" t="s">
        <v>5820</v>
      </c>
      <c r="H222" s="49" t="s">
        <v>7560</v>
      </c>
      <c r="I222" s="18">
        <f t="shared" si="1"/>
        <v>45964</v>
      </c>
      <c r="J222" s="19" t="s">
        <v>28</v>
      </c>
      <c r="K222" s="19" t="s">
        <v>5170</v>
      </c>
      <c r="L222" s="19"/>
    </row>
    <row r="223" ht="22.5" customHeight="1">
      <c r="C223" s="19" t="s">
        <v>7541</v>
      </c>
      <c r="D223" s="19" t="s">
        <v>7267</v>
      </c>
      <c r="E223" s="43" t="s">
        <v>7561</v>
      </c>
      <c r="F223" s="43" t="s">
        <v>7562</v>
      </c>
      <c r="G223" s="43" t="s">
        <v>6004</v>
      </c>
      <c r="H223" s="49" t="s">
        <v>7563</v>
      </c>
      <c r="I223" s="18">
        <f t="shared" si="1"/>
        <v>45964</v>
      </c>
      <c r="J223" s="19" t="s">
        <v>28</v>
      </c>
      <c r="K223" s="19" t="s">
        <v>5170</v>
      </c>
      <c r="L223" s="19"/>
    </row>
    <row r="224" ht="22.5" customHeight="1">
      <c r="C224" s="19" t="s">
        <v>7541</v>
      </c>
      <c r="D224" s="19" t="s">
        <v>7270</v>
      </c>
      <c r="E224" s="43" t="s">
        <v>7564</v>
      </c>
      <c r="F224" s="43" t="s">
        <v>7565</v>
      </c>
      <c r="G224" s="43" t="s">
        <v>5878</v>
      </c>
      <c r="H224" s="26">
        <v>3.054908244E9</v>
      </c>
      <c r="I224" s="18">
        <f t="shared" si="1"/>
        <v>45964</v>
      </c>
      <c r="J224" s="19" t="s">
        <v>28</v>
      </c>
      <c r="K224" s="19" t="s">
        <v>5170</v>
      </c>
      <c r="L224" s="19"/>
    </row>
    <row r="225" ht="22.5" customHeight="1">
      <c r="C225" s="19" t="s">
        <v>7541</v>
      </c>
      <c r="D225" s="19" t="s">
        <v>7274</v>
      </c>
      <c r="E225" s="43" t="s">
        <v>7566</v>
      </c>
      <c r="F225" s="43" t="s">
        <v>7567</v>
      </c>
      <c r="G225" s="43" t="s">
        <v>6376</v>
      </c>
      <c r="H225" s="49" t="s">
        <v>7568</v>
      </c>
      <c r="I225" s="18">
        <f t="shared" si="1"/>
        <v>45964</v>
      </c>
      <c r="J225" s="19" t="s">
        <v>28</v>
      </c>
      <c r="K225" s="19" t="s">
        <v>5170</v>
      </c>
      <c r="L225" s="19"/>
    </row>
    <row r="226" ht="22.5" customHeight="1">
      <c r="C226" s="19" t="s">
        <v>7569</v>
      </c>
      <c r="D226" s="19" t="s">
        <v>7570</v>
      </c>
      <c r="E226" s="43" t="s">
        <v>7571</v>
      </c>
      <c r="F226" s="43" t="s">
        <v>182</v>
      </c>
      <c r="G226" s="43" t="s">
        <v>6063</v>
      </c>
      <c r="H226" s="49" t="s">
        <v>7572</v>
      </c>
      <c r="I226" s="18">
        <f t="shared" si="1"/>
        <v>45964</v>
      </c>
      <c r="J226" s="19" t="s">
        <v>28</v>
      </c>
      <c r="K226" s="19" t="s">
        <v>5170</v>
      </c>
      <c r="L226" s="19"/>
    </row>
    <row r="227" ht="22.5" customHeight="1">
      <c r="C227" s="19" t="s">
        <v>7569</v>
      </c>
      <c r="D227" s="19" t="s">
        <v>7573</v>
      </c>
      <c r="E227" s="43" t="s">
        <v>7574</v>
      </c>
      <c r="F227" s="43" t="s">
        <v>7575</v>
      </c>
      <c r="G227" s="43" t="s">
        <v>5949</v>
      </c>
      <c r="H227" s="26">
        <v>3.05332204E9</v>
      </c>
      <c r="I227" s="18">
        <f t="shared" si="1"/>
        <v>45964</v>
      </c>
      <c r="J227" s="19" t="s">
        <v>28</v>
      </c>
      <c r="K227" s="19" t="s">
        <v>5170</v>
      </c>
      <c r="L227" s="19"/>
    </row>
    <row r="228" ht="22.5" customHeight="1">
      <c r="C228" s="19" t="s">
        <v>7569</v>
      </c>
      <c r="D228" s="19" t="s">
        <v>7576</v>
      </c>
      <c r="E228" s="43" t="s">
        <v>7577</v>
      </c>
      <c r="F228" s="43" t="s">
        <v>7578</v>
      </c>
      <c r="G228" s="43" t="s">
        <v>5829</v>
      </c>
      <c r="H228" s="49" t="s">
        <v>7579</v>
      </c>
      <c r="I228" s="18">
        <f t="shared" si="1"/>
        <v>45964</v>
      </c>
      <c r="J228" s="19" t="s">
        <v>28</v>
      </c>
      <c r="K228" s="19" t="s">
        <v>5170</v>
      </c>
      <c r="L228" s="19"/>
    </row>
    <row r="229" ht="22.5" customHeight="1">
      <c r="C229" s="19" t="s">
        <v>7569</v>
      </c>
      <c r="D229" s="19" t="s">
        <v>7580</v>
      </c>
      <c r="E229" s="43" t="s">
        <v>7581</v>
      </c>
      <c r="F229" s="43" t="s">
        <v>7582</v>
      </c>
      <c r="G229" s="43" t="s">
        <v>6376</v>
      </c>
      <c r="H229" s="49" t="s">
        <v>182</v>
      </c>
      <c r="I229" s="18">
        <f t="shared" si="1"/>
        <v>45964</v>
      </c>
      <c r="J229" s="19" t="s">
        <v>28</v>
      </c>
      <c r="K229" s="19" t="s">
        <v>5170</v>
      </c>
      <c r="L229" s="19"/>
    </row>
    <row r="230" ht="22.5" customHeight="1">
      <c r="C230" s="19" t="s">
        <v>7569</v>
      </c>
      <c r="D230" s="19" t="s">
        <v>7583</v>
      </c>
      <c r="E230" s="43" t="s">
        <v>7584</v>
      </c>
      <c r="F230" s="43" t="s">
        <v>7585</v>
      </c>
      <c r="G230" s="43" t="s">
        <v>5882</v>
      </c>
      <c r="H230" s="49" t="s">
        <v>7586</v>
      </c>
      <c r="I230" s="18">
        <f t="shared" si="1"/>
        <v>45964</v>
      </c>
      <c r="J230" s="19" t="s">
        <v>28</v>
      </c>
      <c r="K230" s="19" t="s">
        <v>5170</v>
      </c>
      <c r="L230" s="19"/>
    </row>
    <row r="231" ht="22.5" customHeight="1">
      <c r="C231" s="19" t="s">
        <v>7569</v>
      </c>
      <c r="D231" s="19" t="s">
        <v>7587</v>
      </c>
      <c r="E231" s="43" t="s">
        <v>7588</v>
      </c>
      <c r="F231" s="48" t="s">
        <v>7589</v>
      </c>
      <c r="G231" s="43" t="s">
        <v>7590</v>
      </c>
      <c r="H231" s="49" t="s">
        <v>7591</v>
      </c>
      <c r="I231" s="18">
        <f t="shared" si="1"/>
        <v>45964</v>
      </c>
      <c r="J231" s="19" t="s">
        <v>28</v>
      </c>
      <c r="K231" s="19" t="s">
        <v>5170</v>
      </c>
      <c r="L231" s="19"/>
    </row>
    <row r="232" ht="22.5" customHeight="1">
      <c r="C232" s="19" t="s">
        <v>7569</v>
      </c>
      <c r="D232" s="19" t="s">
        <v>7592</v>
      </c>
      <c r="E232" s="43" t="s">
        <v>7593</v>
      </c>
      <c r="F232" s="43" t="s">
        <v>7594</v>
      </c>
      <c r="G232" s="43" t="s">
        <v>5874</v>
      </c>
      <c r="H232" s="26">
        <v>3.056083505E9</v>
      </c>
      <c r="I232" s="18">
        <f t="shared" si="1"/>
        <v>45964</v>
      </c>
      <c r="J232" s="19" t="s">
        <v>28</v>
      </c>
      <c r="K232" s="19" t="s">
        <v>5170</v>
      </c>
      <c r="L232" s="19"/>
    </row>
    <row r="233" ht="22.5" customHeight="1">
      <c r="C233" s="19" t="s">
        <v>7569</v>
      </c>
      <c r="D233" s="19" t="s">
        <v>7595</v>
      </c>
      <c r="E233" s="43" t="s">
        <v>7596</v>
      </c>
      <c r="F233" s="43" t="s">
        <v>1419</v>
      </c>
      <c r="G233" s="43" t="s">
        <v>5878</v>
      </c>
      <c r="H233" s="26">
        <v>3.053026718E9</v>
      </c>
      <c r="I233" s="18">
        <f t="shared" si="1"/>
        <v>45964</v>
      </c>
      <c r="J233" s="19" t="s">
        <v>28</v>
      </c>
      <c r="K233" s="19" t="s">
        <v>5170</v>
      </c>
      <c r="L233" s="19"/>
    </row>
    <row r="234" ht="22.5" customHeight="1">
      <c r="C234" s="19" t="s">
        <v>7569</v>
      </c>
      <c r="D234" s="19" t="s">
        <v>7597</v>
      </c>
      <c r="E234" s="43" t="s">
        <v>7598</v>
      </c>
      <c r="F234" s="43" t="s">
        <v>7599</v>
      </c>
      <c r="G234" s="43" t="s">
        <v>5957</v>
      </c>
      <c r="H234" s="26">
        <v>5.164240684E9</v>
      </c>
      <c r="I234" s="18">
        <f t="shared" si="1"/>
        <v>45964</v>
      </c>
      <c r="J234" s="19" t="s">
        <v>28</v>
      </c>
      <c r="K234" s="19" t="s">
        <v>5170</v>
      </c>
      <c r="L234" s="19"/>
    </row>
    <row r="235" ht="22.5" customHeight="1">
      <c r="C235" s="19" t="s">
        <v>7569</v>
      </c>
      <c r="D235" s="19" t="s">
        <v>7600</v>
      </c>
      <c r="E235" s="43" t="s">
        <v>7601</v>
      </c>
      <c r="F235" s="43" t="s">
        <v>7602</v>
      </c>
      <c r="G235" s="43" t="s">
        <v>5929</v>
      </c>
      <c r="H235" s="26">
        <v>3.05546747E9</v>
      </c>
      <c r="I235" s="18">
        <f t="shared" si="1"/>
        <v>45964</v>
      </c>
      <c r="J235" s="19" t="s">
        <v>28</v>
      </c>
      <c r="K235" s="19" t="s">
        <v>5170</v>
      </c>
      <c r="L235" s="19"/>
    </row>
    <row r="236" ht="22.5" customHeight="1">
      <c r="C236" s="19" t="s">
        <v>7569</v>
      </c>
      <c r="D236" s="19" t="s">
        <v>7603</v>
      </c>
      <c r="E236" s="43" t="s">
        <v>7604</v>
      </c>
      <c r="F236" s="43" t="s">
        <v>7605</v>
      </c>
      <c r="G236" s="43" t="s">
        <v>7606</v>
      </c>
      <c r="H236" s="44">
        <v>7.865403862E9</v>
      </c>
      <c r="I236" s="18">
        <f t="shared" si="1"/>
        <v>45964</v>
      </c>
      <c r="J236" s="19" t="s">
        <v>28</v>
      </c>
      <c r="K236" s="19" t="s">
        <v>5170</v>
      </c>
      <c r="L236" s="19"/>
    </row>
    <row r="237" ht="22.5" customHeight="1">
      <c r="C237" s="19" t="s">
        <v>7569</v>
      </c>
      <c r="D237" s="19" t="s">
        <v>7607</v>
      </c>
      <c r="E237" s="43" t="s">
        <v>7608</v>
      </c>
      <c r="F237" s="43" t="s">
        <v>7609</v>
      </c>
      <c r="G237" s="43" t="s">
        <v>6257</v>
      </c>
      <c r="H237" s="26">
        <v>9.546299724E9</v>
      </c>
      <c r="I237" s="18">
        <f t="shared" si="1"/>
        <v>45964</v>
      </c>
      <c r="J237" s="19" t="s">
        <v>28</v>
      </c>
      <c r="K237" s="19" t="s">
        <v>5170</v>
      </c>
      <c r="L237" s="19"/>
    </row>
    <row r="238" ht="22.5" customHeight="1">
      <c r="C238" s="19" t="s">
        <v>7569</v>
      </c>
      <c r="D238" s="19" t="s">
        <v>7610</v>
      </c>
      <c r="E238" s="43" t="s">
        <v>7611</v>
      </c>
      <c r="F238" s="43" t="s">
        <v>7612</v>
      </c>
      <c r="G238" s="43" t="s">
        <v>5834</v>
      </c>
      <c r="H238" s="49" t="s">
        <v>7613</v>
      </c>
      <c r="I238" s="18">
        <f t="shared" si="1"/>
        <v>45964</v>
      </c>
      <c r="J238" s="19" t="s">
        <v>28</v>
      </c>
      <c r="K238" s="19" t="s">
        <v>5170</v>
      </c>
      <c r="L238" s="19"/>
    </row>
    <row r="239" ht="22.5" customHeight="1">
      <c r="C239" s="19" t="s">
        <v>7569</v>
      </c>
      <c r="D239" s="19" t="s">
        <v>7614</v>
      </c>
      <c r="E239" s="43" t="s">
        <v>7615</v>
      </c>
      <c r="F239" s="43" t="s">
        <v>7616</v>
      </c>
      <c r="G239" s="43" t="s">
        <v>6169</v>
      </c>
      <c r="H239" s="49" t="s">
        <v>182</v>
      </c>
      <c r="I239" s="18">
        <f t="shared" si="1"/>
        <v>45964</v>
      </c>
      <c r="J239" s="19" t="s">
        <v>28</v>
      </c>
      <c r="K239" s="19" t="s">
        <v>5170</v>
      </c>
      <c r="L239" s="19"/>
    </row>
    <row r="240" ht="22.5" customHeight="1">
      <c r="C240" s="19" t="s">
        <v>7569</v>
      </c>
      <c r="D240" s="19" t="s">
        <v>7617</v>
      </c>
      <c r="E240" s="43" t="s">
        <v>7618</v>
      </c>
      <c r="F240" s="43" t="s">
        <v>7619</v>
      </c>
      <c r="G240" s="43" t="s">
        <v>6043</v>
      </c>
      <c r="H240" s="49" t="s">
        <v>7620</v>
      </c>
      <c r="I240" s="18">
        <f t="shared" si="1"/>
        <v>45964</v>
      </c>
      <c r="J240" s="19" t="s">
        <v>28</v>
      </c>
      <c r="K240" s="19" t="s">
        <v>5170</v>
      </c>
      <c r="L240" s="19"/>
    </row>
    <row r="241" ht="22.5" customHeight="1">
      <c r="C241" s="19" t="s">
        <v>7569</v>
      </c>
      <c r="D241" s="19" t="s">
        <v>7621</v>
      </c>
      <c r="E241" s="43" t="s">
        <v>7622</v>
      </c>
      <c r="F241" s="43" t="s">
        <v>7623</v>
      </c>
      <c r="G241" s="43" t="s">
        <v>6160</v>
      </c>
      <c r="H241" s="26">
        <v>3.052100212E9</v>
      </c>
      <c r="I241" s="18">
        <f t="shared" si="1"/>
        <v>45964</v>
      </c>
      <c r="J241" s="19" t="s">
        <v>28</v>
      </c>
      <c r="K241" s="19" t="s">
        <v>5170</v>
      </c>
      <c r="L241" s="19"/>
    </row>
    <row r="242" ht="22.5" customHeight="1">
      <c r="C242" s="19" t="s">
        <v>7569</v>
      </c>
      <c r="D242" s="19" t="s">
        <v>7624</v>
      </c>
      <c r="E242" s="43" t="s">
        <v>7625</v>
      </c>
      <c r="F242" s="43" t="s">
        <v>7626</v>
      </c>
      <c r="G242" s="43" t="s">
        <v>5962</v>
      </c>
      <c r="H242" s="49" t="s">
        <v>7627</v>
      </c>
      <c r="I242" s="18">
        <f t="shared" si="1"/>
        <v>45964</v>
      </c>
      <c r="J242" s="19" t="s">
        <v>28</v>
      </c>
      <c r="K242" s="19" t="s">
        <v>5170</v>
      </c>
      <c r="L242" s="19"/>
    </row>
    <row r="243" ht="22.5" customHeight="1">
      <c r="C243" s="19" t="s">
        <v>7569</v>
      </c>
      <c r="D243" s="19" t="s">
        <v>7628</v>
      </c>
      <c r="E243" s="43" t="s">
        <v>7629</v>
      </c>
      <c r="F243" s="43" t="s">
        <v>4286</v>
      </c>
      <c r="G243" s="43" t="s">
        <v>5866</v>
      </c>
      <c r="H243" s="49" t="s">
        <v>7630</v>
      </c>
      <c r="I243" s="18">
        <f t="shared" si="1"/>
        <v>45964</v>
      </c>
      <c r="J243" s="19" t="s">
        <v>28</v>
      </c>
      <c r="K243" s="19" t="s">
        <v>5170</v>
      </c>
      <c r="L243" s="19"/>
    </row>
    <row r="244" ht="22.5" customHeight="1">
      <c r="C244" s="19" t="s">
        <v>7569</v>
      </c>
      <c r="D244" s="19" t="s">
        <v>7631</v>
      </c>
      <c r="E244" s="43" t="s">
        <v>7632</v>
      </c>
      <c r="F244" s="43" t="s">
        <v>7633</v>
      </c>
      <c r="G244" s="43" t="s">
        <v>7398</v>
      </c>
      <c r="H244" s="49" t="s">
        <v>7634</v>
      </c>
      <c r="I244" s="18">
        <f t="shared" si="1"/>
        <v>45964</v>
      </c>
      <c r="J244" s="19" t="s">
        <v>28</v>
      </c>
      <c r="K244" s="19" t="s">
        <v>5170</v>
      </c>
      <c r="L244" s="19" t="s">
        <v>148</v>
      </c>
    </row>
    <row r="245" ht="22.5" customHeight="1">
      <c r="C245" s="19" t="s">
        <v>7569</v>
      </c>
      <c r="D245" s="19" t="s">
        <v>7635</v>
      </c>
      <c r="E245" s="43" t="s">
        <v>7636</v>
      </c>
      <c r="F245" s="43" t="s">
        <v>7637</v>
      </c>
      <c r="G245" s="43" t="s">
        <v>5939</v>
      </c>
      <c r="H245" s="49" t="s">
        <v>7638</v>
      </c>
      <c r="I245" s="18">
        <f t="shared" si="1"/>
        <v>45964</v>
      </c>
      <c r="J245" s="19" t="s">
        <v>28</v>
      </c>
      <c r="K245" s="19" t="s">
        <v>5170</v>
      </c>
      <c r="L245" s="19"/>
    </row>
    <row r="246" ht="22.5" customHeight="1">
      <c r="C246" s="19" t="s">
        <v>7569</v>
      </c>
      <c r="D246" s="19" t="s">
        <v>7639</v>
      </c>
      <c r="E246" s="43" t="s">
        <v>7640</v>
      </c>
      <c r="F246" s="43" t="s">
        <v>7641</v>
      </c>
      <c r="G246" s="43" t="s">
        <v>6241</v>
      </c>
      <c r="H246" s="26">
        <v>3.05954026E9</v>
      </c>
      <c r="I246" s="18">
        <f t="shared" si="1"/>
        <v>45964</v>
      </c>
      <c r="J246" s="19" t="s">
        <v>28</v>
      </c>
      <c r="K246" s="19" t="s">
        <v>5170</v>
      </c>
      <c r="L246" s="19"/>
    </row>
    <row r="247" ht="22.5" customHeight="1">
      <c r="C247" s="19" t="s">
        <v>7569</v>
      </c>
      <c r="D247" s="19" t="s">
        <v>7642</v>
      </c>
      <c r="E247" s="43" t="s">
        <v>7643</v>
      </c>
      <c r="F247" s="43" t="s">
        <v>7644</v>
      </c>
      <c r="G247" s="43" t="s">
        <v>5820</v>
      </c>
      <c r="H247" s="26">
        <v>5.165873342E9</v>
      </c>
      <c r="I247" s="18">
        <f t="shared" si="1"/>
        <v>45964</v>
      </c>
      <c r="J247" s="19" t="s">
        <v>28</v>
      </c>
      <c r="K247" s="19" t="s">
        <v>5170</v>
      </c>
      <c r="L247" s="19"/>
    </row>
    <row r="248" ht="22.5" customHeight="1">
      <c r="C248" s="19" t="s">
        <v>7569</v>
      </c>
      <c r="D248" s="19" t="s">
        <v>7645</v>
      </c>
      <c r="E248" s="43" t="s">
        <v>7646</v>
      </c>
      <c r="F248" s="43" t="s">
        <v>7647</v>
      </c>
      <c r="G248" s="43" t="s">
        <v>5825</v>
      </c>
      <c r="H248" s="49" t="s">
        <v>7613</v>
      </c>
      <c r="I248" s="18">
        <f t="shared" si="1"/>
        <v>45964</v>
      </c>
      <c r="J248" s="19" t="s">
        <v>28</v>
      </c>
      <c r="K248" s="19" t="s">
        <v>5170</v>
      </c>
      <c r="L248" s="19"/>
    </row>
    <row r="249" ht="22.5" customHeight="1">
      <c r="C249" s="19" t="s">
        <v>7569</v>
      </c>
      <c r="D249" s="19" t="s">
        <v>7648</v>
      </c>
      <c r="E249" s="43" t="s">
        <v>7649</v>
      </c>
      <c r="F249" s="43" t="s">
        <v>7650</v>
      </c>
      <c r="G249" s="43" t="s">
        <v>6118</v>
      </c>
      <c r="H249" s="26">
        <v>7.862664541E9</v>
      </c>
      <c r="I249" s="18">
        <f t="shared" si="1"/>
        <v>45964</v>
      </c>
      <c r="J249" s="19" t="s">
        <v>28</v>
      </c>
      <c r="K249" s="19" t="s">
        <v>5170</v>
      </c>
      <c r="L249" s="19"/>
    </row>
    <row r="250" ht="22.5" customHeight="1">
      <c r="C250" s="19" t="s">
        <v>7651</v>
      </c>
      <c r="D250" s="19" t="s">
        <v>7652</v>
      </c>
      <c r="E250" s="43" t="s">
        <v>7653</v>
      </c>
      <c r="F250" s="43" t="s">
        <v>7654</v>
      </c>
      <c r="G250" s="43" t="s">
        <v>6232</v>
      </c>
      <c r="H250" s="26">
        <v>7.868790097E9</v>
      </c>
      <c r="I250" s="18">
        <f t="shared" si="1"/>
        <v>45964</v>
      </c>
      <c r="J250" s="19" t="s">
        <v>28</v>
      </c>
      <c r="K250" s="19" t="s">
        <v>5170</v>
      </c>
      <c r="L250" s="19"/>
    </row>
    <row r="251" ht="22.5" customHeight="1">
      <c r="C251" s="19" t="s">
        <v>7651</v>
      </c>
      <c r="D251" s="19" t="s">
        <v>7655</v>
      </c>
      <c r="E251" s="43" t="s">
        <v>7656</v>
      </c>
      <c r="F251" s="43" t="s">
        <v>7657</v>
      </c>
      <c r="G251" s="43" t="s">
        <v>460</v>
      </c>
      <c r="H251" s="49" t="s">
        <v>7658</v>
      </c>
      <c r="I251" s="18">
        <f t="shared" si="1"/>
        <v>45964</v>
      </c>
      <c r="J251" s="19" t="s">
        <v>28</v>
      </c>
      <c r="K251" s="19" t="s">
        <v>5170</v>
      </c>
      <c r="L251" s="19"/>
    </row>
    <row r="252" ht="22.5" customHeight="1">
      <c r="C252" s="19" t="s">
        <v>7651</v>
      </c>
      <c r="D252" s="19" t="s">
        <v>7659</v>
      </c>
      <c r="E252" s="43" t="s">
        <v>7660</v>
      </c>
      <c r="F252" s="43" t="s">
        <v>767</v>
      </c>
      <c r="G252" s="43" t="s">
        <v>5988</v>
      </c>
      <c r="H252" s="26">
        <v>7.869012199E9</v>
      </c>
      <c r="I252" s="18">
        <f t="shared" si="1"/>
        <v>45964</v>
      </c>
      <c r="J252" s="19" t="s">
        <v>28</v>
      </c>
      <c r="K252" s="19" t="s">
        <v>5170</v>
      </c>
      <c r="L252" s="19"/>
    </row>
    <row r="253" ht="22.5" customHeight="1">
      <c r="C253" s="19" t="s">
        <v>7651</v>
      </c>
      <c r="D253" s="19" t="s">
        <v>7661</v>
      </c>
      <c r="E253" s="43" t="s">
        <v>7662</v>
      </c>
      <c r="F253" s="43" t="s">
        <v>7663</v>
      </c>
      <c r="G253" s="43" t="s">
        <v>5866</v>
      </c>
      <c r="H253" s="26">
        <v>3.056703732E9</v>
      </c>
      <c r="I253" s="18">
        <f t="shared" si="1"/>
        <v>45964</v>
      </c>
      <c r="J253" s="19" t="s">
        <v>28</v>
      </c>
      <c r="K253" s="19" t="s">
        <v>5170</v>
      </c>
      <c r="L253" s="19"/>
    </row>
    <row r="254" ht="22.5" customHeight="1">
      <c r="C254" s="19" t="s">
        <v>7651</v>
      </c>
      <c r="D254" s="19" t="s">
        <v>7664</v>
      </c>
      <c r="E254" s="43" t="s">
        <v>7665</v>
      </c>
      <c r="F254" s="48" t="s">
        <v>990</v>
      </c>
      <c r="G254" s="43" t="s">
        <v>5878</v>
      </c>
      <c r="H254" s="44">
        <v>7.865663355E9</v>
      </c>
      <c r="I254" s="18">
        <f t="shared" si="1"/>
        <v>45964</v>
      </c>
      <c r="J254" s="19" t="s">
        <v>28</v>
      </c>
      <c r="K254" s="19" t="s">
        <v>5170</v>
      </c>
      <c r="L254" s="19"/>
    </row>
    <row r="255" ht="22.5" customHeight="1">
      <c r="C255" s="19" t="s">
        <v>7651</v>
      </c>
      <c r="D255" s="19" t="s">
        <v>7666</v>
      </c>
      <c r="E255" s="43" t="s">
        <v>7667</v>
      </c>
      <c r="F255" s="43" t="s">
        <v>7668</v>
      </c>
      <c r="G255" s="43" t="s">
        <v>5874</v>
      </c>
      <c r="H255" s="49" t="s">
        <v>7669</v>
      </c>
      <c r="I255" s="18">
        <f t="shared" si="1"/>
        <v>45964</v>
      </c>
      <c r="J255" s="19" t="s">
        <v>28</v>
      </c>
      <c r="K255" s="19" t="s">
        <v>5170</v>
      </c>
      <c r="L255" s="19"/>
    </row>
    <row r="256" ht="22.5" customHeight="1">
      <c r="C256" s="19" t="s">
        <v>7651</v>
      </c>
      <c r="D256" s="19" t="s">
        <v>7670</v>
      </c>
      <c r="E256" s="43" t="s">
        <v>7671</v>
      </c>
      <c r="F256" s="43" t="s">
        <v>3280</v>
      </c>
      <c r="G256" s="43" t="s">
        <v>5953</v>
      </c>
      <c r="H256" s="49" t="s">
        <v>7672</v>
      </c>
      <c r="I256" s="18">
        <f t="shared" si="1"/>
        <v>45964</v>
      </c>
      <c r="J256" s="19" t="s">
        <v>28</v>
      </c>
      <c r="K256" s="19" t="s">
        <v>5170</v>
      </c>
      <c r="L256" s="19"/>
    </row>
    <row r="257" ht="22.5" customHeight="1">
      <c r="C257" s="19" t="s">
        <v>7651</v>
      </c>
      <c r="D257" s="19" t="s">
        <v>7673</v>
      </c>
      <c r="E257" s="43" t="s">
        <v>7674</v>
      </c>
      <c r="F257" s="43" t="s">
        <v>182</v>
      </c>
      <c r="G257" s="43" t="s">
        <v>5820</v>
      </c>
      <c r="H257" s="26">
        <v>7.863766766E9</v>
      </c>
      <c r="I257" s="18">
        <f t="shared" si="1"/>
        <v>45964</v>
      </c>
      <c r="J257" s="19" t="s">
        <v>28</v>
      </c>
      <c r="K257" s="19" t="s">
        <v>5170</v>
      </c>
      <c r="L257" s="19"/>
    </row>
    <row r="258" ht="22.5" customHeight="1">
      <c r="C258" s="19" t="s">
        <v>7651</v>
      </c>
      <c r="D258" s="19" t="s">
        <v>7675</v>
      </c>
      <c r="E258" s="43" t="s">
        <v>7676</v>
      </c>
      <c r="F258" s="43" t="s">
        <v>7677</v>
      </c>
      <c r="G258" s="43" t="s">
        <v>6284</v>
      </c>
      <c r="H258" s="26">
        <v>7.542143328E9</v>
      </c>
      <c r="I258" s="18">
        <f t="shared" si="1"/>
        <v>45964</v>
      </c>
      <c r="J258" s="19" t="s">
        <v>28</v>
      </c>
      <c r="K258" s="19" t="s">
        <v>5170</v>
      </c>
      <c r="L258" s="19"/>
    </row>
    <row r="259" ht="22.5" customHeight="1">
      <c r="C259" s="19" t="s">
        <v>7651</v>
      </c>
      <c r="D259" s="19" t="s">
        <v>7678</v>
      </c>
      <c r="E259" s="43" t="s">
        <v>7679</v>
      </c>
      <c r="F259" s="43" t="s">
        <v>7680</v>
      </c>
      <c r="G259" s="43" t="s">
        <v>5850</v>
      </c>
      <c r="H259" s="49" t="s">
        <v>7681</v>
      </c>
      <c r="I259" s="18">
        <f t="shared" si="1"/>
        <v>45964</v>
      </c>
      <c r="J259" s="19" t="s">
        <v>28</v>
      </c>
      <c r="K259" s="19" t="s">
        <v>5170</v>
      </c>
      <c r="L259" s="19" t="s">
        <v>99</v>
      </c>
    </row>
    <row r="260" ht="22.5" customHeight="1">
      <c r="C260" s="19" t="s">
        <v>7651</v>
      </c>
      <c r="D260" s="19" t="s">
        <v>7682</v>
      </c>
      <c r="E260" s="43" t="s">
        <v>7683</v>
      </c>
      <c r="F260" s="43" t="s">
        <v>7684</v>
      </c>
      <c r="G260" s="43" t="s">
        <v>5957</v>
      </c>
      <c r="H260" s="26">
        <v>7.864053244E9</v>
      </c>
      <c r="I260" s="18">
        <f t="shared" si="1"/>
        <v>45964</v>
      </c>
      <c r="J260" s="19" t="s">
        <v>28</v>
      </c>
      <c r="K260" s="19" t="s">
        <v>5170</v>
      </c>
      <c r="L260" s="19"/>
    </row>
    <row r="261" ht="22.5" customHeight="1">
      <c r="C261" s="19" t="s">
        <v>7651</v>
      </c>
      <c r="D261" s="19" t="s">
        <v>7685</v>
      </c>
      <c r="E261" s="43" t="s">
        <v>7686</v>
      </c>
      <c r="F261" s="43" t="s">
        <v>1871</v>
      </c>
      <c r="G261" s="43" t="s">
        <v>5929</v>
      </c>
      <c r="H261" s="26">
        <v>3.056398602E9</v>
      </c>
      <c r="I261" s="18">
        <f t="shared" si="1"/>
        <v>45964</v>
      </c>
      <c r="J261" s="19" t="s">
        <v>28</v>
      </c>
      <c r="K261" s="19" t="s">
        <v>5170</v>
      </c>
      <c r="L261" s="19"/>
    </row>
    <row r="262" ht="22.5" customHeight="1">
      <c r="C262" s="19" t="s">
        <v>7651</v>
      </c>
      <c r="D262" s="19" t="s">
        <v>7687</v>
      </c>
      <c r="E262" s="43" t="s">
        <v>7688</v>
      </c>
      <c r="F262" s="43" t="s">
        <v>7689</v>
      </c>
      <c r="G262" s="43" t="s">
        <v>5949</v>
      </c>
      <c r="H262" s="44">
        <v>3.057034663E9</v>
      </c>
      <c r="I262" s="18">
        <f t="shared" si="1"/>
        <v>45964</v>
      </c>
      <c r="J262" s="19" t="s">
        <v>28</v>
      </c>
      <c r="K262" s="19" t="s">
        <v>5170</v>
      </c>
      <c r="L262" s="19"/>
    </row>
    <row r="263" ht="22.5" customHeight="1">
      <c r="C263" s="19" t="s">
        <v>7690</v>
      </c>
      <c r="D263" s="19" t="s">
        <v>7691</v>
      </c>
      <c r="E263" s="43" t="s">
        <v>7692</v>
      </c>
      <c r="F263" s="43" t="s">
        <v>6392</v>
      </c>
      <c r="G263" s="43" t="s">
        <v>5957</v>
      </c>
      <c r="H263" s="49" t="s">
        <v>7693</v>
      </c>
      <c r="I263" s="18">
        <f t="shared" si="1"/>
        <v>45964</v>
      </c>
      <c r="J263" s="19" t="s">
        <v>28</v>
      </c>
      <c r="K263" s="19" t="s">
        <v>5170</v>
      </c>
      <c r="L263" s="19"/>
    </row>
    <row r="264" ht="22.5" customHeight="1">
      <c r="C264" s="19" t="s">
        <v>7690</v>
      </c>
      <c r="D264" s="19" t="s">
        <v>7694</v>
      </c>
      <c r="E264" s="43" t="s">
        <v>7695</v>
      </c>
      <c r="F264" s="43" t="s">
        <v>1326</v>
      </c>
      <c r="G264" s="43" t="s">
        <v>5929</v>
      </c>
      <c r="H264" s="26">
        <v>7.862002523E9</v>
      </c>
      <c r="I264" s="18">
        <f t="shared" si="1"/>
        <v>45964</v>
      </c>
      <c r="J264" s="19" t="s">
        <v>28</v>
      </c>
      <c r="K264" s="19" t="s">
        <v>5170</v>
      </c>
      <c r="L264" s="19"/>
    </row>
    <row r="265" ht="22.5" customHeight="1">
      <c r="C265" s="19" t="s">
        <v>7690</v>
      </c>
      <c r="D265" s="19" t="s">
        <v>7696</v>
      </c>
      <c r="E265" s="43" t="s">
        <v>7697</v>
      </c>
      <c r="F265" s="43" t="s">
        <v>6236</v>
      </c>
      <c r="G265" s="43" t="s">
        <v>5949</v>
      </c>
      <c r="H265" s="26">
        <v>3.058206835E9</v>
      </c>
      <c r="I265" s="18">
        <f t="shared" si="1"/>
        <v>45964</v>
      </c>
      <c r="J265" s="19" t="s">
        <v>28</v>
      </c>
      <c r="K265" s="19" t="s">
        <v>5170</v>
      </c>
      <c r="L265" s="19"/>
    </row>
    <row r="266" ht="22.5" customHeight="1">
      <c r="C266" s="19" t="s">
        <v>7690</v>
      </c>
      <c r="D266" s="19" t="s">
        <v>7698</v>
      </c>
      <c r="E266" s="43" t="s">
        <v>7699</v>
      </c>
      <c r="F266" s="43" t="s">
        <v>274</v>
      </c>
      <c r="G266" s="43" t="s">
        <v>5866</v>
      </c>
      <c r="H266" s="26">
        <v>7.863769107E9</v>
      </c>
      <c r="I266" s="18">
        <f t="shared" si="1"/>
        <v>45964</v>
      </c>
      <c r="J266" s="19" t="s">
        <v>28</v>
      </c>
      <c r="K266" s="19" t="s">
        <v>5170</v>
      </c>
      <c r="L266" s="19"/>
    </row>
    <row r="267" ht="22.5" customHeight="1">
      <c r="C267" s="19" t="s">
        <v>7690</v>
      </c>
      <c r="D267" s="19" t="s">
        <v>7700</v>
      </c>
      <c r="E267" s="43" t="s">
        <v>7701</v>
      </c>
      <c r="F267" s="43" t="s">
        <v>7702</v>
      </c>
      <c r="G267" s="43" t="s">
        <v>5939</v>
      </c>
      <c r="H267" s="49" t="s">
        <v>7703</v>
      </c>
      <c r="I267" s="18">
        <f t="shared" si="1"/>
        <v>45964</v>
      </c>
      <c r="J267" s="19" t="s">
        <v>28</v>
      </c>
      <c r="K267" s="19" t="s">
        <v>5170</v>
      </c>
      <c r="L267" s="19"/>
    </row>
    <row r="268" ht="22.5" customHeight="1">
      <c r="C268" s="19" t="s">
        <v>7690</v>
      </c>
      <c r="D268" s="19" t="s">
        <v>7704</v>
      </c>
      <c r="E268" s="43" t="s">
        <v>7705</v>
      </c>
      <c r="F268" s="43" t="s">
        <v>658</v>
      </c>
      <c r="G268" s="43" t="s">
        <v>7130</v>
      </c>
      <c r="H268" s="26">
        <v>3.052814006E9</v>
      </c>
      <c r="I268" s="18">
        <f t="shared" si="1"/>
        <v>45964</v>
      </c>
      <c r="J268" s="19" t="s">
        <v>28</v>
      </c>
      <c r="K268" s="19" t="s">
        <v>5170</v>
      </c>
      <c r="L268" s="19"/>
    </row>
    <row r="269" ht="22.5" customHeight="1">
      <c r="C269" s="19" t="s">
        <v>7690</v>
      </c>
      <c r="D269" s="19" t="s">
        <v>7706</v>
      </c>
      <c r="E269" s="43" t="s">
        <v>7707</v>
      </c>
      <c r="F269" s="43" t="s">
        <v>7708</v>
      </c>
      <c r="G269" s="43" t="s">
        <v>6004</v>
      </c>
      <c r="H269" s="26">
        <v>3.058630373E9</v>
      </c>
      <c r="I269" s="18">
        <f t="shared" si="1"/>
        <v>45964</v>
      </c>
      <c r="J269" s="19" t="s">
        <v>28</v>
      </c>
      <c r="K269" s="19" t="s">
        <v>5170</v>
      </c>
      <c r="L269" s="19"/>
    </row>
    <row r="270" ht="22.5" customHeight="1">
      <c r="C270" s="19" t="s">
        <v>7690</v>
      </c>
      <c r="D270" s="19" t="s">
        <v>7709</v>
      </c>
      <c r="E270" s="43" t="s">
        <v>7710</v>
      </c>
      <c r="F270" s="43" t="s">
        <v>7711</v>
      </c>
      <c r="G270" s="43" t="s">
        <v>6068</v>
      </c>
      <c r="H270" s="26">
        <v>3.057854309E9</v>
      </c>
      <c r="I270" s="18">
        <f t="shared" si="1"/>
        <v>45964</v>
      </c>
      <c r="J270" s="19" t="s">
        <v>28</v>
      </c>
      <c r="K270" s="19" t="s">
        <v>5170</v>
      </c>
      <c r="L270" s="19"/>
    </row>
    <row r="271" ht="22.5" customHeight="1">
      <c r="C271" s="19" t="s">
        <v>7690</v>
      </c>
      <c r="D271" s="19" t="s">
        <v>7712</v>
      </c>
      <c r="E271" s="43" t="s">
        <v>7713</v>
      </c>
      <c r="F271" s="43" t="s">
        <v>7714</v>
      </c>
      <c r="G271" s="43" t="s">
        <v>6459</v>
      </c>
      <c r="H271" s="26">
        <v>7.865865921E9</v>
      </c>
      <c r="I271" s="18">
        <f t="shared" si="1"/>
        <v>45964</v>
      </c>
      <c r="J271" s="19" t="s">
        <v>28</v>
      </c>
      <c r="K271" s="19" t="s">
        <v>5170</v>
      </c>
      <c r="L271" s="19"/>
    </row>
    <row r="272" ht="22.5" customHeight="1">
      <c r="C272" s="19" t="s">
        <v>7690</v>
      </c>
      <c r="D272" s="19" t="s">
        <v>7715</v>
      </c>
      <c r="E272" s="43" t="s">
        <v>7716</v>
      </c>
      <c r="F272" s="43" t="s">
        <v>7717</v>
      </c>
      <c r="G272" s="43" t="s">
        <v>5878</v>
      </c>
      <c r="H272" s="26">
        <v>3.055053052E9</v>
      </c>
      <c r="I272" s="18">
        <f t="shared" si="1"/>
        <v>45964</v>
      </c>
      <c r="J272" s="19" t="s">
        <v>28</v>
      </c>
      <c r="K272" s="19" t="s">
        <v>5170</v>
      </c>
      <c r="L272" s="19"/>
    </row>
    <row r="273" ht="22.5" customHeight="1">
      <c r="C273" s="19" t="s">
        <v>7690</v>
      </c>
      <c r="D273" s="19" t="s">
        <v>7718</v>
      </c>
      <c r="E273" s="43" t="s">
        <v>7719</v>
      </c>
      <c r="F273" s="43" t="s">
        <v>7720</v>
      </c>
      <c r="G273" s="43" t="s">
        <v>5882</v>
      </c>
      <c r="H273" s="49" t="s">
        <v>7721</v>
      </c>
      <c r="I273" s="18">
        <f t="shared" si="1"/>
        <v>45964</v>
      </c>
      <c r="J273" s="19" t="s">
        <v>28</v>
      </c>
      <c r="K273" s="19" t="s">
        <v>5170</v>
      </c>
      <c r="L273" s="19"/>
    </row>
    <row r="274" ht="22.5" customHeight="1">
      <c r="C274" s="19" t="s">
        <v>7722</v>
      </c>
      <c r="D274" s="19" t="s">
        <v>7723</v>
      </c>
      <c r="E274" s="43" t="s">
        <v>7724</v>
      </c>
      <c r="F274" s="43" t="s">
        <v>7725</v>
      </c>
      <c r="G274" s="43" t="s">
        <v>7726</v>
      </c>
      <c r="H274" s="49" t="s">
        <v>7727</v>
      </c>
      <c r="I274" s="18">
        <f t="shared" si="1"/>
        <v>45964</v>
      </c>
      <c r="J274" s="19" t="s">
        <v>28</v>
      </c>
      <c r="K274" s="19" t="s">
        <v>5170</v>
      </c>
      <c r="L274" s="19" t="s">
        <v>99</v>
      </c>
    </row>
    <row r="275" ht="22.5" customHeight="1">
      <c r="C275" s="19" t="s">
        <v>7722</v>
      </c>
      <c r="D275" s="19" t="s">
        <v>7728</v>
      </c>
      <c r="E275" s="43" t="s">
        <v>7729</v>
      </c>
      <c r="F275" s="43" t="s">
        <v>7730</v>
      </c>
      <c r="G275" s="43" t="s">
        <v>7431</v>
      </c>
      <c r="H275" s="26">
        <v>8.478589672E9</v>
      </c>
      <c r="I275" s="18">
        <f t="shared" si="1"/>
        <v>45964</v>
      </c>
      <c r="J275" s="19" t="s">
        <v>28</v>
      </c>
      <c r="K275" s="19" t="s">
        <v>5170</v>
      </c>
      <c r="L275" s="19"/>
    </row>
    <row r="276" ht="22.5" customHeight="1">
      <c r="C276" s="19" t="s">
        <v>7722</v>
      </c>
      <c r="D276" s="19" t="s">
        <v>7731</v>
      </c>
      <c r="E276" s="43" t="s">
        <v>7732</v>
      </c>
      <c r="F276" s="43" t="s">
        <v>5382</v>
      </c>
      <c r="G276" s="43" t="s">
        <v>5878</v>
      </c>
      <c r="H276" s="26">
        <v>3.057109655E9</v>
      </c>
      <c r="I276" s="18">
        <f t="shared" si="1"/>
        <v>45964</v>
      </c>
      <c r="J276" s="19" t="s">
        <v>28</v>
      </c>
      <c r="K276" s="19" t="s">
        <v>5170</v>
      </c>
      <c r="L276" s="19"/>
    </row>
    <row r="277" ht="22.5" customHeight="1">
      <c r="C277" s="19" t="s">
        <v>7722</v>
      </c>
      <c r="D277" s="19" t="s">
        <v>7733</v>
      </c>
      <c r="E277" s="43" t="s">
        <v>7734</v>
      </c>
      <c r="F277" s="43" t="s">
        <v>7735</v>
      </c>
      <c r="G277" s="43" t="s">
        <v>5834</v>
      </c>
      <c r="H277" s="26">
        <v>7.862003588E9</v>
      </c>
      <c r="I277" s="18">
        <f t="shared" si="1"/>
        <v>45964</v>
      </c>
      <c r="J277" s="19" t="s">
        <v>28</v>
      </c>
      <c r="K277" s="19" t="s">
        <v>5170</v>
      </c>
      <c r="L277" s="19"/>
    </row>
    <row r="278" ht="22.5" customHeight="1">
      <c r="C278" s="19" t="s">
        <v>7722</v>
      </c>
      <c r="D278" s="19" t="s">
        <v>7736</v>
      </c>
      <c r="E278" s="43" t="s">
        <v>7737</v>
      </c>
      <c r="F278" s="43" t="s">
        <v>830</v>
      </c>
      <c r="G278" s="43" t="s">
        <v>6160</v>
      </c>
      <c r="H278" s="26">
        <v>3.053353944E9</v>
      </c>
      <c r="I278" s="18">
        <f t="shared" si="1"/>
        <v>45964</v>
      </c>
      <c r="J278" s="19" t="s">
        <v>28</v>
      </c>
      <c r="K278" s="19" t="s">
        <v>5170</v>
      </c>
      <c r="L278" s="19"/>
    </row>
    <row r="279" ht="22.5" customHeight="1">
      <c r="C279" s="19" t="s">
        <v>7722</v>
      </c>
      <c r="D279" s="19" t="s">
        <v>7738</v>
      </c>
      <c r="E279" s="43" t="s">
        <v>7739</v>
      </c>
      <c r="F279" s="43" t="s">
        <v>7740</v>
      </c>
      <c r="G279" s="43" t="s">
        <v>5825</v>
      </c>
      <c r="H279" s="49" t="s">
        <v>7741</v>
      </c>
      <c r="I279" s="18">
        <f t="shared" si="1"/>
        <v>45964</v>
      </c>
      <c r="J279" s="19" t="s">
        <v>28</v>
      </c>
      <c r="K279" s="19" t="s">
        <v>5170</v>
      </c>
      <c r="L279" s="19"/>
    </row>
    <row r="280" ht="22.5" customHeight="1">
      <c r="C280" s="19" t="s">
        <v>7722</v>
      </c>
      <c r="D280" s="19" t="s">
        <v>7742</v>
      </c>
      <c r="E280" s="43" t="s">
        <v>7743</v>
      </c>
      <c r="F280" s="43" t="s">
        <v>3280</v>
      </c>
      <c r="G280" s="43" t="s">
        <v>5953</v>
      </c>
      <c r="H280" s="49" t="s">
        <v>7744</v>
      </c>
      <c r="I280" s="18">
        <f t="shared" si="1"/>
        <v>45964</v>
      </c>
      <c r="J280" s="19" t="s">
        <v>28</v>
      </c>
      <c r="K280" s="19" t="s">
        <v>5170</v>
      </c>
      <c r="L280" s="19"/>
    </row>
    <row r="281" ht="22.5" customHeight="1">
      <c r="C281" s="19" t="s">
        <v>7722</v>
      </c>
      <c r="D281" s="19" t="s">
        <v>7745</v>
      </c>
      <c r="E281" s="43" t="s">
        <v>7746</v>
      </c>
      <c r="F281" s="43" t="s">
        <v>7747</v>
      </c>
      <c r="G281" s="43" t="s">
        <v>460</v>
      </c>
      <c r="H281" s="26">
        <v>5.616904049E9</v>
      </c>
      <c r="I281" s="18">
        <f t="shared" si="1"/>
        <v>45964</v>
      </c>
      <c r="J281" s="19" t="s">
        <v>28</v>
      </c>
      <c r="K281" s="19" t="s">
        <v>5170</v>
      </c>
      <c r="L281" s="19"/>
    </row>
    <row r="282" ht="22.5" customHeight="1">
      <c r="C282" s="19" t="s">
        <v>7722</v>
      </c>
      <c r="D282" s="19" t="s">
        <v>7748</v>
      </c>
      <c r="E282" s="43" t="s">
        <v>7749</v>
      </c>
      <c r="F282" s="43" t="s">
        <v>7750</v>
      </c>
      <c r="G282" s="43" t="s">
        <v>5973</v>
      </c>
      <c r="H282" s="49" t="s">
        <v>7751</v>
      </c>
      <c r="I282" s="18">
        <f t="shared" si="1"/>
        <v>45964</v>
      </c>
      <c r="J282" s="19" t="s">
        <v>28</v>
      </c>
      <c r="K282" s="19" t="s">
        <v>5170</v>
      </c>
      <c r="L282" s="19"/>
    </row>
    <row r="283" ht="22.5" customHeight="1">
      <c r="C283" s="19" t="s">
        <v>7722</v>
      </c>
      <c r="D283" s="19" t="s">
        <v>7752</v>
      </c>
      <c r="E283" s="43" t="s">
        <v>7753</v>
      </c>
      <c r="F283" s="43" t="s">
        <v>7754</v>
      </c>
      <c r="G283" s="43" t="s">
        <v>6204</v>
      </c>
      <c r="H283" s="49" t="s">
        <v>7755</v>
      </c>
      <c r="I283" s="18">
        <f t="shared" si="1"/>
        <v>45964</v>
      </c>
      <c r="J283" s="19" t="s">
        <v>28</v>
      </c>
      <c r="K283" s="19" t="s">
        <v>5170</v>
      </c>
      <c r="L283" s="19"/>
    </row>
    <row r="284" ht="22.5" customHeight="1">
      <c r="C284" s="19" t="s">
        <v>7722</v>
      </c>
      <c r="D284" s="19" t="s">
        <v>7756</v>
      </c>
      <c r="E284" s="43" t="s">
        <v>7757</v>
      </c>
      <c r="F284" s="43" t="s">
        <v>7376</v>
      </c>
      <c r="G284" s="43" t="s">
        <v>5846</v>
      </c>
      <c r="H284" s="26">
        <v>3.057787592E9</v>
      </c>
      <c r="I284" s="18">
        <f t="shared" si="1"/>
        <v>45964</v>
      </c>
      <c r="J284" s="19" t="s">
        <v>28</v>
      </c>
      <c r="K284" s="19" t="s">
        <v>5170</v>
      </c>
      <c r="L284" s="19"/>
    </row>
    <row r="285" ht="22.5" customHeight="1">
      <c r="C285" s="19" t="s">
        <v>7722</v>
      </c>
      <c r="D285" s="19" t="s">
        <v>7758</v>
      </c>
      <c r="E285" s="43" t="s">
        <v>7759</v>
      </c>
      <c r="F285" s="43" t="s">
        <v>7760</v>
      </c>
      <c r="G285" s="43" t="s">
        <v>5882</v>
      </c>
      <c r="H285" s="49" t="s">
        <v>7761</v>
      </c>
      <c r="I285" s="18">
        <f t="shared" si="1"/>
        <v>45964</v>
      </c>
      <c r="J285" s="19" t="s">
        <v>28</v>
      </c>
      <c r="K285" s="19" t="s">
        <v>5170</v>
      </c>
      <c r="L285" s="19"/>
    </row>
    <row r="286" ht="22.5" customHeight="1">
      <c r="C286" s="19" t="s">
        <v>7722</v>
      </c>
      <c r="D286" s="19" t="s">
        <v>7762</v>
      </c>
      <c r="E286" s="43" t="s">
        <v>7763</v>
      </c>
      <c r="F286" s="43" t="s">
        <v>7764</v>
      </c>
      <c r="G286" s="43" t="s">
        <v>6068</v>
      </c>
      <c r="H286" s="26">
        <v>3.054843658E9</v>
      </c>
      <c r="I286" s="18">
        <f t="shared" si="1"/>
        <v>45964</v>
      </c>
      <c r="J286" s="19" t="s">
        <v>28</v>
      </c>
      <c r="K286" s="19" t="s">
        <v>5170</v>
      </c>
      <c r="L286" s="19"/>
    </row>
    <row r="287" ht="22.5" customHeight="1">
      <c r="C287" s="19" t="s">
        <v>7722</v>
      </c>
      <c r="D287" s="19" t="s">
        <v>7765</v>
      </c>
      <c r="E287" s="43" t="s">
        <v>7766</v>
      </c>
      <c r="F287" s="43" t="s">
        <v>7767</v>
      </c>
      <c r="G287" s="43" t="s">
        <v>6348</v>
      </c>
      <c r="H287" s="26">
        <v>7.867081575E9</v>
      </c>
      <c r="I287" s="18">
        <f t="shared" si="1"/>
        <v>45964</v>
      </c>
      <c r="J287" s="19" t="s">
        <v>28</v>
      </c>
      <c r="K287" s="19" t="s">
        <v>5170</v>
      </c>
      <c r="L287" s="19"/>
    </row>
    <row r="288" ht="22.5" customHeight="1">
      <c r="C288" s="19" t="s">
        <v>7722</v>
      </c>
      <c r="D288" s="19" t="s">
        <v>7768</v>
      </c>
      <c r="E288" s="43" t="s">
        <v>7769</v>
      </c>
      <c r="F288" s="43" t="s">
        <v>7770</v>
      </c>
      <c r="G288" s="43" t="s">
        <v>6076</v>
      </c>
      <c r="H288" s="44">
        <v>3.054489557E9</v>
      </c>
      <c r="I288" s="18">
        <f t="shared" si="1"/>
        <v>45964</v>
      </c>
      <c r="J288" s="19" t="s">
        <v>28</v>
      </c>
      <c r="K288" s="19" t="s">
        <v>5170</v>
      </c>
      <c r="L288" s="19"/>
    </row>
    <row r="289" ht="22.5" customHeight="1">
      <c r="C289" s="19" t="s">
        <v>7722</v>
      </c>
      <c r="D289" s="19" t="s">
        <v>7771</v>
      </c>
      <c r="E289" s="43" t="s">
        <v>7772</v>
      </c>
      <c r="F289" s="43" t="s">
        <v>7773</v>
      </c>
      <c r="G289" s="43" t="s">
        <v>6721</v>
      </c>
      <c r="H289" s="26">
        <v>3.05874026E9</v>
      </c>
      <c r="I289" s="18">
        <f t="shared" si="1"/>
        <v>45964</v>
      </c>
      <c r="J289" s="19" t="s">
        <v>28</v>
      </c>
      <c r="K289" s="19" t="s">
        <v>5170</v>
      </c>
      <c r="L289" s="19"/>
    </row>
    <row r="290" ht="22.5" customHeight="1">
      <c r="C290" s="19" t="s">
        <v>7722</v>
      </c>
      <c r="D290" s="19" t="s">
        <v>7774</v>
      </c>
      <c r="E290" s="43" t="s">
        <v>7775</v>
      </c>
      <c r="F290" s="43" t="s">
        <v>7776</v>
      </c>
      <c r="G290" s="43" t="s">
        <v>6892</v>
      </c>
      <c r="H290" s="26">
        <v>3.054676715E9</v>
      </c>
      <c r="I290" s="18">
        <f t="shared" si="1"/>
        <v>45964</v>
      </c>
      <c r="J290" s="19" t="s">
        <v>28</v>
      </c>
      <c r="K290" s="19" t="s">
        <v>5170</v>
      </c>
      <c r="L290" s="19"/>
    </row>
    <row r="291" ht="22.5" customHeight="1">
      <c r="C291" s="19" t="s">
        <v>7722</v>
      </c>
      <c r="D291" s="19" t="s">
        <v>7777</v>
      </c>
      <c r="E291" s="43" t="s">
        <v>7778</v>
      </c>
      <c r="F291" s="43" t="s">
        <v>7779</v>
      </c>
      <c r="G291" s="43" t="s">
        <v>5829</v>
      </c>
      <c r="H291" s="49" t="s">
        <v>7780</v>
      </c>
      <c r="I291" s="18">
        <f t="shared" si="1"/>
        <v>45964</v>
      </c>
      <c r="J291" s="19" t="s">
        <v>28</v>
      </c>
      <c r="K291" s="19" t="s">
        <v>5170</v>
      </c>
      <c r="L291" s="19"/>
    </row>
    <row r="292" ht="22.5" customHeight="1">
      <c r="C292" s="19" t="s">
        <v>7722</v>
      </c>
      <c r="D292" s="19" t="s">
        <v>7781</v>
      </c>
      <c r="E292" s="43" t="s">
        <v>7782</v>
      </c>
      <c r="F292" s="43" t="s">
        <v>7783</v>
      </c>
      <c r="G292" s="43" t="s">
        <v>5929</v>
      </c>
      <c r="H292" s="49" t="s">
        <v>7784</v>
      </c>
      <c r="I292" s="18">
        <f t="shared" si="1"/>
        <v>45964</v>
      </c>
      <c r="J292" s="19" t="s">
        <v>28</v>
      </c>
      <c r="K292" s="19" t="s">
        <v>5170</v>
      </c>
      <c r="L292" s="19"/>
    </row>
    <row r="293" ht="22.5" customHeight="1">
      <c r="C293" s="19" t="s">
        <v>7722</v>
      </c>
      <c r="D293" s="19" t="s">
        <v>7785</v>
      </c>
      <c r="E293" s="43" t="s">
        <v>7786</v>
      </c>
      <c r="F293" s="43" t="s">
        <v>7787</v>
      </c>
      <c r="G293" s="43" t="s">
        <v>6118</v>
      </c>
      <c r="H293" s="44">
        <v>7.864573638E9</v>
      </c>
      <c r="I293" s="18">
        <f t="shared" si="1"/>
        <v>45964</v>
      </c>
      <c r="J293" s="19" t="s">
        <v>28</v>
      </c>
      <c r="K293" s="19" t="s">
        <v>5170</v>
      </c>
      <c r="L293" s="19"/>
    </row>
    <row r="294" ht="22.5" customHeight="1">
      <c r="C294" s="19" t="s">
        <v>7722</v>
      </c>
      <c r="D294" s="19" t="s">
        <v>7788</v>
      </c>
      <c r="E294" s="43" t="s">
        <v>7789</v>
      </c>
      <c r="F294" s="43" t="s">
        <v>7446</v>
      </c>
      <c r="G294" s="43" t="s">
        <v>5934</v>
      </c>
      <c r="H294" s="49" t="s">
        <v>7790</v>
      </c>
      <c r="I294" s="18">
        <f t="shared" si="1"/>
        <v>45964</v>
      </c>
      <c r="J294" s="19" t="s">
        <v>28</v>
      </c>
      <c r="K294" s="19" t="s">
        <v>5170</v>
      </c>
      <c r="L294" s="19"/>
    </row>
    <row r="295" ht="22.5" customHeight="1">
      <c r="C295" s="19" t="s">
        <v>7722</v>
      </c>
      <c r="D295" s="19" t="s">
        <v>7791</v>
      </c>
      <c r="E295" s="43" t="s">
        <v>7792</v>
      </c>
      <c r="F295" s="43" t="s">
        <v>7793</v>
      </c>
      <c r="G295" s="43" t="s">
        <v>5900</v>
      </c>
      <c r="H295" s="49" t="s">
        <v>7794</v>
      </c>
      <c r="I295" s="18">
        <f t="shared" si="1"/>
        <v>45964</v>
      </c>
      <c r="J295" s="19" t="s">
        <v>28</v>
      </c>
      <c r="K295" s="19" t="s">
        <v>5170</v>
      </c>
      <c r="L295" s="19"/>
    </row>
    <row r="296" ht="22.5" customHeight="1">
      <c r="C296" s="19" t="s">
        <v>7722</v>
      </c>
      <c r="D296" s="19" t="s">
        <v>7795</v>
      </c>
      <c r="E296" s="43" t="s">
        <v>7796</v>
      </c>
      <c r="F296" s="43" t="s">
        <v>7797</v>
      </c>
      <c r="G296" s="43" t="s">
        <v>6164</v>
      </c>
      <c r="H296" s="49" t="s">
        <v>7798</v>
      </c>
      <c r="I296" s="18">
        <f t="shared" si="1"/>
        <v>45964</v>
      </c>
      <c r="J296" s="19" t="s">
        <v>28</v>
      </c>
      <c r="K296" s="19" t="s">
        <v>5170</v>
      </c>
      <c r="L296" s="19"/>
    </row>
    <row r="297" ht="22.5" customHeight="1">
      <c r="C297" s="19" t="s">
        <v>7722</v>
      </c>
      <c r="D297" s="19" t="s">
        <v>7799</v>
      </c>
      <c r="E297" s="43" t="s">
        <v>7800</v>
      </c>
      <c r="F297" s="43" t="s">
        <v>7801</v>
      </c>
      <c r="G297" s="43" t="s">
        <v>7802</v>
      </c>
      <c r="H297" s="26">
        <v>7.862186703E9</v>
      </c>
      <c r="I297" s="18">
        <f t="shared" si="1"/>
        <v>45964</v>
      </c>
      <c r="J297" s="19" t="s">
        <v>28</v>
      </c>
      <c r="K297" s="19" t="s">
        <v>5170</v>
      </c>
      <c r="L297" s="19"/>
    </row>
    <row r="298" ht="22.5" customHeight="1">
      <c r="C298" s="19" t="s">
        <v>7722</v>
      </c>
      <c r="D298" s="19" t="s">
        <v>7803</v>
      </c>
      <c r="E298" s="43" t="s">
        <v>7804</v>
      </c>
      <c r="F298" s="43" t="s">
        <v>7805</v>
      </c>
      <c r="G298" s="43" t="s">
        <v>5820</v>
      </c>
      <c r="H298" s="44">
        <v>3.054008802E9</v>
      </c>
      <c r="I298" s="18">
        <f t="shared" si="1"/>
        <v>45964</v>
      </c>
      <c r="J298" s="19" t="s">
        <v>28</v>
      </c>
      <c r="K298" s="19" t="s">
        <v>5170</v>
      </c>
      <c r="L298" s="19"/>
    </row>
    <row r="299" ht="22.5" customHeight="1">
      <c r="C299" s="19" t="s">
        <v>7722</v>
      </c>
      <c r="D299" s="19" t="s">
        <v>7806</v>
      </c>
      <c r="E299" s="43" t="s">
        <v>7807</v>
      </c>
      <c r="F299" s="43" t="s">
        <v>7808</v>
      </c>
      <c r="G299" s="43" t="s">
        <v>6004</v>
      </c>
      <c r="H299" s="49" t="s">
        <v>7809</v>
      </c>
      <c r="I299" s="18">
        <f t="shared" si="1"/>
        <v>45964</v>
      </c>
      <c r="J299" s="19" t="s">
        <v>28</v>
      </c>
      <c r="K299" s="19" t="s">
        <v>5170</v>
      </c>
      <c r="L299" s="19"/>
    </row>
    <row r="300" ht="22.5" customHeight="1">
      <c r="C300" s="19" t="s">
        <v>7722</v>
      </c>
      <c r="D300" s="19" t="s">
        <v>7810</v>
      </c>
      <c r="E300" s="43" t="s">
        <v>7811</v>
      </c>
      <c r="F300" s="43" t="s">
        <v>7812</v>
      </c>
      <c r="G300" s="43" t="s">
        <v>5949</v>
      </c>
      <c r="H300" s="49" t="s">
        <v>7813</v>
      </c>
      <c r="I300" s="18">
        <f t="shared" si="1"/>
        <v>45964</v>
      </c>
      <c r="J300" s="19" t="s">
        <v>28</v>
      </c>
      <c r="K300" s="19" t="s">
        <v>5170</v>
      </c>
      <c r="L300" s="19"/>
    </row>
    <row r="301" ht="22.5" customHeight="1">
      <c r="C301" s="19" t="s">
        <v>7722</v>
      </c>
      <c r="D301" s="19" t="s">
        <v>7814</v>
      </c>
      <c r="E301" s="43" t="s">
        <v>7815</v>
      </c>
      <c r="F301" s="43" t="s">
        <v>7816</v>
      </c>
      <c r="G301" s="43" t="s">
        <v>6063</v>
      </c>
      <c r="H301" s="49" t="s">
        <v>7817</v>
      </c>
      <c r="I301" s="18">
        <f t="shared" si="1"/>
        <v>45964</v>
      </c>
      <c r="J301" s="19" t="s">
        <v>28</v>
      </c>
      <c r="K301" s="19" t="s">
        <v>5170</v>
      </c>
      <c r="L301" s="19"/>
    </row>
    <row r="302" ht="22.5" customHeight="1">
      <c r="C302" s="19" t="s">
        <v>7722</v>
      </c>
      <c r="D302" s="19" t="s">
        <v>7818</v>
      </c>
      <c r="E302" s="43" t="s">
        <v>7819</v>
      </c>
      <c r="F302" s="43" t="s">
        <v>7820</v>
      </c>
      <c r="G302" s="43" t="s">
        <v>5939</v>
      </c>
      <c r="H302" s="49" t="s">
        <v>7821</v>
      </c>
      <c r="I302" s="18">
        <f t="shared" si="1"/>
        <v>45964</v>
      </c>
      <c r="J302" s="19" t="s">
        <v>28</v>
      </c>
      <c r="K302" s="19" t="s">
        <v>5170</v>
      </c>
      <c r="L302" s="19"/>
    </row>
    <row r="303" ht="22.5" customHeight="1">
      <c r="C303" s="19" t="s">
        <v>7722</v>
      </c>
      <c r="D303" s="19" t="s">
        <v>7822</v>
      </c>
      <c r="E303" s="43" t="s">
        <v>7823</v>
      </c>
      <c r="F303" s="43" t="s">
        <v>7824</v>
      </c>
      <c r="G303" s="43" t="s">
        <v>5957</v>
      </c>
      <c r="H303" s="49" t="s">
        <v>7825</v>
      </c>
      <c r="I303" s="18">
        <f t="shared" si="1"/>
        <v>45964</v>
      </c>
      <c r="J303" s="19" t="s">
        <v>28</v>
      </c>
      <c r="K303" s="19" t="s">
        <v>5170</v>
      </c>
      <c r="L303" s="19"/>
    </row>
    <row r="304" ht="22.5" customHeight="1">
      <c r="C304" s="19" t="s">
        <v>7722</v>
      </c>
      <c r="D304" s="19" t="s">
        <v>7826</v>
      </c>
      <c r="E304" s="43" t="s">
        <v>7827</v>
      </c>
      <c r="F304" s="43" t="s">
        <v>7828</v>
      </c>
      <c r="G304" s="43" t="s">
        <v>6957</v>
      </c>
      <c r="H304" s="26">
        <v>9.13645423E9</v>
      </c>
      <c r="I304" s="18">
        <f t="shared" si="1"/>
        <v>45964</v>
      </c>
      <c r="J304" s="19" t="s">
        <v>28</v>
      </c>
      <c r="K304" s="19" t="s">
        <v>5170</v>
      </c>
      <c r="L304" s="19"/>
    </row>
    <row r="305" ht="22.5" customHeight="1">
      <c r="C305" s="19" t="s">
        <v>7722</v>
      </c>
      <c r="D305" s="19" t="s">
        <v>7829</v>
      </c>
      <c r="E305" s="43" t="s">
        <v>7830</v>
      </c>
      <c r="F305" s="43" t="s">
        <v>7831</v>
      </c>
      <c r="G305" s="43" t="s">
        <v>7060</v>
      </c>
      <c r="H305" s="26">
        <v>3.058123484E9</v>
      </c>
      <c r="I305" s="18">
        <f t="shared" si="1"/>
        <v>45964</v>
      </c>
      <c r="J305" s="19" t="s">
        <v>28</v>
      </c>
      <c r="K305" s="19" t="s">
        <v>5170</v>
      </c>
      <c r="L305" s="19"/>
    </row>
    <row r="306" ht="22.5" customHeight="1">
      <c r="C306" s="19" t="s">
        <v>7722</v>
      </c>
      <c r="D306" s="19" t="s">
        <v>7832</v>
      </c>
      <c r="E306" s="43" t="s">
        <v>7833</v>
      </c>
      <c r="F306" s="43" t="s">
        <v>7834</v>
      </c>
      <c r="G306" s="43" t="s">
        <v>5908</v>
      </c>
      <c r="H306" s="49" t="s">
        <v>7835</v>
      </c>
      <c r="I306" s="18">
        <f t="shared" si="1"/>
        <v>45964</v>
      </c>
      <c r="J306" s="19" t="s">
        <v>28</v>
      </c>
      <c r="K306" s="19" t="s">
        <v>5170</v>
      </c>
      <c r="L306" s="19"/>
    </row>
    <row r="307" ht="22.5" customHeight="1">
      <c r="C307" s="19" t="s">
        <v>7722</v>
      </c>
      <c r="D307" s="19" t="s">
        <v>7836</v>
      </c>
      <c r="E307" s="43" t="s">
        <v>7837</v>
      </c>
      <c r="F307" s="43" t="s">
        <v>1310</v>
      </c>
      <c r="G307" s="43" t="s">
        <v>5866</v>
      </c>
      <c r="H307" s="49" t="s">
        <v>7838</v>
      </c>
      <c r="I307" s="18">
        <f t="shared" si="1"/>
        <v>45964</v>
      </c>
      <c r="J307" s="19" t="s">
        <v>28</v>
      </c>
      <c r="K307" s="19" t="s">
        <v>5170</v>
      </c>
      <c r="L307" s="19"/>
    </row>
    <row r="308" ht="22.5" customHeight="1">
      <c r="C308" s="19" t="s">
        <v>182</v>
      </c>
      <c r="D308" s="39" t="s">
        <v>182</v>
      </c>
      <c r="E308" s="45" t="s">
        <v>7839</v>
      </c>
      <c r="F308" s="45" t="s">
        <v>182</v>
      </c>
      <c r="G308" s="45" t="s">
        <v>182</v>
      </c>
      <c r="H308" s="45" t="s">
        <v>182</v>
      </c>
      <c r="I308" s="18">
        <f>DATE(2025, 11, 5)</f>
        <v>45966</v>
      </c>
      <c r="J308" s="19" t="s">
        <v>28</v>
      </c>
      <c r="K308" s="19" t="s">
        <v>182</v>
      </c>
      <c r="L308" s="4" t="s">
        <v>99</v>
      </c>
    </row>
    <row r="309" ht="22.5" customHeight="1">
      <c r="C309" s="39" t="s">
        <v>182</v>
      </c>
      <c r="D309" s="39" t="s">
        <v>182</v>
      </c>
      <c r="E309" s="39" t="s">
        <v>7840</v>
      </c>
      <c r="F309" s="45" t="s">
        <v>182</v>
      </c>
      <c r="G309" s="45" t="s">
        <v>182</v>
      </c>
      <c r="H309" s="45" t="s">
        <v>182</v>
      </c>
      <c r="I309" s="18">
        <f>DATE(2025, 11, 7)</f>
        <v>45968</v>
      </c>
      <c r="J309" s="19" t="s">
        <v>28</v>
      </c>
      <c r="K309" s="19" t="s">
        <v>182</v>
      </c>
      <c r="L309" s="4" t="s">
        <v>99</v>
      </c>
    </row>
    <row r="310" ht="22.5" customHeight="1">
      <c r="C310" s="19" t="s">
        <v>7841</v>
      </c>
      <c r="D310" s="19" t="s">
        <v>7842</v>
      </c>
      <c r="E310" s="43" t="s">
        <v>7843</v>
      </c>
      <c r="F310" s="43" t="s">
        <v>7844</v>
      </c>
      <c r="G310" s="43" t="s">
        <v>6063</v>
      </c>
      <c r="H310" s="26">
        <v>7.866588541E9</v>
      </c>
      <c r="I310" s="18">
        <f t="shared" ref="I310:I642" si="2">DATE(2025, 11, 10)</f>
        <v>45971</v>
      </c>
      <c r="J310" s="19" t="s">
        <v>28</v>
      </c>
      <c r="K310" s="19" t="s">
        <v>5170</v>
      </c>
      <c r="L310" s="19"/>
    </row>
    <row r="311" ht="22.5" customHeight="1">
      <c r="C311" s="19" t="s">
        <v>7841</v>
      </c>
      <c r="D311" s="19" t="s">
        <v>7845</v>
      </c>
      <c r="E311" s="43" t="s">
        <v>7846</v>
      </c>
      <c r="F311" s="43" t="s">
        <v>7847</v>
      </c>
      <c r="G311" s="43" t="s">
        <v>6459</v>
      </c>
      <c r="H311" s="26">
        <v>7.863824574E9</v>
      </c>
      <c r="I311" s="18">
        <f t="shared" si="2"/>
        <v>45971</v>
      </c>
      <c r="J311" s="19" t="s">
        <v>28</v>
      </c>
      <c r="K311" s="19" t="s">
        <v>5170</v>
      </c>
      <c r="L311" s="19"/>
    </row>
    <row r="312" ht="22.5" customHeight="1">
      <c r="C312" s="19" t="s">
        <v>7841</v>
      </c>
      <c r="D312" s="19" t="s">
        <v>7848</v>
      </c>
      <c r="E312" s="48" t="s">
        <v>7849</v>
      </c>
      <c r="F312" s="48" t="s">
        <v>7849</v>
      </c>
      <c r="G312" s="48" t="s">
        <v>6581</v>
      </c>
      <c r="H312" s="26">
        <v>3.054891901E9</v>
      </c>
      <c r="I312" s="18">
        <f t="shared" si="2"/>
        <v>45971</v>
      </c>
      <c r="J312" s="19" t="s">
        <v>28</v>
      </c>
      <c r="K312" s="19" t="s">
        <v>5170</v>
      </c>
      <c r="L312" s="19"/>
    </row>
    <row r="313" ht="22.5" customHeight="1">
      <c r="C313" s="19" t="s">
        <v>7841</v>
      </c>
      <c r="D313" s="19" t="s">
        <v>7850</v>
      </c>
      <c r="E313" s="43" t="s">
        <v>7851</v>
      </c>
      <c r="F313" s="43" t="s">
        <v>7852</v>
      </c>
      <c r="G313" s="43" t="s">
        <v>6217</v>
      </c>
      <c r="H313" s="49" t="s">
        <v>182</v>
      </c>
      <c r="I313" s="18">
        <f t="shared" si="2"/>
        <v>45971</v>
      </c>
      <c r="J313" s="19" t="s">
        <v>28</v>
      </c>
      <c r="K313" s="19" t="s">
        <v>5170</v>
      </c>
      <c r="L313" s="19"/>
    </row>
    <row r="314" ht="22.5" customHeight="1">
      <c r="C314" s="19" t="s">
        <v>7841</v>
      </c>
      <c r="D314" s="19" t="s">
        <v>7853</v>
      </c>
      <c r="E314" s="43" t="s">
        <v>7854</v>
      </c>
      <c r="F314" s="43" t="s">
        <v>7855</v>
      </c>
      <c r="G314" s="43" t="s">
        <v>7291</v>
      </c>
      <c r="H314" s="26">
        <v>7.864477427E9</v>
      </c>
      <c r="I314" s="18">
        <f t="shared" si="2"/>
        <v>45971</v>
      </c>
      <c r="J314" s="19" t="s">
        <v>28</v>
      </c>
      <c r="K314" s="19" t="s">
        <v>5170</v>
      </c>
      <c r="L314" s="19"/>
    </row>
    <row r="315" ht="22.5" customHeight="1">
      <c r="C315" s="19" t="s">
        <v>7841</v>
      </c>
      <c r="D315" s="19" t="s">
        <v>7856</v>
      </c>
      <c r="E315" s="43" t="s">
        <v>7857</v>
      </c>
      <c r="F315" s="43" t="s">
        <v>7858</v>
      </c>
      <c r="G315" s="43" t="s">
        <v>5825</v>
      </c>
      <c r="H315" s="26">
        <v>3.053098472E9</v>
      </c>
      <c r="I315" s="18">
        <f t="shared" si="2"/>
        <v>45971</v>
      </c>
      <c r="J315" s="19" t="s">
        <v>28</v>
      </c>
      <c r="K315" s="19" t="s">
        <v>5170</v>
      </c>
      <c r="L315" s="19"/>
    </row>
    <row r="316" ht="22.5" customHeight="1">
      <c r="C316" s="19" t="s">
        <v>7841</v>
      </c>
      <c r="D316" s="19" t="s">
        <v>7859</v>
      </c>
      <c r="E316" s="43" t="s">
        <v>7860</v>
      </c>
      <c r="F316" s="43" t="s">
        <v>7861</v>
      </c>
      <c r="G316" s="43" t="s">
        <v>6076</v>
      </c>
      <c r="H316" s="44">
        <v>3.056770114E9</v>
      </c>
      <c r="I316" s="18">
        <f t="shared" si="2"/>
        <v>45971</v>
      </c>
      <c r="J316" s="19" t="s">
        <v>28</v>
      </c>
      <c r="K316" s="19" t="s">
        <v>5170</v>
      </c>
      <c r="L316" s="19"/>
    </row>
    <row r="317" ht="22.5" customHeight="1">
      <c r="C317" s="19" t="s">
        <v>7841</v>
      </c>
      <c r="D317" s="19" t="s">
        <v>7862</v>
      </c>
      <c r="E317" s="43" t="s">
        <v>7863</v>
      </c>
      <c r="F317" s="43" t="s">
        <v>7864</v>
      </c>
      <c r="G317" s="43" t="s">
        <v>5834</v>
      </c>
      <c r="H317" s="49" t="s">
        <v>6571</v>
      </c>
      <c r="I317" s="18">
        <f t="shared" si="2"/>
        <v>45971</v>
      </c>
      <c r="J317" s="19" t="s">
        <v>28</v>
      </c>
      <c r="K317" s="19" t="s">
        <v>5170</v>
      </c>
      <c r="L317" s="19"/>
    </row>
    <row r="318" ht="22.5" customHeight="1">
      <c r="C318" s="19" t="s">
        <v>7841</v>
      </c>
      <c r="D318" s="19" t="s">
        <v>7865</v>
      </c>
      <c r="E318" s="43" t="s">
        <v>7866</v>
      </c>
      <c r="F318" s="43" t="s">
        <v>7867</v>
      </c>
      <c r="G318" s="43" t="s">
        <v>5962</v>
      </c>
      <c r="H318" s="26">
        <v>7.862527503E9</v>
      </c>
      <c r="I318" s="18">
        <f t="shared" si="2"/>
        <v>45971</v>
      </c>
      <c r="J318" s="19" t="s">
        <v>28</v>
      </c>
      <c r="K318" s="19" t="s">
        <v>5170</v>
      </c>
      <c r="L318" s="19"/>
    </row>
    <row r="319" ht="22.5" customHeight="1">
      <c r="C319" s="19" t="s">
        <v>7841</v>
      </c>
      <c r="D319" s="19" t="s">
        <v>7868</v>
      </c>
      <c r="E319" s="43" t="s">
        <v>7869</v>
      </c>
      <c r="F319" s="43" t="s">
        <v>7870</v>
      </c>
      <c r="G319" s="43" t="s">
        <v>5862</v>
      </c>
      <c r="H319" s="49" t="s">
        <v>7871</v>
      </c>
      <c r="I319" s="18">
        <f t="shared" si="2"/>
        <v>45971</v>
      </c>
      <c r="J319" s="19" t="s">
        <v>28</v>
      </c>
      <c r="K319" s="19" t="s">
        <v>5170</v>
      </c>
      <c r="L319" s="19"/>
    </row>
    <row r="320" ht="22.5" customHeight="1">
      <c r="C320" s="19" t="s">
        <v>7841</v>
      </c>
      <c r="D320" s="19" t="s">
        <v>7872</v>
      </c>
      <c r="E320" s="43" t="s">
        <v>7873</v>
      </c>
      <c r="F320" s="43" t="s">
        <v>7874</v>
      </c>
      <c r="G320" s="43" t="s">
        <v>6348</v>
      </c>
      <c r="H320" s="49" t="s">
        <v>7875</v>
      </c>
      <c r="I320" s="18">
        <f t="shared" si="2"/>
        <v>45971</v>
      </c>
      <c r="J320" s="19" t="s">
        <v>28</v>
      </c>
      <c r="K320" s="19" t="s">
        <v>5170</v>
      </c>
      <c r="L320" s="19"/>
    </row>
    <row r="321" ht="22.5" customHeight="1">
      <c r="C321" s="19" t="s">
        <v>7841</v>
      </c>
      <c r="D321" s="19" t="s">
        <v>7876</v>
      </c>
      <c r="E321" s="43" t="s">
        <v>7877</v>
      </c>
      <c r="F321" s="43" t="s">
        <v>7878</v>
      </c>
      <c r="G321" s="43" t="s">
        <v>6534</v>
      </c>
      <c r="H321" s="49" t="s">
        <v>7879</v>
      </c>
      <c r="I321" s="18">
        <f t="shared" si="2"/>
        <v>45971</v>
      </c>
      <c r="J321" s="19" t="s">
        <v>28</v>
      </c>
      <c r="K321" s="19" t="s">
        <v>5170</v>
      </c>
      <c r="L321" s="19"/>
    </row>
    <row r="322" ht="22.5" customHeight="1">
      <c r="C322" s="19" t="s">
        <v>7841</v>
      </c>
      <c r="D322" s="19" t="s">
        <v>7880</v>
      </c>
      <c r="E322" s="43" t="s">
        <v>7881</v>
      </c>
      <c r="F322" s="43" t="s">
        <v>7882</v>
      </c>
      <c r="G322" s="43" t="s">
        <v>5846</v>
      </c>
      <c r="H322" s="26">
        <v>3.052482994E9</v>
      </c>
      <c r="I322" s="18">
        <f t="shared" si="2"/>
        <v>45971</v>
      </c>
      <c r="J322" s="19" t="s">
        <v>28</v>
      </c>
      <c r="K322" s="19" t="s">
        <v>5170</v>
      </c>
      <c r="L322" s="19"/>
    </row>
    <row r="323" ht="22.5" customHeight="1">
      <c r="C323" s="19" t="s">
        <v>7841</v>
      </c>
      <c r="D323" s="19" t="s">
        <v>7883</v>
      </c>
      <c r="E323" s="43" t="s">
        <v>7884</v>
      </c>
      <c r="F323" s="43" t="s">
        <v>7885</v>
      </c>
      <c r="G323" s="43" t="s">
        <v>5957</v>
      </c>
      <c r="H323" s="49" t="s">
        <v>7886</v>
      </c>
      <c r="I323" s="18">
        <f t="shared" si="2"/>
        <v>45971</v>
      </c>
      <c r="J323" s="19" t="s">
        <v>28</v>
      </c>
      <c r="K323" s="19" t="s">
        <v>5170</v>
      </c>
      <c r="L323" s="19"/>
    </row>
    <row r="324" ht="22.5" customHeight="1">
      <c r="C324" s="19" t="s">
        <v>7841</v>
      </c>
      <c r="D324" s="19" t="s">
        <v>7887</v>
      </c>
      <c r="E324" s="43" t="s">
        <v>7888</v>
      </c>
      <c r="F324" s="43" t="s">
        <v>7889</v>
      </c>
      <c r="G324" s="43" t="s">
        <v>5929</v>
      </c>
      <c r="H324" s="49" t="s">
        <v>7890</v>
      </c>
      <c r="I324" s="18">
        <f t="shared" si="2"/>
        <v>45971</v>
      </c>
      <c r="J324" s="19" t="s">
        <v>28</v>
      </c>
      <c r="K324" s="19" t="s">
        <v>5170</v>
      </c>
      <c r="L324" s="19"/>
    </row>
    <row r="325" ht="22.5" customHeight="1">
      <c r="C325" s="19" t="s">
        <v>7841</v>
      </c>
      <c r="D325" s="19" t="s">
        <v>7891</v>
      </c>
      <c r="E325" s="43" t="s">
        <v>7892</v>
      </c>
      <c r="F325" s="43" t="s">
        <v>7893</v>
      </c>
      <c r="G325" s="43" t="s">
        <v>7148</v>
      </c>
      <c r="H325" s="49" t="s">
        <v>7894</v>
      </c>
      <c r="I325" s="18">
        <f t="shared" si="2"/>
        <v>45971</v>
      </c>
      <c r="J325" s="19" t="s">
        <v>28</v>
      </c>
      <c r="K325" s="19" t="s">
        <v>5170</v>
      </c>
      <c r="L325" s="19"/>
    </row>
    <row r="326" ht="22.5" customHeight="1">
      <c r="C326" s="19" t="s">
        <v>7841</v>
      </c>
      <c r="D326" s="19" t="s">
        <v>7895</v>
      </c>
      <c r="E326" s="43" t="s">
        <v>7896</v>
      </c>
      <c r="F326" s="43" t="s">
        <v>7897</v>
      </c>
      <c r="G326" s="43" t="s">
        <v>5900</v>
      </c>
      <c r="H326" s="49" t="s">
        <v>7898</v>
      </c>
      <c r="I326" s="18">
        <f t="shared" si="2"/>
        <v>45971</v>
      </c>
      <c r="J326" s="19" t="s">
        <v>28</v>
      </c>
      <c r="K326" s="19" t="s">
        <v>5170</v>
      </c>
      <c r="L326" s="19"/>
    </row>
    <row r="327" ht="22.5" customHeight="1">
      <c r="C327" s="19" t="s">
        <v>7841</v>
      </c>
      <c r="D327" s="19" t="s">
        <v>7899</v>
      </c>
      <c r="E327" s="43" t="s">
        <v>7900</v>
      </c>
      <c r="F327" s="43" t="s">
        <v>717</v>
      </c>
      <c r="G327" s="43" t="s">
        <v>5921</v>
      </c>
      <c r="H327" s="26">
        <v>3.052553005E9</v>
      </c>
      <c r="I327" s="18">
        <f t="shared" si="2"/>
        <v>45971</v>
      </c>
      <c r="J327" s="19" t="s">
        <v>28</v>
      </c>
      <c r="K327" s="19" t="s">
        <v>5170</v>
      </c>
      <c r="L327" s="19"/>
    </row>
    <row r="328" ht="22.5" customHeight="1">
      <c r="C328" s="19" t="s">
        <v>7841</v>
      </c>
      <c r="D328" s="19" t="s">
        <v>7901</v>
      </c>
      <c r="E328" s="43" t="s">
        <v>7902</v>
      </c>
      <c r="F328" s="43" t="s">
        <v>7903</v>
      </c>
      <c r="G328" s="43" t="s">
        <v>6004</v>
      </c>
      <c r="H328" s="49" t="s">
        <v>7904</v>
      </c>
      <c r="I328" s="18">
        <f t="shared" si="2"/>
        <v>45971</v>
      </c>
      <c r="J328" s="19" t="s">
        <v>28</v>
      </c>
      <c r="K328" s="19" t="s">
        <v>5170</v>
      </c>
      <c r="L328" s="19"/>
    </row>
    <row r="329" ht="22.5" customHeight="1">
      <c r="C329" s="19" t="s">
        <v>7841</v>
      </c>
      <c r="D329" s="19" t="s">
        <v>7905</v>
      </c>
      <c r="E329" s="43" t="s">
        <v>7906</v>
      </c>
      <c r="F329" s="43" t="s">
        <v>7907</v>
      </c>
      <c r="G329" s="43" t="s">
        <v>5949</v>
      </c>
      <c r="H329" s="49" t="s">
        <v>7908</v>
      </c>
      <c r="I329" s="18">
        <f t="shared" si="2"/>
        <v>45971</v>
      </c>
      <c r="J329" s="19" t="s">
        <v>28</v>
      </c>
      <c r="K329" s="19" t="s">
        <v>5170</v>
      </c>
      <c r="L329" s="19"/>
    </row>
    <row r="330" ht="22.5" customHeight="1">
      <c r="C330" s="19" t="s">
        <v>7841</v>
      </c>
      <c r="D330" s="19" t="s">
        <v>7909</v>
      </c>
      <c r="E330" s="43" t="s">
        <v>7910</v>
      </c>
      <c r="F330" s="43" t="s">
        <v>7911</v>
      </c>
      <c r="G330" s="43" t="s">
        <v>5829</v>
      </c>
      <c r="H330" s="26">
        <v>9.544403918E9</v>
      </c>
      <c r="I330" s="18">
        <f t="shared" si="2"/>
        <v>45971</v>
      </c>
      <c r="J330" s="19" t="s">
        <v>28</v>
      </c>
      <c r="K330" s="19" t="s">
        <v>5170</v>
      </c>
      <c r="L330" s="19"/>
    </row>
    <row r="331" ht="22.5" customHeight="1">
      <c r="C331" s="19" t="s">
        <v>7841</v>
      </c>
      <c r="D331" s="19" t="s">
        <v>7912</v>
      </c>
      <c r="E331" s="43" t="s">
        <v>7913</v>
      </c>
      <c r="F331" s="43" t="s">
        <v>7914</v>
      </c>
      <c r="G331" s="43" t="s">
        <v>5900</v>
      </c>
      <c r="H331" s="49" t="s">
        <v>7915</v>
      </c>
      <c r="I331" s="18">
        <f t="shared" si="2"/>
        <v>45971</v>
      </c>
      <c r="J331" s="19" t="s">
        <v>28</v>
      </c>
      <c r="K331" s="19" t="s">
        <v>5170</v>
      </c>
      <c r="L331" s="19"/>
    </row>
    <row r="332" ht="22.5" customHeight="1">
      <c r="C332" s="19" t="s">
        <v>7841</v>
      </c>
      <c r="D332" s="19" t="s">
        <v>7916</v>
      </c>
      <c r="E332" s="43" t="s">
        <v>7917</v>
      </c>
      <c r="F332" s="43" t="s">
        <v>7918</v>
      </c>
      <c r="G332" s="43" t="s">
        <v>5939</v>
      </c>
      <c r="H332" s="49" t="s">
        <v>7919</v>
      </c>
      <c r="I332" s="18">
        <f t="shared" si="2"/>
        <v>45971</v>
      </c>
      <c r="J332" s="19" t="s">
        <v>28</v>
      </c>
      <c r="K332" s="19" t="s">
        <v>5170</v>
      </c>
      <c r="L332" s="19"/>
    </row>
    <row r="333" ht="22.5" customHeight="1">
      <c r="C333" s="19" t="s">
        <v>7841</v>
      </c>
      <c r="D333" s="19" t="s">
        <v>7920</v>
      </c>
      <c r="E333" s="43" t="s">
        <v>7921</v>
      </c>
      <c r="F333" s="43" t="s">
        <v>7922</v>
      </c>
      <c r="G333" s="43" t="s">
        <v>5908</v>
      </c>
      <c r="H333" s="26">
        <v>3.057077126E9</v>
      </c>
      <c r="I333" s="18">
        <f t="shared" si="2"/>
        <v>45971</v>
      </c>
      <c r="J333" s="19" t="s">
        <v>28</v>
      </c>
      <c r="K333" s="19" t="s">
        <v>5170</v>
      </c>
      <c r="L333" s="19"/>
    </row>
    <row r="334" ht="22.5" customHeight="1">
      <c r="C334" s="19" t="s">
        <v>7841</v>
      </c>
      <c r="D334" s="19" t="s">
        <v>7923</v>
      </c>
      <c r="E334" s="43" t="s">
        <v>7924</v>
      </c>
      <c r="F334" s="43" t="s">
        <v>7925</v>
      </c>
      <c r="G334" s="43" t="s">
        <v>7926</v>
      </c>
      <c r="H334" s="26">
        <v>7.864945605E9</v>
      </c>
      <c r="I334" s="18">
        <f t="shared" si="2"/>
        <v>45971</v>
      </c>
      <c r="J334" s="19" t="s">
        <v>28</v>
      </c>
      <c r="K334" s="19" t="s">
        <v>5170</v>
      </c>
      <c r="L334" s="19"/>
    </row>
    <row r="335" ht="22.5" customHeight="1">
      <c r="C335" s="19" t="s">
        <v>7841</v>
      </c>
      <c r="D335" s="19" t="s">
        <v>7927</v>
      </c>
      <c r="E335" s="43" t="s">
        <v>7928</v>
      </c>
      <c r="F335" s="43" t="s">
        <v>7929</v>
      </c>
      <c r="G335" s="43" t="s">
        <v>5820</v>
      </c>
      <c r="H335" s="49" t="s">
        <v>7930</v>
      </c>
      <c r="I335" s="18">
        <f t="shared" si="2"/>
        <v>45971</v>
      </c>
      <c r="J335" s="19" t="s">
        <v>28</v>
      </c>
      <c r="K335" s="19" t="s">
        <v>5170</v>
      </c>
      <c r="L335" s="19"/>
    </row>
    <row r="336" ht="22.5" customHeight="1">
      <c r="C336" s="19" t="s">
        <v>7841</v>
      </c>
      <c r="D336" s="19" t="s">
        <v>7931</v>
      </c>
      <c r="E336" s="43" t="s">
        <v>7932</v>
      </c>
      <c r="F336" s="43" t="s">
        <v>7933</v>
      </c>
      <c r="G336" s="43" t="s">
        <v>5878</v>
      </c>
      <c r="H336" s="49" t="s">
        <v>182</v>
      </c>
      <c r="I336" s="18">
        <f t="shared" si="2"/>
        <v>45971</v>
      </c>
      <c r="J336" s="19" t="s">
        <v>28</v>
      </c>
      <c r="K336" s="19" t="s">
        <v>5170</v>
      </c>
      <c r="L336" s="19"/>
    </row>
    <row r="337" ht="22.5" customHeight="1">
      <c r="C337" s="19" t="s">
        <v>7841</v>
      </c>
      <c r="D337" s="19" t="s">
        <v>7934</v>
      </c>
      <c r="E337" s="43" t="s">
        <v>7935</v>
      </c>
      <c r="F337" s="43" t="s">
        <v>7936</v>
      </c>
      <c r="G337" s="43" t="s">
        <v>7482</v>
      </c>
      <c r="H337" s="49" t="s">
        <v>7937</v>
      </c>
      <c r="I337" s="18">
        <f t="shared" si="2"/>
        <v>45971</v>
      </c>
      <c r="J337" s="19" t="s">
        <v>28</v>
      </c>
      <c r="K337" s="19" t="s">
        <v>5170</v>
      </c>
      <c r="L337" s="19"/>
    </row>
    <row r="338" ht="22.5" customHeight="1">
      <c r="C338" s="19" t="s">
        <v>7841</v>
      </c>
      <c r="D338" s="19" t="s">
        <v>7938</v>
      </c>
      <c r="E338" s="43" t="s">
        <v>7939</v>
      </c>
      <c r="F338" s="43" t="s">
        <v>7940</v>
      </c>
      <c r="G338" s="43" t="s">
        <v>5842</v>
      </c>
      <c r="H338" s="49" t="s">
        <v>7941</v>
      </c>
      <c r="I338" s="18">
        <f t="shared" si="2"/>
        <v>45971</v>
      </c>
      <c r="J338" s="19" t="s">
        <v>28</v>
      </c>
      <c r="K338" s="19" t="s">
        <v>5170</v>
      </c>
      <c r="L338" s="19"/>
    </row>
    <row r="339" ht="22.5" customHeight="1">
      <c r="C339" s="19" t="s">
        <v>7841</v>
      </c>
      <c r="D339" s="19" t="s">
        <v>7942</v>
      </c>
      <c r="E339" s="43" t="s">
        <v>7943</v>
      </c>
      <c r="F339" s="43" t="s">
        <v>7944</v>
      </c>
      <c r="G339" s="43" t="s">
        <v>5874</v>
      </c>
      <c r="H339" s="49" t="s">
        <v>7945</v>
      </c>
      <c r="I339" s="18">
        <f t="shared" si="2"/>
        <v>45971</v>
      </c>
      <c r="J339" s="19" t="s">
        <v>28</v>
      </c>
      <c r="K339" s="19" t="s">
        <v>5170</v>
      </c>
      <c r="L339" s="19"/>
    </row>
    <row r="340" ht="22.5" customHeight="1">
      <c r="C340" s="19" t="s">
        <v>7841</v>
      </c>
      <c r="D340" s="19" t="s">
        <v>7946</v>
      </c>
      <c r="E340" s="43" t="s">
        <v>7947</v>
      </c>
      <c r="F340" s="43" t="s">
        <v>997</v>
      </c>
      <c r="G340" s="43" t="s">
        <v>5953</v>
      </c>
      <c r="H340" s="26">
        <v>3.053189103E9</v>
      </c>
      <c r="I340" s="18">
        <f t="shared" si="2"/>
        <v>45971</v>
      </c>
      <c r="J340" s="19" t="s">
        <v>28</v>
      </c>
      <c r="K340" s="19" t="s">
        <v>5170</v>
      </c>
      <c r="L340" s="19"/>
    </row>
    <row r="341" ht="22.5" customHeight="1">
      <c r="C341" s="19" t="s">
        <v>7841</v>
      </c>
      <c r="D341" s="19" t="s">
        <v>7948</v>
      </c>
      <c r="E341" s="43" t="s">
        <v>7949</v>
      </c>
      <c r="F341" s="43" t="s">
        <v>7950</v>
      </c>
      <c r="G341" s="43" t="s">
        <v>6241</v>
      </c>
      <c r="H341" s="26">
        <v>3.057734431E9</v>
      </c>
      <c r="I341" s="18">
        <f t="shared" si="2"/>
        <v>45971</v>
      </c>
      <c r="J341" s="19" t="s">
        <v>28</v>
      </c>
      <c r="K341" s="19" t="s">
        <v>5170</v>
      </c>
      <c r="L341" s="19"/>
    </row>
    <row r="342" ht="22.5" customHeight="1">
      <c r="C342" s="19" t="s">
        <v>7951</v>
      </c>
      <c r="D342" s="19" t="s">
        <v>7952</v>
      </c>
      <c r="E342" s="43" t="s">
        <v>7953</v>
      </c>
      <c r="F342" s="43" t="s">
        <v>7954</v>
      </c>
      <c r="G342" s="43" t="s">
        <v>6094</v>
      </c>
      <c r="H342" s="49" t="s">
        <v>7955</v>
      </c>
      <c r="I342" s="18">
        <f t="shared" si="2"/>
        <v>45971</v>
      </c>
      <c r="J342" s="19" t="s">
        <v>28</v>
      </c>
      <c r="K342" s="19" t="s">
        <v>5170</v>
      </c>
      <c r="L342" s="19"/>
    </row>
    <row r="343" ht="22.5" customHeight="1">
      <c r="C343" s="19" t="s">
        <v>7951</v>
      </c>
      <c r="D343" s="19" t="s">
        <v>7956</v>
      </c>
      <c r="E343" s="43" t="s">
        <v>7957</v>
      </c>
      <c r="F343" s="43" t="s">
        <v>309</v>
      </c>
      <c r="G343" s="43" t="s">
        <v>5878</v>
      </c>
      <c r="H343" s="49" t="s">
        <v>7958</v>
      </c>
      <c r="I343" s="18">
        <f t="shared" si="2"/>
        <v>45971</v>
      </c>
      <c r="J343" s="19" t="s">
        <v>28</v>
      </c>
      <c r="K343" s="19" t="s">
        <v>5170</v>
      </c>
      <c r="L343" s="19"/>
    </row>
    <row r="344" ht="22.5" customHeight="1">
      <c r="C344" s="19" t="s">
        <v>7951</v>
      </c>
      <c r="D344" s="19" t="s">
        <v>7959</v>
      </c>
      <c r="E344" s="43" t="s">
        <v>7960</v>
      </c>
      <c r="F344" s="43" t="s">
        <v>7961</v>
      </c>
      <c r="G344" s="43" t="s">
        <v>5874</v>
      </c>
      <c r="H344" s="49" t="s">
        <v>7962</v>
      </c>
      <c r="I344" s="18">
        <f t="shared" si="2"/>
        <v>45971</v>
      </c>
      <c r="J344" s="19" t="s">
        <v>28</v>
      </c>
      <c r="K344" s="19" t="s">
        <v>5170</v>
      </c>
      <c r="L344" s="19"/>
    </row>
    <row r="345" ht="22.5" customHeight="1">
      <c r="C345" s="19" t="s">
        <v>7951</v>
      </c>
      <c r="D345" s="19" t="s">
        <v>7963</v>
      </c>
      <c r="E345" s="43" t="s">
        <v>7964</v>
      </c>
      <c r="F345" s="43" t="s">
        <v>5360</v>
      </c>
      <c r="G345" s="43" t="s">
        <v>5949</v>
      </c>
      <c r="H345" s="26">
        <v>6.469960096E9</v>
      </c>
      <c r="I345" s="18">
        <f t="shared" si="2"/>
        <v>45971</v>
      </c>
      <c r="J345" s="19" t="s">
        <v>28</v>
      </c>
      <c r="K345" s="19" t="s">
        <v>5170</v>
      </c>
      <c r="L345" s="19"/>
    </row>
    <row r="346" ht="22.5" customHeight="1">
      <c r="C346" s="19" t="s">
        <v>7951</v>
      </c>
      <c r="D346" s="19" t="s">
        <v>7965</v>
      </c>
      <c r="E346" s="43" t="s">
        <v>7966</v>
      </c>
      <c r="F346" s="43" t="s">
        <v>7967</v>
      </c>
      <c r="G346" s="43" t="s">
        <v>5866</v>
      </c>
      <c r="H346" s="49" t="s">
        <v>7968</v>
      </c>
      <c r="I346" s="18">
        <f t="shared" si="2"/>
        <v>45971</v>
      </c>
      <c r="J346" s="19" t="s">
        <v>28</v>
      </c>
      <c r="K346" s="19" t="s">
        <v>5170</v>
      </c>
      <c r="L346" s="19"/>
    </row>
    <row r="347" ht="22.5" customHeight="1">
      <c r="C347" s="19" t="s">
        <v>7951</v>
      </c>
      <c r="D347" s="19" t="s">
        <v>7969</v>
      </c>
      <c r="E347" s="43" t="s">
        <v>7970</v>
      </c>
      <c r="F347" s="43" t="s">
        <v>7971</v>
      </c>
      <c r="G347" s="43" t="s">
        <v>6160</v>
      </c>
      <c r="H347" s="26">
        <v>5.618623045E9</v>
      </c>
      <c r="I347" s="18">
        <f t="shared" si="2"/>
        <v>45971</v>
      </c>
      <c r="J347" s="19" t="s">
        <v>28</v>
      </c>
      <c r="K347" s="19" t="s">
        <v>5170</v>
      </c>
      <c r="L347" s="19"/>
    </row>
    <row r="348" ht="22.5" customHeight="1">
      <c r="C348" s="19" t="s">
        <v>7951</v>
      </c>
      <c r="D348" s="19" t="s">
        <v>7972</v>
      </c>
      <c r="E348" s="43" t="s">
        <v>7973</v>
      </c>
      <c r="F348" s="43" t="s">
        <v>7974</v>
      </c>
      <c r="G348" s="43" t="s">
        <v>6004</v>
      </c>
      <c r="H348" s="49" t="s">
        <v>7975</v>
      </c>
      <c r="I348" s="18">
        <f t="shared" si="2"/>
        <v>45971</v>
      </c>
      <c r="J348" s="19" t="s">
        <v>28</v>
      </c>
      <c r="K348" s="19" t="s">
        <v>5170</v>
      </c>
      <c r="L348" s="19"/>
    </row>
    <row r="349" ht="22.5" customHeight="1">
      <c r="C349" s="19" t="s">
        <v>7951</v>
      </c>
      <c r="D349" s="19" t="s">
        <v>7976</v>
      </c>
      <c r="E349" s="43" t="s">
        <v>7977</v>
      </c>
      <c r="F349" s="43" t="s">
        <v>7978</v>
      </c>
      <c r="G349" s="43" t="s">
        <v>5957</v>
      </c>
      <c r="H349" s="49" t="s">
        <v>7979</v>
      </c>
      <c r="I349" s="18">
        <f t="shared" si="2"/>
        <v>45971</v>
      </c>
      <c r="J349" s="19" t="s">
        <v>28</v>
      </c>
      <c r="K349" s="19" t="s">
        <v>5170</v>
      </c>
      <c r="L349" s="19"/>
    </row>
    <row r="350" ht="22.5" customHeight="1">
      <c r="C350" s="19" t="s">
        <v>7951</v>
      </c>
      <c r="D350" s="19" t="s">
        <v>7980</v>
      </c>
      <c r="E350" s="43" t="s">
        <v>7981</v>
      </c>
      <c r="F350" s="43" t="s">
        <v>7982</v>
      </c>
      <c r="G350" s="43" t="s">
        <v>5988</v>
      </c>
      <c r="H350" s="26">
        <v>3.05733387E9</v>
      </c>
      <c r="I350" s="18">
        <f t="shared" si="2"/>
        <v>45971</v>
      </c>
      <c r="J350" s="19" t="s">
        <v>28</v>
      </c>
      <c r="K350" s="19" t="s">
        <v>5170</v>
      </c>
      <c r="L350" s="19"/>
    </row>
    <row r="351" ht="22.5" customHeight="1">
      <c r="C351" s="19" t="s">
        <v>7951</v>
      </c>
      <c r="D351" s="19" t="s">
        <v>7983</v>
      </c>
      <c r="E351" s="43" t="s">
        <v>7984</v>
      </c>
      <c r="F351" s="43" t="s">
        <v>2823</v>
      </c>
      <c r="G351" s="43" t="s">
        <v>6043</v>
      </c>
      <c r="H351" s="49" t="s">
        <v>7985</v>
      </c>
      <c r="I351" s="18">
        <f t="shared" si="2"/>
        <v>45971</v>
      </c>
      <c r="J351" s="19" t="s">
        <v>28</v>
      </c>
      <c r="K351" s="19" t="s">
        <v>5170</v>
      </c>
      <c r="L351" s="19"/>
    </row>
    <row r="352" ht="22.5" customHeight="1">
      <c r="C352" s="19" t="s">
        <v>7951</v>
      </c>
      <c r="D352" s="19" t="s">
        <v>7986</v>
      </c>
      <c r="E352" s="43" t="s">
        <v>7987</v>
      </c>
      <c r="F352" s="43" t="s">
        <v>7988</v>
      </c>
      <c r="G352" s="43" t="s">
        <v>5862</v>
      </c>
      <c r="H352" s="26">
        <v>7.866035255E9</v>
      </c>
      <c r="I352" s="18">
        <f t="shared" si="2"/>
        <v>45971</v>
      </c>
      <c r="J352" s="19" t="s">
        <v>28</v>
      </c>
      <c r="K352" s="19" t="s">
        <v>5170</v>
      </c>
      <c r="L352" s="19"/>
    </row>
    <row r="353" ht="22.5" customHeight="1">
      <c r="C353" s="19" t="s">
        <v>7989</v>
      </c>
      <c r="D353" s="19" t="s">
        <v>7990</v>
      </c>
      <c r="E353" s="43" t="s">
        <v>7991</v>
      </c>
      <c r="F353" s="43" t="s">
        <v>7992</v>
      </c>
      <c r="G353" s="43" t="s">
        <v>5878</v>
      </c>
      <c r="H353" s="49" t="s">
        <v>7993</v>
      </c>
      <c r="I353" s="18">
        <f t="shared" si="2"/>
        <v>45971</v>
      </c>
      <c r="J353" s="19" t="s">
        <v>28</v>
      </c>
      <c r="K353" s="19" t="s">
        <v>5170</v>
      </c>
      <c r="L353" s="19"/>
    </row>
    <row r="354" ht="22.5" customHeight="1">
      <c r="C354" s="19" t="s">
        <v>7989</v>
      </c>
      <c r="D354" s="19" t="s">
        <v>7994</v>
      </c>
      <c r="E354" s="43" t="s">
        <v>7995</v>
      </c>
      <c r="F354" s="43" t="s">
        <v>7996</v>
      </c>
      <c r="G354" s="43" t="s">
        <v>5834</v>
      </c>
      <c r="H354" s="49" t="s">
        <v>7997</v>
      </c>
      <c r="I354" s="18">
        <f t="shared" si="2"/>
        <v>45971</v>
      </c>
      <c r="J354" s="19" t="s">
        <v>28</v>
      </c>
      <c r="K354" s="19" t="s">
        <v>5170</v>
      </c>
      <c r="L354" s="19"/>
    </row>
    <row r="355" ht="22.5" customHeight="1">
      <c r="C355" s="19" t="s">
        <v>7989</v>
      </c>
      <c r="D355" s="19" t="s">
        <v>7998</v>
      </c>
      <c r="E355" s="43" t="s">
        <v>7999</v>
      </c>
      <c r="F355" s="48" t="s">
        <v>767</v>
      </c>
      <c r="G355" s="43" t="s">
        <v>5988</v>
      </c>
      <c r="H355" s="26">
        <v>3.05431547E9</v>
      </c>
      <c r="I355" s="18">
        <f t="shared" si="2"/>
        <v>45971</v>
      </c>
      <c r="J355" s="19" t="s">
        <v>28</v>
      </c>
      <c r="K355" s="19" t="s">
        <v>5170</v>
      </c>
      <c r="L355" s="19"/>
    </row>
    <row r="356" ht="22.5" customHeight="1">
      <c r="C356" s="19" t="s">
        <v>7989</v>
      </c>
      <c r="D356" s="19" t="s">
        <v>8000</v>
      </c>
      <c r="E356" s="43" t="s">
        <v>8001</v>
      </c>
      <c r="F356" s="43" t="s">
        <v>8002</v>
      </c>
      <c r="G356" s="43" t="s">
        <v>6094</v>
      </c>
      <c r="H356" s="26">
        <v>9.549080707E9</v>
      </c>
      <c r="I356" s="18">
        <f t="shared" si="2"/>
        <v>45971</v>
      </c>
      <c r="J356" s="19" t="s">
        <v>28</v>
      </c>
      <c r="K356" s="19" t="s">
        <v>5170</v>
      </c>
      <c r="L356" s="19"/>
    </row>
    <row r="357" ht="22.5" customHeight="1">
      <c r="C357" s="19" t="s">
        <v>7989</v>
      </c>
      <c r="D357" s="19" t="s">
        <v>8003</v>
      </c>
      <c r="E357" s="43" t="s">
        <v>8004</v>
      </c>
      <c r="F357" s="43" t="s">
        <v>8005</v>
      </c>
      <c r="G357" s="43" t="s">
        <v>6459</v>
      </c>
      <c r="H357" s="26">
        <v>3.055604234E9</v>
      </c>
      <c r="I357" s="18">
        <f t="shared" si="2"/>
        <v>45971</v>
      </c>
      <c r="J357" s="19" t="s">
        <v>28</v>
      </c>
      <c r="K357" s="19" t="s">
        <v>5170</v>
      </c>
      <c r="L357" s="19"/>
    </row>
    <row r="358" ht="22.5" customHeight="1">
      <c r="C358" s="19" t="s">
        <v>7989</v>
      </c>
      <c r="D358" s="19" t="s">
        <v>8006</v>
      </c>
      <c r="E358" s="43" t="s">
        <v>8007</v>
      </c>
      <c r="F358" s="43" t="s">
        <v>8008</v>
      </c>
      <c r="G358" s="43" t="s">
        <v>7130</v>
      </c>
      <c r="H358" s="26">
        <v>7.868799075E9</v>
      </c>
      <c r="I358" s="18">
        <f t="shared" si="2"/>
        <v>45971</v>
      </c>
      <c r="J358" s="19" t="s">
        <v>28</v>
      </c>
      <c r="K358" s="19" t="s">
        <v>5170</v>
      </c>
      <c r="L358" s="19"/>
    </row>
    <row r="359" ht="22.5" customHeight="1">
      <c r="C359" s="19" t="s">
        <v>7989</v>
      </c>
      <c r="D359" s="19" t="s">
        <v>8009</v>
      </c>
      <c r="E359" s="43" t="s">
        <v>8010</v>
      </c>
      <c r="F359" s="43" t="s">
        <v>1541</v>
      </c>
      <c r="G359" s="43" t="s">
        <v>5929</v>
      </c>
      <c r="H359" s="49" t="s">
        <v>8011</v>
      </c>
      <c r="I359" s="18">
        <f t="shared" si="2"/>
        <v>45971</v>
      </c>
      <c r="J359" s="19" t="s">
        <v>28</v>
      </c>
      <c r="K359" s="19" t="s">
        <v>5170</v>
      </c>
      <c r="L359" s="19"/>
    </row>
    <row r="360" ht="22.5" customHeight="1">
      <c r="C360" s="19" t="s">
        <v>7989</v>
      </c>
      <c r="D360" s="19" t="s">
        <v>8012</v>
      </c>
      <c r="E360" s="43" t="s">
        <v>8013</v>
      </c>
      <c r="F360" s="43" t="s">
        <v>8014</v>
      </c>
      <c r="G360" s="43" t="s">
        <v>8015</v>
      </c>
      <c r="H360" s="26">
        <v>3.057312001E9</v>
      </c>
      <c r="I360" s="18">
        <f t="shared" si="2"/>
        <v>45971</v>
      </c>
      <c r="J360" s="19" t="s">
        <v>28</v>
      </c>
      <c r="K360" s="19" t="s">
        <v>5170</v>
      </c>
      <c r="L360" s="19"/>
    </row>
    <row r="361" ht="22.5" customHeight="1">
      <c r="C361" s="19" t="s">
        <v>7989</v>
      </c>
      <c r="D361" s="19" t="s">
        <v>8016</v>
      </c>
      <c r="E361" s="43" t="s">
        <v>8017</v>
      </c>
      <c r="F361" s="43" t="s">
        <v>8018</v>
      </c>
      <c r="G361" s="43" t="s">
        <v>6004</v>
      </c>
      <c r="H361" s="49" t="s">
        <v>8019</v>
      </c>
      <c r="I361" s="18">
        <f t="shared" si="2"/>
        <v>45971</v>
      </c>
      <c r="J361" s="19" t="s">
        <v>28</v>
      </c>
      <c r="K361" s="19" t="s">
        <v>5170</v>
      </c>
      <c r="L361" s="19"/>
    </row>
    <row r="362" ht="22.5" customHeight="1">
      <c r="C362" s="19" t="s">
        <v>7989</v>
      </c>
      <c r="D362" s="19" t="s">
        <v>8020</v>
      </c>
      <c r="E362" s="43" t="s">
        <v>8021</v>
      </c>
      <c r="F362" s="43" t="s">
        <v>8022</v>
      </c>
      <c r="G362" s="43" t="s">
        <v>7273</v>
      </c>
      <c r="H362" s="49" t="s">
        <v>8023</v>
      </c>
      <c r="I362" s="18">
        <f t="shared" si="2"/>
        <v>45971</v>
      </c>
      <c r="J362" s="19" t="s">
        <v>28</v>
      </c>
      <c r="K362" s="19" t="s">
        <v>5170</v>
      </c>
      <c r="L362" s="19"/>
    </row>
    <row r="363" ht="22.5" customHeight="1">
      <c r="C363" s="19" t="s">
        <v>7989</v>
      </c>
      <c r="D363" s="19" t="s">
        <v>8024</v>
      </c>
      <c r="E363" s="48" t="s">
        <v>8025</v>
      </c>
      <c r="F363" s="48" t="s">
        <v>1310</v>
      </c>
      <c r="G363" s="48" t="s">
        <v>5866</v>
      </c>
      <c r="H363" s="49" t="s">
        <v>8026</v>
      </c>
      <c r="I363" s="18">
        <f t="shared" si="2"/>
        <v>45971</v>
      </c>
      <c r="J363" s="19" t="s">
        <v>28</v>
      </c>
      <c r="K363" s="19" t="s">
        <v>5170</v>
      </c>
      <c r="L363" s="19"/>
    </row>
    <row r="364" ht="22.5" customHeight="1">
      <c r="C364" s="19" t="s">
        <v>7989</v>
      </c>
      <c r="D364" s="19" t="s">
        <v>8027</v>
      </c>
      <c r="E364" s="43" t="s">
        <v>8028</v>
      </c>
      <c r="F364" s="43" t="s">
        <v>8029</v>
      </c>
      <c r="G364" s="43" t="s">
        <v>6043</v>
      </c>
      <c r="H364" s="44">
        <v>3.054674635E9</v>
      </c>
      <c r="I364" s="18">
        <f t="shared" si="2"/>
        <v>45971</v>
      </c>
      <c r="J364" s="19" t="s">
        <v>28</v>
      </c>
      <c r="K364" s="19" t="s">
        <v>5170</v>
      </c>
      <c r="L364" s="19"/>
    </row>
    <row r="365" ht="22.5" customHeight="1">
      <c r="C365" s="19" t="s">
        <v>7989</v>
      </c>
      <c r="D365" s="19" t="s">
        <v>8030</v>
      </c>
      <c r="E365" s="43" t="s">
        <v>8031</v>
      </c>
      <c r="F365" s="43" t="s">
        <v>8032</v>
      </c>
      <c r="G365" s="43" t="s">
        <v>5882</v>
      </c>
      <c r="H365" s="26">
        <v>3.053357339E9</v>
      </c>
      <c r="I365" s="18">
        <f t="shared" si="2"/>
        <v>45971</v>
      </c>
      <c r="J365" s="19" t="s">
        <v>28</v>
      </c>
      <c r="K365" s="19" t="s">
        <v>5170</v>
      </c>
      <c r="L365" s="19"/>
    </row>
    <row r="366" ht="22.5" customHeight="1">
      <c r="C366" s="19" t="s">
        <v>7989</v>
      </c>
      <c r="D366" s="19" t="s">
        <v>8033</v>
      </c>
      <c r="E366" s="43" t="s">
        <v>8034</v>
      </c>
      <c r="F366" s="43" t="s">
        <v>1394</v>
      </c>
      <c r="G366" s="43" t="s">
        <v>5820</v>
      </c>
      <c r="H366" s="42" t="s">
        <v>1395</v>
      </c>
      <c r="I366" s="18">
        <f t="shared" si="2"/>
        <v>45971</v>
      </c>
      <c r="J366" s="19" t="s">
        <v>28</v>
      </c>
      <c r="K366" s="19" t="s">
        <v>5170</v>
      </c>
      <c r="L366" s="19"/>
    </row>
    <row r="367" ht="22.5" customHeight="1">
      <c r="C367" s="19" t="s">
        <v>7989</v>
      </c>
      <c r="D367" s="19" t="s">
        <v>8035</v>
      </c>
      <c r="E367" s="43" t="s">
        <v>8036</v>
      </c>
      <c r="F367" s="43" t="s">
        <v>8037</v>
      </c>
      <c r="G367" s="43" t="s">
        <v>6647</v>
      </c>
      <c r="H367" s="49" t="s">
        <v>8038</v>
      </c>
      <c r="I367" s="18">
        <f t="shared" si="2"/>
        <v>45971</v>
      </c>
      <c r="J367" s="19" t="s">
        <v>28</v>
      </c>
      <c r="K367" s="19" t="s">
        <v>5170</v>
      </c>
      <c r="L367" s="19"/>
    </row>
    <row r="368" ht="22.5" customHeight="1">
      <c r="C368" s="19" t="s">
        <v>7989</v>
      </c>
      <c r="D368" s="19" t="s">
        <v>8039</v>
      </c>
      <c r="E368" s="43" t="s">
        <v>8040</v>
      </c>
      <c r="F368" s="43" t="s">
        <v>8041</v>
      </c>
      <c r="G368" s="43" t="s">
        <v>5846</v>
      </c>
      <c r="H368" s="49" t="s">
        <v>8042</v>
      </c>
      <c r="I368" s="18">
        <f t="shared" si="2"/>
        <v>45971</v>
      </c>
      <c r="J368" s="19" t="s">
        <v>28</v>
      </c>
      <c r="K368" s="19" t="s">
        <v>5170</v>
      </c>
      <c r="L368" s="19"/>
    </row>
    <row r="369" ht="22.5" customHeight="1">
      <c r="C369" s="19" t="s">
        <v>7989</v>
      </c>
      <c r="D369" s="19" t="s">
        <v>8043</v>
      </c>
      <c r="E369" s="43" t="s">
        <v>8044</v>
      </c>
      <c r="F369" s="43" t="s">
        <v>830</v>
      </c>
      <c r="G369" s="43" t="s">
        <v>6160</v>
      </c>
      <c r="H369" s="49" t="s">
        <v>8045</v>
      </c>
      <c r="I369" s="18">
        <f t="shared" si="2"/>
        <v>45971</v>
      </c>
      <c r="J369" s="19" t="s">
        <v>28</v>
      </c>
      <c r="K369" s="19" t="s">
        <v>5170</v>
      </c>
      <c r="L369" s="19"/>
    </row>
    <row r="370" ht="22.5" customHeight="1">
      <c r="C370" s="19" t="s">
        <v>7989</v>
      </c>
      <c r="D370" s="19" t="s">
        <v>8046</v>
      </c>
      <c r="E370" s="43" t="s">
        <v>8047</v>
      </c>
      <c r="F370" s="43" t="s">
        <v>8048</v>
      </c>
      <c r="G370" s="43" t="s">
        <v>5939</v>
      </c>
      <c r="H370" s="26">
        <v>2.027017797E9</v>
      </c>
      <c r="I370" s="18">
        <f t="shared" si="2"/>
        <v>45971</v>
      </c>
      <c r="J370" s="19" t="s">
        <v>28</v>
      </c>
      <c r="K370" s="19" t="s">
        <v>5170</v>
      </c>
      <c r="L370" s="19"/>
    </row>
    <row r="371" ht="22.5" customHeight="1">
      <c r="C371" s="19" t="s">
        <v>7989</v>
      </c>
      <c r="D371" s="19" t="s">
        <v>8049</v>
      </c>
      <c r="E371" s="43" t="s">
        <v>8050</v>
      </c>
      <c r="F371" s="43" t="s">
        <v>5907</v>
      </c>
      <c r="G371" s="43" t="s">
        <v>5908</v>
      </c>
      <c r="H371" s="49" t="s">
        <v>8051</v>
      </c>
      <c r="I371" s="18">
        <f t="shared" si="2"/>
        <v>45971</v>
      </c>
      <c r="J371" s="19" t="s">
        <v>28</v>
      </c>
      <c r="K371" s="19" t="s">
        <v>5170</v>
      </c>
      <c r="L371" s="19"/>
    </row>
    <row r="372" ht="22.5" customHeight="1">
      <c r="C372" s="19" t="s">
        <v>7989</v>
      </c>
      <c r="D372" s="19" t="s">
        <v>8052</v>
      </c>
      <c r="E372" s="43" t="s">
        <v>8053</v>
      </c>
      <c r="F372" s="43" t="s">
        <v>8054</v>
      </c>
      <c r="G372" s="43" t="s">
        <v>5949</v>
      </c>
      <c r="H372" s="26">
        <v>3.05934698E9</v>
      </c>
      <c r="I372" s="18">
        <f t="shared" si="2"/>
        <v>45971</v>
      </c>
      <c r="J372" s="19" t="s">
        <v>28</v>
      </c>
      <c r="K372" s="19" t="s">
        <v>5170</v>
      </c>
      <c r="L372" s="19"/>
    </row>
    <row r="373" ht="22.5" customHeight="1">
      <c r="C373" s="19" t="s">
        <v>7989</v>
      </c>
      <c r="D373" s="19" t="s">
        <v>8055</v>
      </c>
      <c r="E373" s="43" t="s">
        <v>8056</v>
      </c>
      <c r="F373" s="43" t="s">
        <v>8057</v>
      </c>
      <c r="G373" s="43" t="s">
        <v>5825</v>
      </c>
      <c r="H373" s="26">
        <v>3.059241133E9</v>
      </c>
      <c r="I373" s="18">
        <f t="shared" si="2"/>
        <v>45971</v>
      </c>
      <c r="J373" s="19" t="s">
        <v>28</v>
      </c>
      <c r="K373" s="19" t="s">
        <v>5170</v>
      </c>
      <c r="L373" s="19"/>
    </row>
    <row r="374" ht="22.5" customHeight="1">
      <c r="C374" s="19" t="s">
        <v>7989</v>
      </c>
      <c r="D374" s="19" t="s">
        <v>8058</v>
      </c>
      <c r="E374" s="43" t="s">
        <v>8059</v>
      </c>
      <c r="F374" s="43" t="s">
        <v>8060</v>
      </c>
      <c r="G374" s="43" t="s">
        <v>5820</v>
      </c>
      <c r="H374" s="49" t="s">
        <v>8061</v>
      </c>
      <c r="I374" s="18">
        <f t="shared" si="2"/>
        <v>45971</v>
      </c>
      <c r="J374" s="19" t="s">
        <v>28</v>
      </c>
      <c r="K374" s="19" t="s">
        <v>5170</v>
      </c>
      <c r="L374" s="19"/>
    </row>
    <row r="375" ht="22.5" customHeight="1">
      <c r="C375" s="19" t="s">
        <v>8062</v>
      </c>
      <c r="D375" s="19" t="s">
        <v>8063</v>
      </c>
      <c r="E375" s="43" t="s">
        <v>8064</v>
      </c>
      <c r="F375" s="43" t="s">
        <v>8065</v>
      </c>
      <c r="G375" s="43" t="s">
        <v>5985</v>
      </c>
      <c r="H375" s="42" t="s">
        <v>8066</v>
      </c>
      <c r="I375" s="18">
        <f t="shared" si="2"/>
        <v>45971</v>
      </c>
      <c r="J375" s="19" t="s">
        <v>28</v>
      </c>
      <c r="K375" s="19" t="s">
        <v>5170</v>
      </c>
      <c r="L375" s="19"/>
    </row>
    <row r="376" ht="22.5" customHeight="1">
      <c r="C376" s="19" t="s">
        <v>8062</v>
      </c>
      <c r="D376" s="19" t="s">
        <v>8067</v>
      </c>
      <c r="E376" s="43" t="s">
        <v>8068</v>
      </c>
      <c r="F376" s="43" t="s">
        <v>8069</v>
      </c>
      <c r="G376" s="43" t="s">
        <v>6221</v>
      </c>
      <c r="H376" s="49" t="s">
        <v>8070</v>
      </c>
      <c r="I376" s="18">
        <f t="shared" si="2"/>
        <v>45971</v>
      </c>
      <c r="J376" s="19" t="s">
        <v>28</v>
      </c>
      <c r="K376" s="19" t="s">
        <v>5170</v>
      </c>
      <c r="L376" s="19"/>
    </row>
    <row r="377" ht="22.5" customHeight="1">
      <c r="C377" s="19" t="s">
        <v>8062</v>
      </c>
      <c r="D377" s="19" t="s">
        <v>8071</v>
      </c>
      <c r="E377" s="43" t="s">
        <v>8072</v>
      </c>
      <c r="F377" s="43" t="s">
        <v>872</v>
      </c>
      <c r="G377" s="43" t="s">
        <v>7030</v>
      </c>
      <c r="H377" s="26">
        <v>7.865669887E9</v>
      </c>
      <c r="I377" s="18">
        <f t="shared" si="2"/>
        <v>45971</v>
      </c>
      <c r="J377" s="19" t="s">
        <v>28</v>
      </c>
      <c r="K377" s="19" t="s">
        <v>5170</v>
      </c>
      <c r="L377" s="19"/>
    </row>
    <row r="378" ht="22.5" customHeight="1">
      <c r="C378" s="19" t="s">
        <v>8062</v>
      </c>
      <c r="D378" s="19" t="s">
        <v>8073</v>
      </c>
      <c r="E378" s="43" t="s">
        <v>8074</v>
      </c>
      <c r="F378" s="43" t="s">
        <v>8075</v>
      </c>
      <c r="G378" s="43" t="s">
        <v>5962</v>
      </c>
      <c r="H378" s="49" t="s">
        <v>8076</v>
      </c>
      <c r="I378" s="18">
        <f t="shared" si="2"/>
        <v>45971</v>
      </c>
      <c r="J378" s="19" t="s">
        <v>28</v>
      </c>
      <c r="K378" s="19" t="s">
        <v>5170</v>
      </c>
      <c r="L378" s="19"/>
    </row>
    <row r="379" ht="22.5" customHeight="1">
      <c r="C379" s="19" t="s">
        <v>8062</v>
      </c>
      <c r="D379" s="19" t="s">
        <v>8077</v>
      </c>
      <c r="E379" s="43" t="s">
        <v>8078</v>
      </c>
      <c r="F379" s="43" t="s">
        <v>8079</v>
      </c>
      <c r="G379" s="43" t="s">
        <v>6548</v>
      </c>
      <c r="H379" s="49" t="s">
        <v>8080</v>
      </c>
      <c r="I379" s="18">
        <f t="shared" si="2"/>
        <v>45971</v>
      </c>
      <c r="J379" s="19" t="s">
        <v>28</v>
      </c>
      <c r="K379" s="19" t="s">
        <v>5170</v>
      </c>
      <c r="L379" s="19"/>
    </row>
    <row r="380" ht="22.5" customHeight="1">
      <c r="C380" s="19" t="s">
        <v>8062</v>
      </c>
      <c r="D380" s="19" t="s">
        <v>8081</v>
      </c>
      <c r="E380" s="43" t="s">
        <v>8082</v>
      </c>
      <c r="F380" s="43" t="s">
        <v>8083</v>
      </c>
      <c r="G380" s="43" t="s">
        <v>5874</v>
      </c>
      <c r="H380" s="26">
        <v>7.863476109E9</v>
      </c>
      <c r="I380" s="18">
        <f t="shared" si="2"/>
        <v>45971</v>
      </c>
      <c r="J380" s="19" t="s">
        <v>28</v>
      </c>
      <c r="K380" s="19" t="s">
        <v>5170</v>
      </c>
      <c r="L380" s="19"/>
    </row>
    <row r="381" ht="22.5" customHeight="1">
      <c r="C381" s="19" t="s">
        <v>8062</v>
      </c>
      <c r="D381" s="19" t="s">
        <v>8084</v>
      </c>
      <c r="E381" s="43" t="s">
        <v>8085</v>
      </c>
      <c r="F381" s="43" t="s">
        <v>8086</v>
      </c>
      <c r="G381" s="43" t="s">
        <v>6920</v>
      </c>
      <c r="H381" s="26">
        <v>3.059873909E9</v>
      </c>
      <c r="I381" s="18">
        <f t="shared" si="2"/>
        <v>45971</v>
      </c>
      <c r="J381" s="19" t="s">
        <v>28</v>
      </c>
      <c r="K381" s="19" t="s">
        <v>5170</v>
      </c>
      <c r="L381" s="19"/>
    </row>
    <row r="382" ht="22.5" customHeight="1">
      <c r="C382" s="19" t="s">
        <v>8062</v>
      </c>
      <c r="D382" s="19" t="s">
        <v>8087</v>
      </c>
      <c r="E382" s="43" t="s">
        <v>8088</v>
      </c>
      <c r="F382" s="43" t="s">
        <v>8089</v>
      </c>
      <c r="G382" s="43" t="s">
        <v>5921</v>
      </c>
      <c r="H382" s="26">
        <v>3.05503507E9</v>
      </c>
      <c r="I382" s="18">
        <f t="shared" si="2"/>
        <v>45971</v>
      </c>
      <c r="J382" s="19" t="s">
        <v>28</v>
      </c>
      <c r="K382" s="19" t="s">
        <v>5170</v>
      </c>
      <c r="L382" s="19"/>
    </row>
    <row r="383" ht="22.5" customHeight="1">
      <c r="C383" s="19" t="s">
        <v>8062</v>
      </c>
      <c r="D383" s="19" t="s">
        <v>8090</v>
      </c>
      <c r="E383" s="43" t="s">
        <v>8091</v>
      </c>
      <c r="F383" s="43" t="s">
        <v>548</v>
      </c>
      <c r="G383" s="43" t="s">
        <v>5953</v>
      </c>
      <c r="H383" s="49" t="s">
        <v>8092</v>
      </c>
      <c r="I383" s="18">
        <f t="shared" si="2"/>
        <v>45971</v>
      </c>
      <c r="J383" s="19" t="s">
        <v>28</v>
      </c>
      <c r="K383" s="19" t="s">
        <v>5170</v>
      </c>
      <c r="L383" s="19"/>
    </row>
    <row r="384" ht="22.5" customHeight="1">
      <c r="C384" s="19" t="s">
        <v>8062</v>
      </c>
      <c r="D384" s="19" t="s">
        <v>8093</v>
      </c>
      <c r="E384" s="43" t="s">
        <v>8094</v>
      </c>
      <c r="F384" s="43" t="s">
        <v>8095</v>
      </c>
      <c r="G384" s="43" t="s">
        <v>8096</v>
      </c>
      <c r="H384" s="49" t="s">
        <v>8097</v>
      </c>
      <c r="I384" s="18">
        <f t="shared" si="2"/>
        <v>45971</v>
      </c>
      <c r="J384" s="19" t="s">
        <v>28</v>
      </c>
      <c r="K384" s="19" t="s">
        <v>5170</v>
      </c>
      <c r="L384" s="19"/>
    </row>
    <row r="385" ht="22.5" customHeight="1">
      <c r="C385" s="19" t="s">
        <v>8062</v>
      </c>
      <c r="D385" s="19" t="s">
        <v>8098</v>
      </c>
      <c r="E385" s="43" t="s">
        <v>8099</v>
      </c>
      <c r="F385" s="43" t="s">
        <v>8100</v>
      </c>
      <c r="G385" s="43" t="s">
        <v>6068</v>
      </c>
      <c r="H385" s="49" t="s">
        <v>8101</v>
      </c>
      <c r="I385" s="18">
        <f t="shared" si="2"/>
        <v>45971</v>
      </c>
      <c r="J385" s="19" t="s">
        <v>28</v>
      </c>
      <c r="K385" s="19" t="s">
        <v>5170</v>
      </c>
      <c r="L385" s="19"/>
    </row>
    <row r="386" ht="22.5" customHeight="1">
      <c r="C386" s="19" t="s">
        <v>8062</v>
      </c>
      <c r="D386" s="19" t="s">
        <v>8102</v>
      </c>
      <c r="E386" s="43" t="s">
        <v>8103</v>
      </c>
      <c r="F386" s="43" t="s">
        <v>8104</v>
      </c>
      <c r="G386" s="43" t="s">
        <v>5908</v>
      </c>
      <c r="H386" s="49" t="s">
        <v>8105</v>
      </c>
      <c r="I386" s="18">
        <f t="shared" si="2"/>
        <v>45971</v>
      </c>
      <c r="J386" s="19" t="s">
        <v>28</v>
      </c>
      <c r="K386" s="19" t="s">
        <v>5170</v>
      </c>
      <c r="L386" s="19"/>
    </row>
    <row r="387" ht="22.5" customHeight="1">
      <c r="C387" s="19" t="s">
        <v>8062</v>
      </c>
      <c r="D387" s="19" t="s">
        <v>8106</v>
      </c>
      <c r="E387" s="43" t="s">
        <v>547</v>
      </c>
      <c r="F387" s="43" t="s">
        <v>8107</v>
      </c>
      <c r="G387" s="43" t="s">
        <v>6534</v>
      </c>
      <c r="H387" s="26">
        <v>7.862691473E9</v>
      </c>
      <c r="I387" s="18">
        <f t="shared" si="2"/>
        <v>45971</v>
      </c>
      <c r="J387" s="19" t="s">
        <v>28</v>
      </c>
      <c r="K387" s="19" t="s">
        <v>5170</v>
      </c>
      <c r="L387" s="19"/>
    </row>
    <row r="388" ht="22.5" customHeight="1">
      <c r="C388" s="19" t="s">
        <v>8062</v>
      </c>
      <c r="D388" s="19" t="s">
        <v>8108</v>
      </c>
      <c r="E388" s="43" t="s">
        <v>8109</v>
      </c>
      <c r="F388" s="43" t="s">
        <v>8110</v>
      </c>
      <c r="G388" s="43" t="s">
        <v>5866</v>
      </c>
      <c r="H388" s="49" t="s">
        <v>8111</v>
      </c>
      <c r="I388" s="18">
        <f t="shared" si="2"/>
        <v>45971</v>
      </c>
      <c r="J388" s="19" t="s">
        <v>28</v>
      </c>
      <c r="K388" s="19" t="s">
        <v>5170</v>
      </c>
      <c r="L388" s="19"/>
    </row>
    <row r="389" ht="22.5" customHeight="1">
      <c r="C389" s="19" t="s">
        <v>8062</v>
      </c>
      <c r="D389" s="19" t="s">
        <v>8112</v>
      </c>
      <c r="E389" s="43" t="s">
        <v>8113</v>
      </c>
      <c r="F389" s="43" t="s">
        <v>8114</v>
      </c>
      <c r="G389" s="43" t="s">
        <v>5988</v>
      </c>
      <c r="H389" s="49" t="s">
        <v>8115</v>
      </c>
      <c r="I389" s="18">
        <f t="shared" si="2"/>
        <v>45971</v>
      </c>
      <c r="J389" s="19" t="s">
        <v>28</v>
      </c>
      <c r="K389" s="19" t="s">
        <v>5170</v>
      </c>
      <c r="L389" s="19"/>
    </row>
    <row r="390" ht="22.5" customHeight="1">
      <c r="C390" s="19" t="s">
        <v>8062</v>
      </c>
      <c r="D390" s="19" t="s">
        <v>8116</v>
      </c>
      <c r="E390" s="43" t="s">
        <v>8117</v>
      </c>
      <c r="F390" s="43" t="s">
        <v>8118</v>
      </c>
      <c r="G390" s="43" t="s">
        <v>6181</v>
      </c>
      <c r="H390" s="26">
        <v>3.0534302E8</v>
      </c>
      <c r="I390" s="18">
        <f t="shared" si="2"/>
        <v>45971</v>
      </c>
      <c r="J390" s="19" t="s">
        <v>28</v>
      </c>
      <c r="K390" s="19" t="s">
        <v>5170</v>
      </c>
      <c r="L390" s="19"/>
    </row>
    <row r="391" ht="22.5" customHeight="1">
      <c r="C391" s="19" t="s">
        <v>8062</v>
      </c>
      <c r="D391" s="19" t="s">
        <v>8119</v>
      </c>
      <c r="E391" s="43" t="s">
        <v>8120</v>
      </c>
      <c r="F391" s="43" t="s">
        <v>8121</v>
      </c>
      <c r="G391" s="43" t="s">
        <v>6257</v>
      </c>
      <c r="H391" s="49" t="s">
        <v>8122</v>
      </c>
      <c r="I391" s="18">
        <f t="shared" si="2"/>
        <v>45971</v>
      </c>
      <c r="J391" s="19" t="s">
        <v>28</v>
      </c>
      <c r="K391" s="19" t="s">
        <v>5170</v>
      </c>
      <c r="L391" s="19"/>
    </row>
    <row r="392" ht="22.5" customHeight="1">
      <c r="C392" s="19" t="s">
        <v>8062</v>
      </c>
      <c r="D392" s="19" t="s">
        <v>8123</v>
      </c>
      <c r="E392" s="43" t="s">
        <v>8124</v>
      </c>
      <c r="F392" s="43" t="s">
        <v>8125</v>
      </c>
      <c r="G392" s="43" t="s">
        <v>5895</v>
      </c>
      <c r="H392" s="26">
        <v>3.058263255E9</v>
      </c>
      <c r="I392" s="18">
        <f t="shared" si="2"/>
        <v>45971</v>
      </c>
      <c r="J392" s="19" t="s">
        <v>28</v>
      </c>
      <c r="K392" s="19" t="s">
        <v>5170</v>
      </c>
      <c r="L392" s="19"/>
    </row>
    <row r="393" ht="22.5" customHeight="1">
      <c r="C393" s="19" t="s">
        <v>8062</v>
      </c>
      <c r="D393" s="19" t="s">
        <v>8126</v>
      </c>
      <c r="E393" s="43" t="s">
        <v>8127</v>
      </c>
      <c r="F393" s="43" t="s">
        <v>7342</v>
      </c>
      <c r="G393" s="43" t="s">
        <v>6284</v>
      </c>
      <c r="H393" s="26">
        <v>3.055880411E9</v>
      </c>
      <c r="I393" s="18">
        <f t="shared" si="2"/>
        <v>45971</v>
      </c>
      <c r="J393" s="19" t="s">
        <v>28</v>
      </c>
      <c r="K393" s="19" t="s">
        <v>5170</v>
      </c>
      <c r="L393" s="19"/>
    </row>
    <row r="394" ht="22.5" customHeight="1">
      <c r="C394" s="19" t="s">
        <v>8062</v>
      </c>
      <c r="D394" s="19" t="s">
        <v>8128</v>
      </c>
      <c r="E394" s="43" t="s">
        <v>8129</v>
      </c>
      <c r="F394" s="43" t="s">
        <v>8130</v>
      </c>
      <c r="G394" s="43" t="s">
        <v>8131</v>
      </c>
      <c r="H394" s="49" t="s">
        <v>8132</v>
      </c>
      <c r="I394" s="18">
        <f t="shared" si="2"/>
        <v>45971</v>
      </c>
      <c r="J394" s="19" t="s">
        <v>28</v>
      </c>
      <c r="K394" s="19" t="s">
        <v>5170</v>
      </c>
      <c r="L394" s="19"/>
    </row>
    <row r="395" ht="22.5" customHeight="1">
      <c r="C395" s="19" t="s">
        <v>8062</v>
      </c>
      <c r="D395" s="19" t="s">
        <v>8133</v>
      </c>
      <c r="E395" s="43" t="s">
        <v>8134</v>
      </c>
      <c r="F395" s="43" t="s">
        <v>8135</v>
      </c>
      <c r="G395" s="43" t="s">
        <v>5858</v>
      </c>
      <c r="H395" s="26">
        <v>7.86755383E9</v>
      </c>
      <c r="I395" s="18">
        <f t="shared" si="2"/>
        <v>45971</v>
      </c>
      <c r="J395" s="19" t="s">
        <v>28</v>
      </c>
      <c r="K395" s="19" t="s">
        <v>5170</v>
      </c>
      <c r="L395" s="19"/>
    </row>
    <row r="396" ht="22.5" customHeight="1">
      <c r="C396" s="19" t="s">
        <v>8062</v>
      </c>
      <c r="D396" s="19" t="s">
        <v>8136</v>
      </c>
      <c r="E396" s="43" t="s">
        <v>8137</v>
      </c>
      <c r="F396" s="43" t="s">
        <v>8138</v>
      </c>
      <c r="G396" s="43" t="s">
        <v>5882</v>
      </c>
      <c r="H396" s="26">
        <v>7.868504677E9</v>
      </c>
      <c r="I396" s="18">
        <f t="shared" si="2"/>
        <v>45971</v>
      </c>
      <c r="J396" s="19" t="s">
        <v>28</v>
      </c>
      <c r="K396" s="19" t="s">
        <v>5170</v>
      </c>
      <c r="L396" s="19"/>
    </row>
    <row r="397" ht="22.5" customHeight="1">
      <c r="C397" s="19" t="s">
        <v>8062</v>
      </c>
      <c r="D397" s="19" t="s">
        <v>8139</v>
      </c>
      <c r="E397" s="43" t="s">
        <v>8140</v>
      </c>
      <c r="F397" s="43" t="s">
        <v>8141</v>
      </c>
      <c r="G397" s="43" t="s">
        <v>6004</v>
      </c>
      <c r="H397" s="49" t="s">
        <v>8142</v>
      </c>
      <c r="I397" s="18">
        <f t="shared" si="2"/>
        <v>45971</v>
      </c>
      <c r="J397" s="19" t="s">
        <v>28</v>
      </c>
      <c r="K397" s="19" t="s">
        <v>5170</v>
      </c>
      <c r="L397" s="19"/>
    </row>
    <row r="398" ht="22.5" customHeight="1">
      <c r="C398" s="19" t="s">
        <v>8062</v>
      </c>
      <c r="D398" s="19" t="s">
        <v>8143</v>
      </c>
      <c r="E398" s="43" t="s">
        <v>8144</v>
      </c>
      <c r="F398" s="43" t="s">
        <v>8145</v>
      </c>
      <c r="G398" s="43" t="s">
        <v>8146</v>
      </c>
      <c r="H398" s="26">
        <v>7.864262777E9</v>
      </c>
      <c r="I398" s="18">
        <f t="shared" si="2"/>
        <v>45971</v>
      </c>
      <c r="J398" s="19" t="s">
        <v>28</v>
      </c>
      <c r="K398" s="19" t="s">
        <v>5170</v>
      </c>
      <c r="L398" s="19"/>
    </row>
    <row r="399" ht="22.5" customHeight="1">
      <c r="C399" s="19" t="s">
        <v>8062</v>
      </c>
      <c r="D399" s="19" t="s">
        <v>8147</v>
      </c>
      <c r="E399" s="43" t="s">
        <v>8148</v>
      </c>
      <c r="F399" s="43" t="s">
        <v>8149</v>
      </c>
      <c r="G399" s="43" t="s">
        <v>7424</v>
      </c>
      <c r="H399" s="49" t="s">
        <v>8150</v>
      </c>
      <c r="I399" s="18">
        <f t="shared" si="2"/>
        <v>45971</v>
      </c>
      <c r="J399" s="19" t="s">
        <v>28</v>
      </c>
      <c r="K399" s="19" t="s">
        <v>5170</v>
      </c>
      <c r="L399" s="19"/>
    </row>
    <row r="400" ht="22.5" customHeight="1">
      <c r="C400" s="19" t="s">
        <v>8062</v>
      </c>
      <c r="D400" s="19" t="s">
        <v>8151</v>
      </c>
      <c r="E400" s="43" t="s">
        <v>8152</v>
      </c>
      <c r="F400" s="43" t="s">
        <v>8153</v>
      </c>
      <c r="G400" s="43" t="s">
        <v>6160</v>
      </c>
      <c r="H400" s="49" t="s">
        <v>8154</v>
      </c>
      <c r="I400" s="18">
        <f t="shared" si="2"/>
        <v>45971</v>
      </c>
      <c r="J400" s="19" t="s">
        <v>28</v>
      </c>
      <c r="K400" s="19" t="s">
        <v>5170</v>
      </c>
      <c r="L400" s="19"/>
    </row>
    <row r="401" ht="22.5" customHeight="1">
      <c r="C401" s="19" t="s">
        <v>8062</v>
      </c>
      <c r="D401" s="19" t="s">
        <v>8155</v>
      </c>
      <c r="E401" s="43" t="s">
        <v>8156</v>
      </c>
      <c r="F401" s="43" t="s">
        <v>8157</v>
      </c>
      <c r="G401" s="43" t="s">
        <v>8158</v>
      </c>
      <c r="H401" s="26">
        <v>7.866606069E9</v>
      </c>
      <c r="I401" s="18">
        <f t="shared" si="2"/>
        <v>45971</v>
      </c>
      <c r="J401" s="19" t="s">
        <v>28</v>
      </c>
      <c r="K401" s="19" t="s">
        <v>5170</v>
      </c>
      <c r="L401" s="19"/>
    </row>
    <row r="402" ht="22.5" customHeight="1">
      <c r="C402" s="19" t="s">
        <v>8062</v>
      </c>
      <c r="D402" s="19" t="s">
        <v>8159</v>
      </c>
      <c r="E402" s="43" t="s">
        <v>8160</v>
      </c>
      <c r="F402" s="43" t="s">
        <v>8161</v>
      </c>
      <c r="G402" s="43" t="s">
        <v>6155</v>
      </c>
      <c r="H402" s="26">
        <v>1.7862665353E10</v>
      </c>
      <c r="I402" s="18">
        <f t="shared" si="2"/>
        <v>45971</v>
      </c>
      <c r="J402" s="19" t="s">
        <v>28</v>
      </c>
      <c r="K402" s="19" t="s">
        <v>5170</v>
      </c>
      <c r="L402" s="19"/>
    </row>
    <row r="403" ht="22.5" customHeight="1">
      <c r="C403" s="19" t="s">
        <v>8062</v>
      </c>
      <c r="D403" s="19" t="s">
        <v>8162</v>
      </c>
      <c r="E403" s="43" t="s">
        <v>8163</v>
      </c>
      <c r="F403" s="43" t="s">
        <v>8164</v>
      </c>
      <c r="G403" s="43" t="s">
        <v>5878</v>
      </c>
      <c r="H403" s="49" t="s">
        <v>8165</v>
      </c>
      <c r="I403" s="18">
        <f t="shared" si="2"/>
        <v>45971</v>
      </c>
      <c r="J403" s="19" t="s">
        <v>28</v>
      </c>
      <c r="K403" s="19" t="s">
        <v>5170</v>
      </c>
      <c r="L403" s="19"/>
    </row>
    <row r="404" ht="22.5" customHeight="1">
      <c r="C404" s="19" t="s">
        <v>8062</v>
      </c>
      <c r="D404" s="19" t="s">
        <v>8166</v>
      </c>
      <c r="E404" s="43" t="s">
        <v>8167</v>
      </c>
      <c r="F404" s="43" t="s">
        <v>8168</v>
      </c>
      <c r="G404" s="43" t="s">
        <v>7159</v>
      </c>
      <c r="H404" s="26">
        <v>7.866566718E9</v>
      </c>
      <c r="I404" s="18">
        <f t="shared" si="2"/>
        <v>45971</v>
      </c>
      <c r="J404" s="19" t="s">
        <v>28</v>
      </c>
      <c r="K404" s="19" t="s">
        <v>5170</v>
      </c>
      <c r="L404" s="19"/>
    </row>
    <row r="405" ht="22.5" customHeight="1">
      <c r="C405" s="19" t="s">
        <v>8062</v>
      </c>
      <c r="D405" s="19" t="s">
        <v>8169</v>
      </c>
      <c r="E405" s="43" t="s">
        <v>8170</v>
      </c>
      <c r="F405" s="43" t="s">
        <v>8171</v>
      </c>
      <c r="G405" s="43" t="s">
        <v>8172</v>
      </c>
      <c r="H405" s="49" t="s">
        <v>8173</v>
      </c>
      <c r="I405" s="18">
        <f t="shared" si="2"/>
        <v>45971</v>
      </c>
      <c r="J405" s="19" t="s">
        <v>28</v>
      </c>
      <c r="K405" s="19" t="s">
        <v>5170</v>
      </c>
      <c r="L405" s="19" t="s">
        <v>99</v>
      </c>
    </row>
    <row r="406" ht="22.5" customHeight="1">
      <c r="C406" s="19" t="s">
        <v>8062</v>
      </c>
      <c r="D406" s="19" t="s">
        <v>8174</v>
      </c>
      <c r="E406" s="43" t="s">
        <v>8175</v>
      </c>
      <c r="F406" s="43" t="s">
        <v>8176</v>
      </c>
      <c r="G406" s="43" t="s">
        <v>5949</v>
      </c>
      <c r="H406" s="49" t="s">
        <v>8177</v>
      </c>
      <c r="I406" s="18">
        <f t="shared" si="2"/>
        <v>45971</v>
      </c>
      <c r="J406" s="19" t="s">
        <v>28</v>
      </c>
      <c r="K406" s="19" t="s">
        <v>5170</v>
      </c>
      <c r="L406" s="19"/>
    </row>
    <row r="407" ht="22.5" customHeight="1">
      <c r="C407" s="19" t="s">
        <v>8062</v>
      </c>
      <c r="D407" s="19" t="s">
        <v>8178</v>
      </c>
      <c r="E407" s="43" t="s">
        <v>8179</v>
      </c>
      <c r="F407" s="43" t="s">
        <v>8180</v>
      </c>
      <c r="G407" s="43" t="s">
        <v>5846</v>
      </c>
      <c r="H407" s="49" t="s">
        <v>8181</v>
      </c>
      <c r="I407" s="18">
        <f t="shared" si="2"/>
        <v>45971</v>
      </c>
      <c r="J407" s="19" t="s">
        <v>28</v>
      </c>
      <c r="K407" s="19" t="s">
        <v>5170</v>
      </c>
      <c r="L407" s="19"/>
    </row>
    <row r="408" ht="22.5" customHeight="1">
      <c r="C408" s="19" t="s">
        <v>8062</v>
      </c>
      <c r="D408" s="19" t="s">
        <v>8182</v>
      </c>
      <c r="E408" s="43" t="s">
        <v>8183</v>
      </c>
      <c r="F408" s="43" t="s">
        <v>8184</v>
      </c>
      <c r="G408" s="43" t="s">
        <v>5834</v>
      </c>
      <c r="H408" s="26">
        <v>7.864315016E9</v>
      </c>
      <c r="I408" s="18">
        <f t="shared" si="2"/>
        <v>45971</v>
      </c>
      <c r="J408" s="19" t="s">
        <v>28</v>
      </c>
      <c r="K408" s="19" t="s">
        <v>5170</v>
      </c>
      <c r="L408" s="19"/>
    </row>
    <row r="409" ht="22.5" customHeight="1">
      <c r="C409" s="19" t="s">
        <v>8062</v>
      </c>
      <c r="D409" s="19" t="s">
        <v>8185</v>
      </c>
      <c r="E409" s="43" t="s">
        <v>8186</v>
      </c>
      <c r="F409" s="43" t="s">
        <v>8187</v>
      </c>
      <c r="G409" s="43" t="s">
        <v>5957</v>
      </c>
      <c r="H409" s="49" t="s">
        <v>8188</v>
      </c>
      <c r="I409" s="18">
        <f t="shared" si="2"/>
        <v>45971</v>
      </c>
      <c r="J409" s="19" t="s">
        <v>28</v>
      </c>
      <c r="K409" s="19" t="s">
        <v>5170</v>
      </c>
      <c r="L409" s="19"/>
    </row>
    <row r="410" ht="22.5" customHeight="1">
      <c r="C410" s="19" t="s">
        <v>8062</v>
      </c>
      <c r="D410" s="19" t="s">
        <v>8189</v>
      </c>
      <c r="E410" s="43" t="s">
        <v>8190</v>
      </c>
      <c r="F410" s="43" t="s">
        <v>8191</v>
      </c>
      <c r="G410" s="43" t="s">
        <v>6249</v>
      </c>
      <c r="H410" s="26">
        <v>7.866140662E9</v>
      </c>
      <c r="I410" s="18">
        <f t="shared" si="2"/>
        <v>45971</v>
      </c>
      <c r="J410" s="19" t="s">
        <v>28</v>
      </c>
      <c r="K410" s="19" t="s">
        <v>5170</v>
      </c>
      <c r="L410" s="19"/>
    </row>
    <row r="411" ht="22.5" customHeight="1">
      <c r="C411" s="19" t="s">
        <v>8062</v>
      </c>
      <c r="D411" s="19" t="s">
        <v>8192</v>
      </c>
      <c r="E411" s="43" t="s">
        <v>8193</v>
      </c>
      <c r="F411" s="43" t="s">
        <v>8194</v>
      </c>
      <c r="G411" s="43" t="s">
        <v>6647</v>
      </c>
      <c r="H411" s="26">
        <v>7.86863303E9</v>
      </c>
      <c r="I411" s="18">
        <f t="shared" si="2"/>
        <v>45971</v>
      </c>
      <c r="J411" s="19" t="s">
        <v>28</v>
      </c>
      <c r="K411" s="19" t="s">
        <v>5170</v>
      </c>
      <c r="L411" s="19"/>
    </row>
    <row r="412" ht="22.5" customHeight="1">
      <c r="C412" s="19" t="s">
        <v>8062</v>
      </c>
      <c r="D412" s="19" t="s">
        <v>8195</v>
      </c>
      <c r="E412" s="43" t="s">
        <v>8196</v>
      </c>
      <c r="F412" s="43" t="s">
        <v>8197</v>
      </c>
      <c r="G412" s="43" t="s">
        <v>6204</v>
      </c>
      <c r="H412" s="49" t="s">
        <v>8198</v>
      </c>
      <c r="I412" s="18">
        <f t="shared" si="2"/>
        <v>45971</v>
      </c>
      <c r="J412" s="19" t="s">
        <v>28</v>
      </c>
      <c r="K412" s="19" t="s">
        <v>5170</v>
      </c>
      <c r="L412" s="19"/>
    </row>
    <row r="413" ht="22.5" customHeight="1">
      <c r="C413" s="19" t="s">
        <v>8062</v>
      </c>
      <c r="D413" s="19" t="s">
        <v>8199</v>
      </c>
      <c r="E413" s="43" t="s">
        <v>8200</v>
      </c>
      <c r="F413" s="43" t="s">
        <v>8201</v>
      </c>
      <c r="G413" s="43" t="s">
        <v>5820</v>
      </c>
      <c r="H413" s="26">
        <v>7.868160132E9</v>
      </c>
      <c r="I413" s="18">
        <f t="shared" si="2"/>
        <v>45971</v>
      </c>
      <c r="J413" s="19" t="s">
        <v>28</v>
      </c>
      <c r="K413" s="19" t="s">
        <v>5170</v>
      </c>
      <c r="L413" s="19"/>
    </row>
    <row r="414" ht="22.5" customHeight="1">
      <c r="C414" s="19" t="s">
        <v>8062</v>
      </c>
      <c r="D414" s="19" t="s">
        <v>8202</v>
      </c>
      <c r="E414" s="43" t="s">
        <v>8203</v>
      </c>
      <c r="F414" s="43" t="s">
        <v>8204</v>
      </c>
      <c r="G414" s="43" t="s">
        <v>5825</v>
      </c>
      <c r="H414" s="26">
        <v>3.053306262E9</v>
      </c>
      <c r="I414" s="18">
        <f t="shared" si="2"/>
        <v>45971</v>
      </c>
      <c r="J414" s="19" t="s">
        <v>28</v>
      </c>
      <c r="K414" s="19" t="s">
        <v>5170</v>
      </c>
      <c r="L414" s="19"/>
    </row>
    <row r="415" ht="22.5" customHeight="1">
      <c r="C415" s="19" t="s">
        <v>8062</v>
      </c>
      <c r="D415" s="19" t="s">
        <v>8205</v>
      </c>
      <c r="E415" s="43" t="s">
        <v>8206</v>
      </c>
      <c r="F415" s="43" t="s">
        <v>8207</v>
      </c>
      <c r="G415" s="43" t="s">
        <v>6106</v>
      </c>
      <c r="H415" s="49" t="s">
        <v>8208</v>
      </c>
      <c r="I415" s="18">
        <f t="shared" si="2"/>
        <v>45971</v>
      </c>
      <c r="J415" s="19" t="s">
        <v>28</v>
      </c>
      <c r="K415" s="19" t="s">
        <v>5170</v>
      </c>
      <c r="L415" s="19"/>
    </row>
    <row r="416" ht="22.5" customHeight="1">
      <c r="C416" s="19" t="s">
        <v>8062</v>
      </c>
      <c r="D416" s="19" t="s">
        <v>8209</v>
      </c>
      <c r="E416" s="43" t="s">
        <v>8210</v>
      </c>
      <c r="F416" s="43" t="s">
        <v>8211</v>
      </c>
      <c r="G416" s="43" t="s">
        <v>8212</v>
      </c>
      <c r="H416" s="49" t="s">
        <v>8213</v>
      </c>
      <c r="I416" s="18">
        <f t="shared" si="2"/>
        <v>45971</v>
      </c>
      <c r="J416" s="19" t="s">
        <v>28</v>
      </c>
      <c r="K416" s="19" t="s">
        <v>5170</v>
      </c>
      <c r="L416" s="19"/>
    </row>
    <row r="417" ht="22.5" customHeight="1">
      <c r="C417" s="19" t="s">
        <v>8062</v>
      </c>
      <c r="D417" s="19" t="s">
        <v>8214</v>
      </c>
      <c r="E417" s="43" t="s">
        <v>8215</v>
      </c>
      <c r="F417" s="43" t="s">
        <v>1211</v>
      </c>
      <c r="G417" s="43" t="s">
        <v>8216</v>
      </c>
      <c r="H417" s="44">
        <v>3.057852687E9</v>
      </c>
      <c r="I417" s="18">
        <f t="shared" si="2"/>
        <v>45971</v>
      </c>
      <c r="J417" s="19" t="s">
        <v>28</v>
      </c>
      <c r="K417" s="19" t="s">
        <v>5170</v>
      </c>
      <c r="L417" s="19"/>
    </row>
    <row r="418" ht="22.5" customHeight="1">
      <c r="C418" s="19" t="s">
        <v>8062</v>
      </c>
      <c r="D418" s="19" t="s">
        <v>8217</v>
      </c>
      <c r="E418" s="43" t="s">
        <v>8218</v>
      </c>
      <c r="F418" s="43" t="s">
        <v>7507</v>
      </c>
      <c r="G418" s="43" t="s">
        <v>6113</v>
      </c>
      <c r="H418" s="49" t="s">
        <v>8219</v>
      </c>
      <c r="I418" s="18">
        <f t="shared" si="2"/>
        <v>45971</v>
      </c>
      <c r="J418" s="19" t="s">
        <v>28</v>
      </c>
      <c r="K418" s="19" t="s">
        <v>5170</v>
      </c>
      <c r="L418" s="19"/>
    </row>
    <row r="419" ht="22.5" customHeight="1">
      <c r="C419" s="19" t="s">
        <v>8062</v>
      </c>
      <c r="D419" s="19" t="s">
        <v>8220</v>
      </c>
      <c r="E419" s="43" t="s">
        <v>8221</v>
      </c>
      <c r="F419" s="43" t="s">
        <v>8222</v>
      </c>
      <c r="G419" s="43" t="s">
        <v>5850</v>
      </c>
      <c r="H419" s="49" t="s">
        <v>8223</v>
      </c>
      <c r="I419" s="18">
        <f t="shared" si="2"/>
        <v>45971</v>
      </c>
      <c r="J419" s="19" t="s">
        <v>28</v>
      </c>
      <c r="K419" s="19" t="s">
        <v>5170</v>
      </c>
      <c r="L419" s="19"/>
    </row>
    <row r="420" ht="22.5" customHeight="1">
      <c r="C420" s="19" t="s">
        <v>8062</v>
      </c>
      <c r="D420" s="19" t="s">
        <v>8224</v>
      </c>
      <c r="E420" s="43" t="s">
        <v>8225</v>
      </c>
      <c r="F420" s="43" t="s">
        <v>8226</v>
      </c>
      <c r="G420" s="43" t="s">
        <v>6094</v>
      </c>
      <c r="H420" s="49" t="s">
        <v>182</v>
      </c>
      <c r="I420" s="18">
        <f t="shared" si="2"/>
        <v>45971</v>
      </c>
      <c r="J420" s="19" t="s">
        <v>28</v>
      </c>
      <c r="K420" s="19" t="s">
        <v>5170</v>
      </c>
      <c r="L420" s="19"/>
    </row>
    <row r="421" ht="22.5" customHeight="1">
      <c r="C421" s="19" t="s">
        <v>8062</v>
      </c>
      <c r="D421" s="19" t="s">
        <v>8227</v>
      </c>
      <c r="E421" s="43" t="s">
        <v>8228</v>
      </c>
      <c r="F421" s="43" t="s">
        <v>8229</v>
      </c>
      <c r="G421" s="43" t="s">
        <v>6063</v>
      </c>
      <c r="H421" s="49" t="s">
        <v>8230</v>
      </c>
      <c r="I421" s="18">
        <f t="shared" si="2"/>
        <v>45971</v>
      </c>
      <c r="J421" s="19" t="s">
        <v>28</v>
      </c>
      <c r="K421" s="19" t="s">
        <v>5170</v>
      </c>
      <c r="L421" s="19"/>
    </row>
    <row r="422" ht="22.5" customHeight="1">
      <c r="C422" s="19" t="s">
        <v>8231</v>
      </c>
      <c r="D422" s="19" t="s">
        <v>8232</v>
      </c>
      <c r="E422" s="43" t="s">
        <v>8233</v>
      </c>
      <c r="F422" s="43" t="s">
        <v>8234</v>
      </c>
      <c r="G422" s="43" t="s">
        <v>5834</v>
      </c>
      <c r="H422" s="26">
        <v>3.052553476E9</v>
      </c>
      <c r="I422" s="18">
        <f t="shared" si="2"/>
        <v>45971</v>
      </c>
      <c r="J422" s="19" t="s">
        <v>28</v>
      </c>
      <c r="K422" s="19" t="s">
        <v>5170</v>
      </c>
      <c r="L422" s="19"/>
    </row>
    <row r="423" ht="22.5" customHeight="1">
      <c r="C423" s="19" t="s">
        <v>8231</v>
      </c>
      <c r="D423" s="19" t="s">
        <v>8235</v>
      </c>
      <c r="E423" s="43" t="s">
        <v>8236</v>
      </c>
      <c r="F423" s="43" t="s">
        <v>8237</v>
      </c>
      <c r="G423" s="43" t="s">
        <v>6063</v>
      </c>
      <c r="H423" s="26">
        <v>7.863486044E9</v>
      </c>
      <c r="I423" s="18">
        <f t="shared" si="2"/>
        <v>45971</v>
      </c>
      <c r="J423" s="19" t="s">
        <v>28</v>
      </c>
      <c r="K423" s="19" t="s">
        <v>5170</v>
      </c>
      <c r="L423" s="19"/>
    </row>
    <row r="424" ht="22.5" customHeight="1">
      <c r="C424" s="19" t="s">
        <v>8231</v>
      </c>
      <c r="D424" s="19" t="s">
        <v>8238</v>
      </c>
      <c r="E424" s="43" t="s">
        <v>8239</v>
      </c>
      <c r="F424" s="43" t="s">
        <v>8240</v>
      </c>
      <c r="G424" s="43" t="s">
        <v>5866</v>
      </c>
      <c r="H424" s="49" t="s">
        <v>8241</v>
      </c>
      <c r="I424" s="18">
        <f t="shared" si="2"/>
        <v>45971</v>
      </c>
      <c r="J424" s="19" t="s">
        <v>28</v>
      </c>
      <c r="K424" s="19" t="s">
        <v>5170</v>
      </c>
      <c r="L424" s="19"/>
    </row>
    <row r="425" ht="22.5" customHeight="1">
      <c r="C425" s="19" t="s">
        <v>8231</v>
      </c>
      <c r="D425" s="19" t="s">
        <v>8242</v>
      </c>
      <c r="E425" s="43" t="s">
        <v>8243</v>
      </c>
      <c r="F425" s="43" t="s">
        <v>8244</v>
      </c>
      <c r="G425" s="43" t="s">
        <v>5846</v>
      </c>
      <c r="H425" s="49" t="s">
        <v>8245</v>
      </c>
      <c r="I425" s="18">
        <f t="shared" si="2"/>
        <v>45971</v>
      </c>
      <c r="J425" s="19" t="s">
        <v>28</v>
      </c>
      <c r="K425" s="19" t="s">
        <v>5170</v>
      </c>
      <c r="L425" s="19"/>
    </row>
    <row r="426" ht="22.5" customHeight="1">
      <c r="C426" s="19" t="s">
        <v>8231</v>
      </c>
      <c r="D426" s="19" t="s">
        <v>8246</v>
      </c>
      <c r="E426" s="43" t="s">
        <v>8247</v>
      </c>
      <c r="F426" s="43" t="s">
        <v>8248</v>
      </c>
      <c r="G426" s="43" t="s">
        <v>5900</v>
      </c>
      <c r="H426" s="49" t="s">
        <v>8249</v>
      </c>
      <c r="I426" s="18">
        <f t="shared" si="2"/>
        <v>45971</v>
      </c>
      <c r="J426" s="19" t="s">
        <v>28</v>
      </c>
      <c r="K426" s="19" t="s">
        <v>5170</v>
      </c>
      <c r="L426" s="19"/>
    </row>
    <row r="427" ht="22.5" customHeight="1">
      <c r="C427" s="19" t="s">
        <v>8231</v>
      </c>
      <c r="D427" s="19" t="s">
        <v>8250</v>
      </c>
      <c r="E427" s="43" t="s">
        <v>8251</v>
      </c>
      <c r="F427" s="43" t="s">
        <v>8252</v>
      </c>
      <c r="G427" s="43" t="s">
        <v>460</v>
      </c>
      <c r="H427" s="49" t="s">
        <v>8253</v>
      </c>
      <c r="I427" s="18">
        <f t="shared" si="2"/>
        <v>45971</v>
      </c>
      <c r="J427" s="19" t="s">
        <v>28</v>
      </c>
      <c r="K427" s="19" t="s">
        <v>5170</v>
      </c>
      <c r="L427" s="19"/>
    </row>
    <row r="428" ht="22.5" customHeight="1">
      <c r="C428" s="19" t="s">
        <v>8231</v>
      </c>
      <c r="D428" s="19" t="s">
        <v>8254</v>
      </c>
      <c r="E428" s="43" t="s">
        <v>8255</v>
      </c>
      <c r="F428" s="43" t="s">
        <v>8256</v>
      </c>
      <c r="G428" s="43" t="s">
        <v>5862</v>
      </c>
      <c r="H428" s="49" t="s">
        <v>8257</v>
      </c>
      <c r="I428" s="18">
        <f t="shared" si="2"/>
        <v>45971</v>
      </c>
      <c r="J428" s="19" t="s">
        <v>28</v>
      </c>
      <c r="K428" s="19" t="s">
        <v>5170</v>
      </c>
      <c r="L428" s="19"/>
    </row>
    <row r="429" ht="22.5" customHeight="1">
      <c r="C429" s="19" t="s">
        <v>8231</v>
      </c>
      <c r="D429" s="19" t="s">
        <v>8258</v>
      </c>
      <c r="E429" s="43" t="s">
        <v>8259</v>
      </c>
      <c r="F429" s="43" t="s">
        <v>8260</v>
      </c>
      <c r="G429" s="43" t="s">
        <v>6164</v>
      </c>
      <c r="H429" s="49" t="s">
        <v>8261</v>
      </c>
      <c r="I429" s="18">
        <f t="shared" si="2"/>
        <v>45971</v>
      </c>
      <c r="J429" s="19" t="s">
        <v>28</v>
      </c>
      <c r="K429" s="19" t="s">
        <v>5170</v>
      </c>
      <c r="L429" s="19"/>
    </row>
    <row r="430" ht="22.5" customHeight="1">
      <c r="C430" s="19" t="s">
        <v>8231</v>
      </c>
      <c r="D430" s="19" t="s">
        <v>8262</v>
      </c>
      <c r="E430" s="43" t="s">
        <v>8263</v>
      </c>
      <c r="F430" s="43" t="s">
        <v>8264</v>
      </c>
      <c r="G430" s="43" t="s">
        <v>6004</v>
      </c>
      <c r="H430" s="26">
        <v>7.867720175E9</v>
      </c>
      <c r="I430" s="18">
        <f t="shared" si="2"/>
        <v>45971</v>
      </c>
      <c r="J430" s="19" t="s">
        <v>28</v>
      </c>
      <c r="K430" s="19" t="s">
        <v>5170</v>
      </c>
      <c r="L430" s="19"/>
    </row>
    <row r="431" ht="22.5" customHeight="1">
      <c r="C431" s="19" t="s">
        <v>8231</v>
      </c>
      <c r="D431" s="19" t="s">
        <v>8265</v>
      </c>
      <c r="E431" s="43" t="s">
        <v>8266</v>
      </c>
      <c r="F431" s="43" t="s">
        <v>309</v>
      </c>
      <c r="G431" s="43" t="s">
        <v>5878</v>
      </c>
      <c r="H431" s="49" t="s">
        <v>8267</v>
      </c>
      <c r="I431" s="18">
        <f t="shared" si="2"/>
        <v>45971</v>
      </c>
      <c r="J431" s="19" t="s">
        <v>28</v>
      </c>
      <c r="K431" s="19" t="s">
        <v>5170</v>
      </c>
      <c r="L431" s="19"/>
    </row>
    <row r="432" ht="22.5" customHeight="1">
      <c r="C432" s="19" t="s">
        <v>8231</v>
      </c>
      <c r="D432" s="19" t="s">
        <v>8268</v>
      </c>
      <c r="E432" s="43" t="s">
        <v>8269</v>
      </c>
      <c r="F432" s="43" t="s">
        <v>8270</v>
      </c>
      <c r="G432" s="43" t="s">
        <v>8271</v>
      </c>
      <c r="H432" s="49" t="s">
        <v>8272</v>
      </c>
      <c r="I432" s="18">
        <f t="shared" si="2"/>
        <v>45971</v>
      </c>
      <c r="J432" s="19" t="s">
        <v>28</v>
      </c>
      <c r="K432" s="19" t="s">
        <v>5170</v>
      </c>
      <c r="L432" s="19"/>
    </row>
    <row r="433" ht="22.5" customHeight="1">
      <c r="C433" s="19" t="s">
        <v>8231</v>
      </c>
      <c r="D433" s="19" t="s">
        <v>8273</v>
      </c>
      <c r="E433" s="43" t="s">
        <v>8274</v>
      </c>
      <c r="F433" s="43" t="s">
        <v>8275</v>
      </c>
      <c r="G433" s="43" t="s">
        <v>5934</v>
      </c>
      <c r="H433" s="49" t="s">
        <v>8276</v>
      </c>
      <c r="I433" s="18">
        <f t="shared" si="2"/>
        <v>45971</v>
      </c>
      <c r="J433" s="19" t="s">
        <v>28</v>
      </c>
      <c r="K433" s="19" t="s">
        <v>5170</v>
      </c>
      <c r="L433" s="19"/>
    </row>
    <row r="434" ht="22.5" customHeight="1">
      <c r="C434" s="19" t="s">
        <v>8231</v>
      </c>
      <c r="D434" s="19" t="s">
        <v>8277</v>
      </c>
      <c r="E434" s="43" t="s">
        <v>8278</v>
      </c>
      <c r="F434" s="43" t="s">
        <v>8279</v>
      </c>
      <c r="G434" s="43" t="s">
        <v>6459</v>
      </c>
      <c r="H434" s="49" t="s">
        <v>8280</v>
      </c>
      <c r="I434" s="18">
        <f t="shared" si="2"/>
        <v>45971</v>
      </c>
      <c r="J434" s="19" t="s">
        <v>28</v>
      </c>
      <c r="K434" s="19" t="s">
        <v>5170</v>
      </c>
      <c r="L434" s="19"/>
    </row>
    <row r="435" ht="22.5" customHeight="1">
      <c r="C435" s="19" t="s">
        <v>8231</v>
      </c>
      <c r="D435" s="19" t="s">
        <v>8281</v>
      </c>
      <c r="E435" s="43" t="s">
        <v>8282</v>
      </c>
      <c r="F435" s="43" t="s">
        <v>8283</v>
      </c>
      <c r="G435" s="43" t="s">
        <v>5882</v>
      </c>
      <c r="H435" s="49" t="s">
        <v>8284</v>
      </c>
      <c r="I435" s="18">
        <f t="shared" si="2"/>
        <v>45971</v>
      </c>
      <c r="J435" s="19" t="s">
        <v>28</v>
      </c>
      <c r="K435" s="19" t="s">
        <v>5170</v>
      </c>
      <c r="L435" s="19"/>
    </row>
    <row r="436" ht="22.5" customHeight="1">
      <c r="C436" s="19" t="s">
        <v>8231</v>
      </c>
      <c r="D436" s="19" t="s">
        <v>8285</v>
      </c>
      <c r="E436" s="43" t="s">
        <v>8286</v>
      </c>
      <c r="F436" s="43" t="s">
        <v>8287</v>
      </c>
      <c r="G436" s="43" t="s">
        <v>7291</v>
      </c>
      <c r="H436" s="49" t="s">
        <v>8288</v>
      </c>
      <c r="I436" s="18">
        <f t="shared" si="2"/>
        <v>45971</v>
      </c>
      <c r="J436" s="19" t="s">
        <v>28</v>
      </c>
      <c r="K436" s="19" t="s">
        <v>5170</v>
      </c>
      <c r="L436" s="19"/>
    </row>
    <row r="437" ht="22.5" customHeight="1">
      <c r="C437" s="19" t="s">
        <v>8231</v>
      </c>
      <c r="D437" s="19" t="s">
        <v>8289</v>
      </c>
      <c r="E437" s="43" t="s">
        <v>8290</v>
      </c>
      <c r="F437" s="43" t="s">
        <v>8291</v>
      </c>
      <c r="G437" s="43" t="s">
        <v>5949</v>
      </c>
      <c r="H437" s="49" t="s">
        <v>8292</v>
      </c>
      <c r="I437" s="18">
        <f t="shared" si="2"/>
        <v>45971</v>
      </c>
      <c r="J437" s="19" t="s">
        <v>28</v>
      </c>
      <c r="K437" s="19" t="s">
        <v>5170</v>
      </c>
      <c r="L437" s="19"/>
    </row>
    <row r="438" ht="22.5" customHeight="1">
      <c r="C438" s="19" t="s">
        <v>8231</v>
      </c>
      <c r="D438" s="19" t="s">
        <v>8293</v>
      </c>
      <c r="E438" s="43" t="s">
        <v>8294</v>
      </c>
      <c r="F438" s="43" t="s">
        <v>8295</v>
      </c>
      <c r="G438" s="43" t="s">
        <v>5829</v>
      </c>
      <c r="H438" s="26">
        <v>3.056398599E9</v>
      </c>
      <c r="I438" s="18">
        <f t="shared" si="2"/>
        <v>45971</v>
      </c>
      <c r="J438" s="19" t="s">
        <v>28</v>
      </c>
      <c r="K438" s="19" t="s">
        <v>5170</v>
      </c>
      <c r="L438" s="19"/>
    </row>
    <row r="439" ht="22.5" customHeight="1">
      <c r="C439" s="19" t="s">
        <v>8231</v>
      </c>
      <c r="D439" s="19" t="s">
        <v>8296</v>
      </c>
      <c r="E439" s="43" t="s">
        <v>8297</v>
      </c>
      <c r="F439" s="43" t="s">
        <v>8298</v>
      </c>
      <c r="G439" s="43" t="s">
        <v>6548</v>
      </c>
      <c r="H439" s="26">
        <v>8.159856378E9</v>
      </c>
      <c r="I439" s="18">
        <f t="shared" si="2"/>
        <v>45971</v>
      </c>
      <c r="J439" s="19" t="s">
        <v>28</v>
      </c>
      <c r="K439" s="19" t="s">
        <v>5170</v>
      </c>
      <c r="L439" s="19"/>
    </row>
    <row r="440" ht="22.5" customHeight="1">
      <c r="C440" s="19" t="s">
        <v>8231</v>
      </c>
      <c r="D440" s="19" t="s">
        <v>8299</v>
      </c>
      <c r="E440" s="43" t="s">
        <v>8300</v>
      </c>
      <c r="F440" s="43" t="s">
        <v>8301</v>
      </c>
      <c r="G440" s="43" t="s">
        <v>6232</v>
      </c>
      <c r="H440" s="49" t="s">
        <v>8302</v>
      </c>
      <c r="I440" s="18">
        <f t="shared" si="2"/>
        <v>45971</v>
      </c>
      <c r="J440" s="19" t="s">
        <v>28</v>
      </c>
      <c r="K440" s="19" t="s">
        <v>5170</v>
      </c>
      <c r="L440" s="19"/>
    </row>
    <row r="441" ht="22.5" customHeight="1">
      <c r="C441" s="19" t="s">
        <v>8231</v>
      </c>
      <c r="D441" s="19" t="s">
        <v>8303</v>
      </c>
      <c r="E441" s="43" t="s">
        <v>8304</v>
      </c>
      <c r="F441" s="43" t="s">
        <v>8305</v>
      </c>
      <c r="G441" s="43" t="s">
        <v>5825</v>
      </c>
      <c r="H441" s="42" t="s">
        <v>8306</v>
      </c>
      <c r="I441" s="18">
        <f t="shared" si="2"/>
        <v>45971</v>
      </c>
      <c r="J441" s="19" t="s">
        <v>28</v>
      </c>
      <c r="K441" s="19" t="s">
        <v>5170</v>
      </c>
      <c r="L441" s="19"/>
    </row>
    <row r="442" ht="22.5" customHeight="1">
      <c r="C442" s="19" t="s">
        <v>8231</v>
      </c>
      <c r="D442" s="19" t="s">
        <v>8307</v>
      </c>
      <c r="E442" s="43" t="s">
        <v>8308</v>
      </c>
      <c r="F442" s="43" t="s">
        <v>8309</v>
      </c>
      <c r="G442" s="43" t="s">
        <v>6160</v>
      </c>
      <c r="H442" s="42" t="s">
        <v>8310</v>
      </c>
      <c r="I442" s="18">
        <f t="shared" si="2"/>
        <v>45971</v>
      </c>
      <c r="J442" s="19" t="s">
        <v>28</v>
      </c>
      <c r="K442" s="19" t="s">
        <v>5170</v>
      </c>
      <c r="L442" s="40"/>
    </row>
    <row r="443" ht="22.5" customHeight="1">
      <c r="C443" s="19" t="s">
        <v>8231</v>
      </c>
      <c r="D443" s="19" t="s">
        <v>8311</v>
      </c>
      <c r="E443" s="43" t="s">
        <v>8312</v>
      </c>
      <c r="F443" s="43" t="s">
        <v>446</v>
      </c>
      <c r="G443" s="43" t="s">
        <v>5957</v>
      </c>
      <c r="H443" s="42" t="s">
        <v>531</v>
      </c>
      <c r="I443" s="18">
        <f t="shared" si="2"/>
        <v>45971</v>
      </c>
      <c r="J443" s="19" t="s">
        <v>28</v>
      </c>
      <c r="K443" s="19" t="s">
        <v>5170</v>
      </c>
      <c r="L443" s="40"/>
    </row>
    <row r="444" ht="22.5" customHeight="1">
      <c r="C444" s="19" t="s">
        <v>8231</v>
      </c>
      <c r="D444" s="19" t="s">
        <v>8313</v>
      </c>
      <c r="E444" s="43" t="s">
        <v>8314</v>
      </c>
      <c r="F444" s="43" t="s">
        <v>8315</v>
      </c>
      <c r="G444" s="43" t="s">
        <v>8316</v>
      </c>
      <c r="H444" s="44">
        <v>1.3058012292E10</v>
      </c>
      <c r="I444" s="18">
        <f t="shared" si="2"/>
        <v>45971</v>
      </c>
      <c r="J444" s="19" t="s">
        <v>28</v>
      </c>
      <c r="K444" s="19" t="s">
        <v>5170</v>
      </c>
      <c r="L444" s="40"/>
    </row>
    <row r="445" ht="22.5" customHeight="1">
      <c r="C445" s="19" t="s">
        <v>8231</v>
      </c>
      <c r="D445" s="19" t="s">
        <v>8317</v>
      </c>
      <c r="E445" s="43" t="s">
        <v>8318</v>
      </c>
      <c r="F445" s="43" t="s">
        <v>872</v>
      </c>
      <c r="G445" s="43" t="s">
        <v>5929</v>
      </c>
      <c r="H445" s="44">
        <v>3.055378116E9</v>
      </c>
      <c r="I445" s="18">
        <f t="shared" si="2"/>
        <v>45971</v>
      </c>
      <c r="J445" s="19" t="s">
        <v>28</v>
      </c>
      <c r="K445" s="19" t="s">
        <v>5170</v>
      </c>
      <c r="L445" s="40"/>
    </row>
    <row r="446" ht="22.5" customHeight="1">
      <c r="C446" s="19" t="s">
        <v>8231</v>
      </c>
      <c r="D446" s="19" t="s">
        <v>8319</v>
      </c>
      <c r="E446" s="43" t="s">
        <v>8320</v>
      </c>
      <c r="F446" s="43" t="s">
        <v>223</v>
      </c>
      <c r="G446" s="43" t="s">
        <v>6043</v>
      </c>
      <c r="H446" s="42" t="s">
        <v>8321</v>
      </c>
      <c r="I446" s="18">
        <f t="shared" si="2"/>
        <v>45971</v>
      </c>
      <c r="J446" s="19" t="s">
        <v>28</v>
      </c>
      <c r="K446" s="19" t="s">
        <v>5170</v>
      </c>
      <c r="L446" s="40"/>
    </row>
    <row r="447" ht="22.5" customHeight="1">
      <c r="C447" s="19" t="s">
        <v>8231</v>
      </c>
      <c r="D447" s="19" t="s">
        <v>8322</v>
      </c>
      <c r="E447" s="43" t="s">
        <v>8323</v>
      </c>
      <c r="F447" s="43" t="s">
        <v>8324</v>
      </c>
      <c r="G447" s="43" t="s">
        <v>5874</v>
      </c>
      <c r="H447" s="44">
        <v>7.865473062E9</v>
      </c>
      <c r="I447" s="18">
        <f t="shared" si="2"/>
        <v>45971</v>
      </c>
      <c r="J447" s="19" t="s">
        <v>28</v>
      </c>
      <c r="K447" s="19" t="s">
        <v>5170</v>
      </c>
      <c r="L447" s="40"/>
    </row>
    <row r="448" ht="22.5" customHeight="1">
      <c r="C448" s="19" t="s">
        <v>8325</v>
      </c>
      <c r="D448" s="39" t="s">
        <v>8232</v>
      </c>
      <c r="E448" s="43" t="s">
        <v>8326</v>
      </c>
      <c r="F448" s="43" t="s">
        <v>7215</v>
      </c>
      <c r="G448" s="43" t="s">
        <v>5900</v>
      </c>
      <c r="H448" s="42" t="s">
        <v>8327</v>
      </c>
      <c r="I448" s="18">
        <f t="shared" si="2"/>
        <v>45971</v>
      </c>
      <c r="J448" s="19" t="s">
        <v>28</v>
      </c>
      <c r="K448" s="19" t="s">
        <v>5170</v>
      </c>
      <c r="L448" s="40"/>
    </row>
    <row r="449" ht="22.5" customHeight="1">
      <c r="C449" s="19" t="s">
        <v>8325</v>
      </c>
      <c r="D449" s="39" t="s">
        <v>8235</v>
      </c>
      <c r="E449" s="43" t="s">
        <v>8328</v>
      </c>
      <c r="F449" s="43" t="s">
        <v>8329</v>
      </c>
      <c r="G449" s="43" t="s">
        <v>5908</v>
      </c>
      <c r="H449" s="44">
        <v>3.053715758E9</v>
      </c>
      <c r="I449" s="18">
        <f t="shared" si="2"/>
        <v>45971</v>
      </c>
      <c r="J449" s="19" t="s">
        <v>28</v>
      </c>
      <c r="K449" s="19" t="s">
        <v>5170</v>
      </c>
      <c r="L449" s="40"/>
    </row>
    <row r="450" ht="22.5" customHeight="1">
      <c r="C450" s="19" t="s">
        <v>8325</v>
      </c>
      <c r="D450" s="39" t="s">
        <v>8238</v>
      </c>
      <c r="E450" s="43" t="s">
        <v>8330</v>
      </c>
      <c r="F450" s="43" t="s">
        <v>8331</v>
      </c>
      <c r="G450" s="43" t="s">
        <v>5882</v>
      </c>
      <c r="H450" s="44">
        <v>3.052560426E9</v>
      </c>
      <c r="I450" s="18">
        <f t="shared" si="2"/>
        <v>45971</v>
      </c>
      <c r="J450" s="19" t="s">
        <v>28</v>
      </c>
      <c r="K450" s="19" t="s">
        <v>5170</v>
      </c>
      <c r="L450" s="40"/>
    </row>
    <row r="451" ht="22.5" customHeight="1">
      <c r="C451" s="19" t="s">
        <v>8325</v>
      </c>
      <c r="D451" s="39" t="s">
        <v>8242</v>
      </c>
      <c r="E451" s="43" t="s">
        <v>8332</v>
      </c>
      <c r="F451" s="43" t="s">
        <v>8333</v>
      </c>
      <c r="G451" s="43" t="s">
        <v>6548</v>
      </c>
      <c r="H451" s="42" t="s">
        <v>8334</v>
      </c>
      <c r="I451" s="18">
        <f t="shared" si="2"/>
        <v>45971</v>
      </c>
      <c r="J451" s="19" t="s">
        <v>28</v>
      </c>
      <c r="K451" s="19" t="s">
        <v>5170</v>
      </c>
      <c r="L451" s="40"/>
    </row>
    <row r="452" ht="22.5" customHeight="1">
      <c r="C452" s="19" t="s">
        <v>8325</v>
      </c>
      <c r="D452" s="39" t="s">
        <v>8246</v>
      </c>
      <c r="E452" s="43" t="s">
        <v>8335</v>
      </c>
      <c r="F452" s="43" t="s">
        <v>5760</v>
      </c>
      <c r="G452" s="43" t="s">
        <v>6892</v>
      </c>
      <c r="H452" s="44">
        <v>3.212438942E9</v>
      </c>
      <c r="I452" s="18">
        <f t="shared" si="2"/>
        <v>45971</v>
      </c>
      <c r="J452" s="19" t="s">
        <v>28</v>
      </c>
      <c r="K452" s="19" t="s">
        <v>5170</v>
      </c>
      <c r="L452" s="4"/>
    </row>
    <row r="453" ht="22.5" customHeight="1">
      <c r="C453" s="19" t="s">
        <v>8325</v>
      </c>
      <c r="D453" s="39" t="s">
        <v>8250</v>
      </c>
      <c r="E453" s="43" t="s">
        <v>8336</v>
      </c>
      <c r="F453" s="43" t="s">
        <v>8337</v>
      </c>
      <c r="G453" s="43" t="s">
        <v>5949</v>
      </c>
      <c r="H453" s="42" t="s">
        <v>8338</v>
      </c>
      <c r="I453" s="18">
        <f t="shared" si="2"/>
        <v>45971</v>
      </c>
      <c r="J453" s="19" t="s">
        <v>28</v>
      </c>
      <c r="K453" s="19" t="s">
        <v>5170</v>
      </c>
      <c r="L453" s="40"/>
    </row>
    <row r="454" ht="22.5" customHeight="1">
      <c r="C454" s="19" t="s">
        <v>8325</v>
      </c>
      <c r="D454" s="39" t="s">
        <v>8254</v>
      </c>
      <c r="E454" s="43" t="s">
        <v>8339</v>
      </c>
      <c r="F454" s="43" t="s">
        <v>8340</v>
      </c>
      <c r="G454" s="43" t="s">
        <v>5846</v>
      </c>
      <c r="H454" s="44">
        <v>7.867400121E9</v>
      </c>
      <c r="I454" s="18">
        <f t="shared" si="2"/>
        <v>45971</v>
      </c>
      <c r="J454" s="19" t="s">
        <v>28</v>
      </c>
      <c r="K454" s="19" t="s">
        <v>5170</v>
      </c>
      <c r="L454" s="40"/>
    </row>
    <row r="455" ht="22.5" customHeight="1">
      <c r="C455" s="19" t="s">
        <v>8325</v>
      </c>
      <c r="D455" s="39" t="s">
        <v>8258</v>
      </c>
      <c r="E455" s="43" t="s">
        <v>8341</v>
      </c>
      <c r="F455" s="43" t="s">
        <v>8342</v>
      </c>
      <c r="G455" s="43" t="s">
        <v>8343</v>
      </c>
      <c r="H455" s="42" t="s">
        <v>8344</v>
      </c>
      <c r="I455" s="18">
        <f t="shared" si="2"/>
        <v>45971</v>
      </c>
      <c r="J455" s="19" t="s">
        <v>28</v>
      </c>
      <c r="K455" s="19" t="s">
        <v>5170</v>
      </c>
      <c r="L455" s="40"/>
    </row>
    <row r="456" ht="22.5" customHeight="1">
      <c r="C456" s="19" t="s">
        <v>8325</v>
      </c>
      <c r="D456" s="39" t="s">
        <v>8262</v>
      </c>
      <c r="E456" s="43" t="s">
        <v>8345</v>
      </c>
      <c r="F456" s="43" t="s">
        <v>8346</v>
      </c>
      <c r="G456" s="43" t="s">
        <v>6043</v>
      </c>
      <c r="H456" s="44">
        <v>3.018732097E9</v>
      </c>
      <c r="I456" s="18">
        <f t="shared" si="2"/>
        <v>45971</v>
      </c>
      <c r="J456" s="19" t="s">
        <v>28</v>
      </c>
      <c r="K456" s="19" t="s">
        <v>5170</v>
      </c>
      <c r="L456" s="40"/>
    </row>
    <row r="457" ht="22.5" customHeight="1">
      <c r="C457" s="19" t="s">
        <v>8325</v>
      </c>
      <c r="D457" s="39" t="s">
        <v>8265</v>
      </c>
      <c r="E457" s="43" t="s">
        <v>8347</v>
      </c>
      <c r="F457" s="43" t="s">
        <v>8348</v>
      </c>
      <c r="G457" s="43" t="s">
        <v>6094</v>
      </c>
      <c r="H457" s="44">
        <v>7.862659111E9</v>
      </c>
      <c r="I457" s="18">
        <f t="shared" si="2"/>
        <v>45971</v>
      </c>
      <c r="J457" s="19" t="s">
        <v>28</v>
      </c>
      <c r="K457" s="19" t="s">
        <v>5170</v>
      </c>
      <c r="L457" s="40"/>
    </row>
    <row r="458" ht="22.5" customHeight="1">
      <c r="C458" s="19" t="s">
        <v>8325</v>
      </c>
      <c r="D458" s="39" t="s">
        <v>8268</v>
      </c>
      <c r="E458" s="43" t="s">
        <v>8349</v>
      </c>
      <c r="F458" s="43" t="s">
        <v>8350</v>
      </c>
      <c r="G458" s="43" t="s">
        <v>5962</v>
      </c>
      <c r="H458" s="42" t="s">
        <v>8351</v>
      </c>
      <c r="I458" s="18">
        <f t="shared" si="2"/>
        <v>45971</v>
      </c>
      <c r="J458" s="19" t="s">
        <v>28</v>
      </c>
      <c r="K458" s="19" t="s">
        <v>5170</v>
      </c>
      <c r="L458" s="40"/>
    </row>
    <row r="459" ht="22.5" customHeight="1">
      <c r="C459" s="19" t="s">
        <v>8325</v>
      </c>
      <c r="D459" s="39" t="s">
        <v>8273</v>
      </c>
      <c r="E459" s="43" t="s">
        <v>8352</v>
      </c>
      <c r="F459" s="43" t="s">
        <v>8353</v>
      </c>
      <c r="G459" s="43" t="s">
        <v>5829</v>
      </c>
      <c r="H459" s="44">
        <v>3.056709919E9</v>
      </c>
      <c r="I459" s="18">
        <f t="shared" si="2"/>
        <v>45971</v>
      </c>
      <c r="J459" s="19" t="s">
        <v>28</v>
      </c>
      <c r="K459" s="19" t="s">
        <v>5170</v>
      </c>
      <c r="L459" s="40"/>
    </row>
    <row r="460" ht="22.5" customHeight="1">
      <c r="C460" s="19" t="s">
        <v>8325</v>
      </c>
      <c r="D460" s="39" t="s">
        <v>8277</v>
      </c>
      <c r="E460" s="43" t="s">
        <v>8354</v>
      </c>
      <c r="F460" s="43" t="s">
        <v>8355</v>
      </c>
      <c r="G460" s="43" t="s">
        <v>6902</v>
      </c>
      <c r="H460" s="44">
        <v>7.867685104E9</v>
      </c>
      <c r="I460" s="18">
        <f t="shared" si="2"/>
        <v>45971</v>
      </c>
      <c r="J460" s="19" t="s">
        <v>28</v>
      </c>
      <c r="K460" s="19" t="s">
        <v>5170</v>
      </c>
      <c r="L460" s="40"/>
    </row>
    <row r="461" ht="22.5" customHeight="1">
      <c r="C461" s="19" t="s">
        <v>8325</v>
      </c>
      <c r="D461" s="39" t="s">
        <v>8281</v>
      </c>
      <c r="E461" s="43" t="s">
        <v>8356</v>
      </c>
      <c r="F461" s="43" t="s">
        <v>8357</v>
      </c>
      <c r="G461" s="43" t="s">
        <v>6164</v>
      </c>
      <c r="H461" s="42" t="s">
        <v>8358</v>
      </c>
      <c r="I461" s="18">
        <f t="shared" si="2"/>
        <v>45971</v>
      </c>
      <c r="J461" s="19" t="s">
        <v>28</v>
      </c>
      <c r="K461" s="19" t="s">
        <v>5170</v>
      </c>
      <c r="L461" s="40"/>
    </row>
    <row r="462" ht="22.5" customHeight="1">
      <c r="C462" s="19" t="s">
        <v>8325</v>
      </c>
      <c r="D462" s="39" t="s">
        <v>8285</v>
      </c>
      <c r="E462" s="43" t="s">
        <v>8359</v>
      </c>
      <c r="F462" s="43" t="s">
        <v>8360</v>
      </c>
      <c r="G462" s="43" t="s">
        <v>5882</v>
      </c>
      <c r="H462" s="42" t="s">
        <v>8361</v>
      </c>
      <c r="I462" s="18">
        <f t="shared" si="2"/>
        <v>45971</v>
      </c>
      <c r="J462" s="19" t="s">
        <v>28</v>
      </c>
      <c r="K462" s="19" t="s">
        <v>5170</v>
      </c>
      <c r="L462" s="40"/>
    </row>
    <row r="463" ht="22.5" customHeight="1">
      <c r="C463" s="19" t="s">
        <v>8325</v>
      </c>
      <c r="D463" s="39" t="s">
        <v>8289</v>
      </c>
      <c r="E463" s="43" t="s">
        <v>8362</v>
      </c>
      <c r="F463" s="43" t="s">
        <v>8363</v>
      </c>
      <c r="G463" s="43" t="s">
        <v>6063</v>
      </c>
      <c r="H463" s="42" t="s">
        <v>8364</v>
      </c>
      <c r="I463" s="18">
        <f t="shared" si="2"/>
        <v>45971</v>
      </c>
      <c r="J463" s="19" t="s">
        <v>28</v>
      </c>
      <c r="K463" s="19" t="s">
        <v>5170</v>
      </c>
      <c r="L463" s="40"/>
    </row>
    <row r="464" ht="22.5" customHeight="1">
      <c r="C464" s="19" t="s">
        <v>8325</v>
      </c>
      <c r="D464" s="39" t="s">
        <v>8293</v>
      </c>
      <c r="E464" s="43" t="s">
        <v>8365</v>
      </c>
      <c r="F464" s="43" t="s">
        <v>8204</v>
      </c>
      <c r="G464" s="43" t="s">
        <v>5825</v>
      </c>
      <c r="H464" s="42" t="s">
        <v>8366</v>
      </c>
      <c r="I464" s="18">
        <f t="shared" si="2"/>
        <v>45971</v>
      </c>
      <c r="J464" s="19" t="s">
        <v>28</v>
      </c>
      <c r="K464" s="19" t="s">
        <v>5170</v>
      </c>
      <c r="L464" s="40"/>
    </row>
    <row r="465" ht="22.5" customHeight="1">
      <c r="C465" s="19" t="s">
        <v>8325</v>
      </c>
      <c r="D465" s="39" t="s">
        <v>8296</v>
      </c>
      <c r="E465" s="43" t="s">
        <v>8367</v>
      </c>
      <c r="F465" s="43" t="s">
        <v>7259</v>
      </c>
      <c r="G465" s="43" t="s">
        <v>6459</v>
      </c>
      <c r="H465" s="42" t="s">
        <v>8368</v>
      </c>
      <c r="I465" s="18">
        <f t="shared" si="2"/>
        <v>45971</v>
      </c>
      <c r="J465" s="19" t="s">
        <v>28</v>
      </c>
      <c r="K465" s="19" t="s">
        <v>5170</v>
      </c>
      <c r="L465" s="40"/>
    </row>
    <row r="466" ht="22.5" customHeight="1">
      <c r="C466" s="19" t="s">
        <v>8325</v>
      </c>
      <c r="D466" s="39" t="s">
        <v>8299</v>
      </c>
      <c r="E466" s="43" t="s">
        <v>8369</v>
      </c>
      <c r="F466" s="43" t="s">
        <v>8370</v>
      </c>
      <c r="G466" s="43" t="s">
        <v>5834</v>
      </c>
      <c r="H466" s="42" t="s">
        <v>8371</v>
      </c>
      <c r="I466" s="18">
        <f t="shared" si="2"/>
        <v>45971</v>
      </c>
      <c r="J466" s="19" t="s">
        <v>28</v>
      </c>
      <c r="K466" s="19" t="s">
        <v>5170</v>
      </c>
      <c r="L466" s="40"/>
    </row>
    <row r="467" ht="22.5" customHeight="1">
      <c r="C467" s="19" t="s">
        <v>8325</v>
      </c>
      <c r="D467" s="39" t="s">
        <v>8303</v>
      </c>
      <c r="E467" s="43" t="s">
        <v>8372</v>
      </c>
      <c r="F467" s="43" t="s">
        <v>182</v>
      </c>
      <c r="G467" s="43" t="s">
        <v>6534</v>
      </c>
      <c r="H467" s="42" t="s">
        <v>8373</v>
      </c>
      <c r="I467" s="18">
        <f t="shared" si="2"/>
        <v>45971</v>
      </c>
      <c r="J467" s="19" t="s">
        <v>28</v>
      </c>
      <c r="K467" s="19" t="s">
        <v>5170</v>
      </c>
      <c r="L467" s="40"/>
    </row>
    <row r="468" ht="22.5" customHeight="1">
      <c r="C468" s="19" t="s">
        <v>8325</v>
      </c>
      <c r="D468" s="39" t="s">
        <v>8307</v>
      </c>
      <c r="E468" s="43" t="s">
        <v>8374</v>
      </c>
      <c r="F468" s="43" t="s">
        <v>8375</v>
      </c>
      <c r="G468" s="43" t="s">
        <v>5838</v>
      </c>
      <c r="H468" s="44">
        <v>7.866633985E9</v>
      </c>
      <c r="I468" s="18">
        <f t="shared" si="2"/>
        <v>45971</v>
      </c>
      <c r="J468" s="19" t="s">
        <v>28</v>
      </c>
      <c r="K468" s="19" t="s">
        <v>5170</v>
      </c>
      <c r="L468" s="40"/>
    </row>
    <row r="469" ht="22.5" customHeight="1">
      <c r="C469" s="19" t="s">
        <v>8325</v>
      </c>
      <c r="D469" s="39" t="s">
        <v>8311</v>
      </c>
      <c r="E469" s="43" t="s">
        <v>8376</v>
      </c>
      <c r="F469" s="43" t="s">
        <v>8377</v>
      </c>
      <c r="G469" s="43" t="s">
        <v>6160</v>
      </c>
      <c r="H469" s="44">
        <v>3.057940251E9</v>
      </c>
      <c r="I469" s="18">
        <f t="shared" si="2"/>
        <v>45971</v>
      </c>
      <c r="J469" s="19" t="s">
        <v>28</v>
      </c>
      <c r="K469" s="19" t="s">
        <v>5170</v>
      </c>
      <c r="L469" s="40"/>
    </row>
    <row r="470" ht="22.5" customHeight="1">
      <c r="C470" s="19" t="s">
        <v>8325</v>
      </c>
      <c r="D470" s="39" t="s">
        <v>8313</v>
      </c>
      <c r="E470" s="43" t="s">
        <v>8378</v>
      </c>
      <c r="F470" s="43" t="s">
        <v>8379</v>
      </c>
      <c r="G470" s="43" t="s">
        <v>5900</v>
      </c>
      <c r="H470" s="44">
        <v>3.057212917E9</v>
      </c>
      <c r="I470" s="18">
        <f t="shared" si="2"/>
        <v>45971</v>
      </c>
      <c r="J470" s="19" t="s">
        <v>28</v>
      </c>
      <c r="K470" s="19" t="s">
        <v>5170</v>
      </c>
      <c r="L470" s="40"/>
    </row>
    <row r="471" ht="22.5" customHeight="1">
      <c r="C471" s="19" t="s">
        <v>8325</v>
      </c>
      <c r="D471" s="39" t="s">
        <v>8317</v>
      </c>
      <c r="E471" s="43" t="s">
        <v>8380</v>
      </c>
      <c r="F471" s="43" t="s">
        <v>8381</v>
      </c>
      <c r="G471" s="43" t="s">
        <v>8382</v>
      </c>
      <c r="H471" s="42" t="s">
        <v>8383</v>
      </c>
      <c r="I471" s="18">
        <f t="shared" si="2"/>
        <v>45971</v>
      </c>
      <c r="J471" s="19" t="s">
        <v>28</v>
      </c>
      <c r="K471" s="19" t="s">
        <v>5170</v>
      </c>
      <c r="L471" s="40"/>
    </row>
    <row r="472" ht="22.5" customHeight="1">
      <c r="C472" s="19" t="s">
        <v>8325</v>
      </c>
      <c r="D472" s="39" t="s">
        <v>8319</v>
      </c>
      <c r="E472" s="43" t="s">
        <v>8384</v>
      </c>
      <c r="F472" s="43" t="s">
        <v>8385</v>
      </c>
      <c r="G472" s="43" t="s">
        <v>5862</v>
      </c>
      <c r="H472" s="42" t="s">
        <v>8386</v>
      </c>
      <c r="I472" s="18">
        <f t="shared" si="2"/>
        <v>45971</v>
      </c>
      <c r="J472" s="19" t="s">
        <v>28</v>
      </c>
      <c r="K472" s="19" t="s">
        <v>5170</v>
      </c>
      <c r="L472" s="40"/>
    </row>
    <row r="473" ht="22.5" customHeight="1">
      <c r="C473" s="19" t="s">
        <v>8325</v>
      </c>
      <c r="D473" s="39" t="s">
        <v>8322</v>
      </c>
      <c r="E473" s="43" t="s">
        <v>8387</v>
      </c>
      <c r="F473" s="43" t="s">
        <v>1049</v>
      </c>
      <c r="G473" s="43" t="s">
        <v>6387</v>
      </c>
      <c r="H473" s="44">
        <v>3.055911818E9</v>
      </c>
      <c r="I473" s="18">
        <f t="shared" si="2"/>
        <v>45971</v>
      </c>
      <c r="J473" s="19" t="s">
        <v>28</v>
      </c>
      <c r="K473" s="19" t="s">
        <v>5170</v>
      </c>
      <c r="L473" s="40"/>
    </row>
    <row r="474" ht="22.5" customHeight="1">
      <c r="C474" s="19" t="s">
        <v>8325</v>
      </c>
      <c r="D474" s="39" t="s">
        <v>8388</v>
      </c>
      <c r="E474" s="43" t="s">
        <v>8389</v>
      </c>
      <c r="F474" s="43" t="s">
        <v>8390</v>
      </c>
      <c r="G474" s="43" t="s">
        <v>6004</v>
      </c>
      <c r="H474" s="42" t="s">
        <v>8391</v>
      </c>
      <c r="I474" s="18">
        <f t="shared" si="2"/>
        <v>45971</v>
      </c>
      <c r="J474" s="19" t="s">
        <v>28</v>
      </c>
      <c r="K474" s="19" t="s">
        <v>5170</v>
      </c>
      <c r="L474" s="40"/>
    </row>
    <row r="475" ht="22.5" customHeight="1">
      <c r="C475" s="19" t="s">
        <v>8325</v>
      </c>
      <c r="D475" s="39" t="s">
        <v>8392</v>
      </c>
      <c r="E475" s="43" t="s">
        <v>8393</v>
      </c>
      <c r="F475" s="43" t="s">
        <v>8394</v>
      </c>
      <c r="G475" s="43" t="s">
        <v>5878</v>
      </c>
      <c r="H475" s="44">
        <v>7.866634382E9</v>
      </c>
      <c r="I475" s="18">
        <f t="shared" si="2"/>
        <v>45971</v>
      </c>
      <c r="J475" s="19" t="s">
        <v>28</v>
      </c>
      <c r="K475" s="19" t="s">
        <v>5170</v>
      </c>
      <c r="L475" s="40"/>
    </row>
    <row r="476" ht="22.5" customHeight="1">
      <c r="C476" s="19" t="s">
        <v>8325</v>
      </c>
      <c r="D476" s="39" t="s">
        <v>8395</v>
      </c>
      <c r="E476" s="43" t="s">
        <v>8396</v>
      </c>
      <c r="F476" s="43" t="s">
        <v>8397</v>
      </c>
      <c r="G476" s="43" t="s">
        <v>5858</v>
      </c>
      <c r="H476" s="44">
        <v>5.125652501E9</v>
      </c>
      <c r="I476" s="18">
        <f t="shared" si="2"/>
        <v>45971</v>
      </c>
      <c r="J476" s="19" t="s">
        <v>28</v>
      </c>
      <c r="K476" s="19" t="s">
        <v>5170</v>
      </c>
      <c r="L476" s="40"/>
    </row>
    <row r="477" ht="22.5" customHeight="1">
      <c r="C477" s="19" t="s">
        <v>8325</v>
      </c>
      <c r="D477" s="39" t="s">
        <v>8398</v>
      </c>
      <c r="E477" s="43" t="s">
        <v>8399</v>
      </c>
      <c r="F477" s="43" t="s">
        <v>8400</v>
      </c>
      <c r="G477" s="43" t="s">
        <v>5929</v>
      </c>
      <c r="H477" s="42" t="s">
        <v>8401</v>
      </c>
      <c r="I477" s="18">
        <f t="shared" si="2"/>
        <v>45971</v>
      </c>
      <c r="J477" s="19" t="s">
        <v>28</v>
      </c>
      <c r="K477" s="19" t="s">
        <v>5170</v>
      </c>
      <c r="L477" s="40"/>
    </row>
    <row r="478" ht="22.5" customHeight="1">
      <c r="C478" s="19" t="s">
        <v>8325</v>
      </c>
      <c r="D478" s="39" t="s">
        <v>8402</v>
      </c>
      <c r="E478" s="43" t="s">
        <v>8403</v>
      </c>
      <c r="F478" s="43" t="s">
        <v>8404</v>
      </c>
      <c r="G478" s="43" t="s">
        <v>5866</v>
      </c>
      <c r="H478" s="42" t="s">
        <v>8405</v>
      </c>
      <c r="I478" s="18">
        <f t="shared" si="2"/>
        <v>45971</v>
      </c>
      <c r="J478" s="19" t="s">
        <v>28</v>
      </c>
      <c r="K478" s="19" t="s">
        <v>5170</v>
      </c>
      <c r="L478" s="40"/>
    </row>
    <row r="479" ht="22.5" customHeight="1">
      <c r="C479" s="19" t="s">
        <v>8325</v>
      </c>
      <c r="D479" s="39" t="s">
        <v>8406</v>
      </c>
      <c r="E479" s="43" t="s">
        <v>8407</v>
      </c>
      <c r="F479" s="43" t="s">
        <v>446</v>
      </c>
      <c r="G479" s="43" t="s">
        <v>5957</v>
      </c>
      <c r="H479" s="44">
        <v>3.056702889E9</v>
      </c>
      <c r="I479" s="18">
        <f t="shared" si="2"/>
        <v>45971</v>
      </c>
      <c r="J479" s="19" t="s">
        <v>28</v>
      </c>
      <c r="K479" s="19" t="s">
        <v>5170</v>
      </c>
      <c r="L479" s="40"/>
    </row>
    <row r="480" ht="22.5" customHeight="1">
      <c r="C480" s="19" t="s">
        <v>8325</v>
      </c>
      <c r="D480" s="39" t="s">
        <v>8408</v>
      </c>
      <c r="E480" s="43" t="s">
        <v>8409</v>
      </c>
      <c r="F480" s="43" t="s">
        <v>8410</v>
      </c>
      <c r="G480" s="43" t="s">
        <v>5874</v>
      </c>
      <c r="H480" s="44">
        <v>3.056990607E9</v>
      </c>
      <c r="I480" s="18">
        <f t="shared" si="2"/>
        <v>45971</v>
      </c>
      <c r="J480" s="19" t="s">
        <v>28</v>
      </c>
      <c r="K480" s="19" t="s">
        <v>5170</v>
      </c>
      <c r="L480" s="40"/>
    </row>
    <row r="481" ht="22.5" customHeight="1">
      <c r="C481" s="19" t="s">
        <v>8325</v>
      </c>
      <c r="D481" s="39" t="s">
        <v>8411</v>
      </c>
      <c r="E481" s="43" t="s">
        <v>8412</v>
      </c>
      <c r="F481" s="43" t="s">
        <v>8413</v>
      </c>
      <c r="G481" s="43" t="s">
        <v>7060</v>
      </c>
      <c r="H481" s="44">
        <v>6.614064705E9</v>
      </c>
      <c r="I481" s="18">
        <f t="shared" si="2"/>
        <v>45971</v>
      </c>
      <c r="J481" s="19" t="s">
        <v>28</v>
      </c>
      <c r="K481" s="19" t="s">
        <v>5170</v>
      </c>
      <c r="L481" s="40"/>
    </row>
    <row r="482" ht="22.5" customHeight="1">
      <c r="C482" s="19" t="s">
        <v>8414</v>
      </c>
      <c r="D482" s="39" t="s">
        <v>8415</v>
      </c>
      <c r="E482" s="43" t="s">
        <v>8416</v>
      </c>
      <c r="F482" s="43" t="s">
        <v>8417</v>
      </c>
      <c r="G482" s="43" t="s">
        <v>5882</v>
      </c>
      <c r="H482" s="44">
        <v>7.862019575E9</v>
      </c>
      <c r="I482" s="18">
        <f t="shared" si="2"/>
        <v>45971</v>
      </c>
      <c r="J482" s="19" t="s">
        <v>28</v>
      </c>
      <c r="K482" s="19" t="s">
        <v>5170</v>
      </c>
      <c r="L482" s="40"/>
    </row>
    <row r="483" ht="22.5" customHeight="1">
      <c r="C483" s="19" t="s">
        <v>8414</v>
      </c>
      <c r="D483" s="39" t="s">
        <v>8418</v>
      </c>
      <c r="E483" s="43" t="s">
        <v>8419</v>
      </c>
      <c r="F483" s="43" t="s">
        <v>8420</v>
      </c>
      <c r="G483" s="43" t="s">
        <v>6068</v>
      </c>
      <c r="H483" s="42" t="s">
        <v>8421</v>
      </c>
      <c r="I483" s="18">
        <f t="shared" si="2"/>
        <v>45971</v>
      </c>
      <c r="J483" s="19" t="s">
        <v>28</v>
      </c>
      <c r="K483" s="19" t="s">
        <v>5170</v>
      </c>
      <c r="L483" s="40"/>
    </row>
    <row r="484" ht="22.5" customHeight="1">
      <c r="C484" s="19" t="s">
        <v>8414</v>
      </c>
      <c r="D484" s="39" t="s">
        <v>8422</v>
      </c>
      <c r="E484" s="43" t="s">
        <v>8423</v>
      </c>
      <c r="F484" s="43" t="s">
        <v>8424</v>
      </c>
      <c r="G484" s="43" t="s">
        <v>5891</v>
      </c>
      <c r="H484" s="42" t="s">
        <v>8425</v>
      </c>
      <c r="I484" s="18">
        <f t="shared" si="2"/>
        <v>45971</v>
      </c>
      <c r="J484" s="19" t="s">
        <v>28</v>
      </c>
      <c r="K484" s="19" t="s">
        <v>5170</v>
      </c>
      <c r="L484" s="40"/>
    </row>
    <row r="485" ht="22.5" customHeight="1">
      <c r="C485" s="19" t="s">
        <v>8414</v>
      </c>
      <c r="D485" s="39" t="s">
        <v>8426</v>
      </c>
      <c r="E485" s="43" t="s">
        <v>8427</v>
      </c>
      <c r="F485" s="43" t="s">
        <v>8428</v>
      </c>
      <c r="G485" s="43" t="s">
        <v>6902</v>
      </c>
      <c r="H485" s="44">
        <v>3.054400738E9</v>
      </c>
      <c r="I485" s="18">
        <f t="shared" si="2"/>
        <v>45971</v>
      </c>
      <c r="J485" s="19" t="s">
        <v>28</v>
      </c>
      <c r="K485" s="19" t="s">
        <v>5170</v>
      </c>
      <c r="L485" s="40"/>
    </row>
    <row r="486" ht="22.5" customHeight="1">
      <c r="C486" s="19" t="s">
        <v>8414</v>
      </c>
      <c r="D486" s="39" t="s">
        <v>8429</v>
      </c>
      <c r="E486" s="43" t="s">
        <v>8430</v>
      </c>
      <c r="F486" s="43" t="s">
        <v>8431</v>
      </c>
      <c r="G486" s="43" t="s">
        <v>5842</v>
      </c>
      <c r="H486" s="42" t="s">
        <v>8432</v>
      </c>
      <c r="I486" s="18">
        <f t="shared" si="2"/>
        <v>45971</v>
      </c>
      <c r="J486" s="19" t="s">
        <v>28</v>
      </c>
      <c r="K486" s="19" t="s">
        <v>5170</v>
      </c>
      <c r="L486" s="40"/>
    </row>
    <row r="487" ht="22.5" customHeight="1">
      <c r="C487" s="19" t="s">
        <v>8414</v>
      </c>
      <c r="D487" s="39" t="s">
        <v>8433</v>
      </c>
      <c r="E487" s="43" t="s">
        <v>8434</v>
      </c>
      <c r="F487" s="43" t="s">
        <v>8435</v>
      </c>
      <c r="G487" s="43" t="s">
        <v>6534</v>
      </c>
      <c r="H487" s="44">
        <v>7.864194888E9</v>
      </c>
      <c r="I487" s="18">
        <f t="shared" si="2"/>
        <v>45971</v>
      </c>
      <c r="J487" s="19" t="s">
        <v>28</v>
      </c>
      <c r="K487" s="19" t="s">
        <v>5170</v>
      </c>
      <c r="L487" s="40"/>
    </row>
    <row r="488" ht="22.5" customHeight="1">
      <c r="C488" s="19" t="s">
        <v>8414</v>
      </c>
      <c r="D488" s="39" t="s">
        <v>8436</v>
      </c>
      <c r="E488" s="43" t="s">
        <v>8437</v>
      </c>
      <c r="F488" s="43" t="s">
        <v>8438</v>
      </c>
      <c r="G488" s="43" t="s">
        <v>6372</v>
      </c>
      <c r="H488" s="44">
        <v>2.168701054E9</v>
      </c>
      <c r="I488" s="18">
        <f t="shared" si="2"/>
        <v>45971</v>
      </c>
      <c r="J488" s="19" t="s">
        <v>28</v>
      </c>
      <c r="K488" s="19" t="s">
        <v>5170</v>
      </c>
      <c r="L488" s="40"/>
    </row>
    <row r="489" ht="22.5" customHeight="1">
      <c r="C489" s="19" t="s">
        <v>8414</v>
      </c>
      <c r="D489" s="39" t="s">
        <v>8439</v>
      </c>
      <c r="E489" s="43" t="s">
        <v>8440</v>
      </c>
      <c r="F489" s="43" t="s">
        <v>8441</v>
      </c>
      <c r="G489" s="43" t="s">
        <v>6063</v>
      </c>
      <c r="H489" s="42" t="s">
        <v>8442</v>
      </c>
      <c r="I489" s="18">
        <f t="shared" si="2"/>
        <v>45971</v>
      </c>
      <c r="J489" s="19" t="s">
        <v>28</v>
      </c>
      <c r="K489" s="19" t="s">
        <v>5170</v>
      </c>
      <c r="L489" s="40"/>
    </row>
    <row r="490" ht="22.5" customHeight="1">
      <c r="C490" s="19" t="s">
        <v>8414</v>
      </c>
      <c r="D490" s="39" t="s">
        <v>8443</v>
      </c>
      <c r="E490" s="43" t="s">
        <v>8444</v>
      </c>
      <c r="F490" s="43" t="s">
        <v>8445</v>
      </c>
      <c r="G490" s="43" t="s">
        <v>8446</v>
      </c>
      <c r="H490" s="42" t="s">
        <v>8447</v>
      </c>
      <c r="I490" s="18">
        <f t="shared" si="2"/>
        <v>45971</v>
      </c>
      <c r="J490" s="19" t="s">
        <v>28</v>
      </c>
      <c r="K490" s="19" t="s">
        <v>5170</v>
      </c>
      <c r="L490" s="40"/>
    </row>
    <row r="491" ht="22.5" customHeight="1">
      <c r="C491" s="19" t="s">
        <v>8414</v>
      </c>
      <c r="D491" s="39" t="s">
        <v>8448</v>
      </c>
      <c r="E491" s="43" t="s">
        <v>8449</v>
      </c>
      <c r="F491" s="43" t="s">
        <v>8450</v>
      </c>
      <c r="G491" s="43" t="s">
        <v>5846</v>
      </c>
      <c r="H491" s="44">
        <v>3.059670771E9</v>
      </c>
      <c r="I491" s="18">
        <f t="shared" si="2"/>
        <v>45971</v>
      </c>
      <c r="J491" s="19" t="s">
        <v>28</v>
      </c>
      <c r="K491" s="19" t="s">
        <v>5170</v>
      </c>
      <c r="L491" s="40"/>
    </row>
    <row r="492" ht="22.5" customHeight="1">
      <c r="C492" s="19" t="s">
        <v>8414</v>
      </c>
      <c r="D492" s="39" t="s">
        <v>8451</v>
      </c>
      <c r="E492" s="43" t="s">
        <v>8452</v>
      </c>
      <c r="F492" s="43" t="s">
        <v>7215</v>
      </c>
      <c r="G492" s="43" t="s">
        <v>5834</v>
      </c>
      <c r="H492" s="44">
        <v>3.053409082E9</v>
      </c>
      <c r="I492" s="18">
        <f t="shared" si="2"/>
        <v>45971</v>
      </c>
      <c r="J492" s="19" t="s">
        <v>28</v>
      </c>
      <c r="K492" s="19" t="s">
        <v>5170</v>
      </c>
      <c r="L492" s="40"/>
    </row>
    <row r="493" ht="22.5" customHeight="1">
      <c r="C493" s="19" t="s">
        <v>8414</v>
      </c>
      <c r="D493" s="39" t="s">
        <v>8453</v>
      </c>
      <c r="E493" s="43" t="s">
        <v>8454</v>
      </c>
      <c r="F493" s="43" t="s">
        <v>8455</v>
      </c>
      <c r="G493" s="43" t="s">
        <v>5850</v>
      </c>
      <c r="H493" s="44">
        <v>7.862607782E9</v>
      </c>
      <c r="I493" s="18">
        <f t="shared" si="2"/>
        <v>45971</v>
      </c>
      <c r="J493" s="19" t="s">
        <v>28</v>
      </c>
      <c r="K493" s="19" t="s">
        <v>5170</v>
      </c>
      <c r="L493" s="4"/>
    </row>
    <row r="494" ht="22.5" customHeight="1">
      <c r="C494" s="19" t="s">
        <v>8414</v>
      </c>
      <c r="D494" s="39" t="s">
        <v>8456</v>
      </c>
      <c r="E494" s="43" t="s">
        <v>8457</v>
      </c>
      <c r="F494" s="43" t="s">
        <v>8458</v>
      </c>
      <c r="G494" s="43" t="s">
        <v>5825</v>
      </c>
      <c r="H494" s="42" t="s">
        <v>8459</v>
      </c>
      <c r="I494" s="18">
        <f t="shared" si="2"/>
        <v>45971</v>
      </c>
      <c r="J494" s="19" t="s">
        <v>28</v>
      </c>
      <c r="K494" s="19" t="s">
        <v>5170</v>
      </c>
      <c r="L494" s="40"/>
    </row>
    <row r="495" ht="22.5" customHeight="1">
      <c r="C495" s="19" t="s">
        <v>8414</v>
      </c>
      <c r="D495" s="39" t="s">
        <v>8460</v>
      </c>
      <c r="E495" s="43" t="s">
        <v>8461</v>
      </c>
      <c r="F495" s="43" t="s">
        <v>3280</v>
      </c>
      <c r="G495" s="43" t="s">
        <v>5953</v>
      </c>
      <c r="H495" s="44">
        <v>7.863254999E9</v>
      </c>
      <c r="I495" s="18">
        <f t="shared" si="2"/>
        <v>45971</v>
      </c>
      <c r="J495" s="19" t="s">
        <v>28</v>
      </c>
      <c r="K495" s="19" t="s">
        <v>5170</v>
      </c>
      <c r="L495" s="40"/>
    </row>
    <row r="496" ht="22.5" customHeight="1">
      <c r="C496" s="19" t="s">
        <v>8414</v>
      </c>
      <c r="D496" s="39" t="s">
        <v>8462</v>
      </c>
      <c r="E496" s="43" t="s">
        <v>8463</v>
      </c>
      <c r="F496" s="43" t="s">
        <v>8464</v>
      </c>
      <c r="G496" s="43" t="s">
        <v>6459</v>
      </c>
      <c r="H496" s="44">
        <v>3.059882086E9</v>
      </c>
      <c r="I496" s="18">
        <f t="shared" si="2"/>
        <v>45971</v>
      </c>
      <c r="J496" s="19" t="s">
        <v>28</v>
      </c>
      <c r="K496" s="19" t="s">
        <v>5170</v>
      </c>
      <c r="L496" s="40"/>
    </row>
    <row r="497" ht="22.5" customHeight="1">
      <c r="C497" s="19" t="s">
        <v>8414</v>
      </c>
      <c r="D497" s="39" t="s">
        <v>8465</v>
      </c>
      <c r="E497" s="43" t="s">
        <v>8466</v>
      </c>
      <c r="F497" s="43" t="s">
        <v>8467</v>
      </c>
      <c r="G497" s="43" t="s">
        <v>5908</v>
      </c>
      <c r="H497" s="44">
        <v>7.86281562E9</v>
      </c>
      <c r="I497" s="18">
        <f t="shared" si="2"/>
        <v>45971</v>
      </c>
      <c r="J497" s="19" t="s">
        <v>28</v>
      </c>
      <c r="K497" s="19" t="s">
        <v>5170</v>
      </c>
      <c r="L497" s="40"/>
    </row>
    <row r="498" ht="22.5" customHeight="1">
      <c r="C498" s="19" t="s">
        <v>8414</v>
      </c>
      <c r="D498" s="39" t="s">
        <v>8468</v>
      </c>
      <c r="E498" s="43" t="s">
        <v>8469</v>
      </c>
      <c r="F498" s="43" t="s">
        <v>8470</v>
      </c>
      <c r="G498" s="43" t="s">
        <v>5949</v>
      </c>
      <c r="H498" s="42" t="s">
        <v>8471</v>
      </c>
      <c r="I498" s="18">
        <f t="shared" si="2"/>
        <v>45971</v>
      </c>
      <c r="J498" s="19" t="s">
        <v>28</v>
      </c>
      <c r="K498" s="19" t="s">
        <v>5170</v>
      </c>
      <c r="L498" s="40"/>
    </row>
    <row r="499" ht="22.5" customHeight="1">
      <c r="C499" s="19" t="s">
        <v>8414</v>
      </c>
      <c r="D499" s="39" t="s">
        <v>8472</v>
      </c>
      <c r="E499" s="43" t="s">
        <v>8473</v>
      </c>
      <c r="F499" s="43" t="s">
        <v>7520</v>
      </c>
      <c r="G499" s="43" t="s">
        <v>5962</v>
      </c>
      <c r="H499" s="44">
        <v>9.542581025E9</v>
      </c>
      <c r="I499" s="18">
        <f t="shared" si="2"/>
        <v>45971</v>
      </c>
      <c r="J499" s="19" t="s">
        <v>28</v>
      </c>
      <c r="K499" s="19" t="s">
        <v>5170</v>
      </c>
      <c r="L499" s="40"/>
    </row>
    <row r="500" ht="22.5" customHeight="1">
      <c r="C500" s="19" t="s">
        <v>8414</v>
      </c>
      <c r="D500" s="39" t="s">
        <v>8474</v>
      </c>
      <c r="E500" s="43" t="s">
        <v>8475</v>
      </c>
      <c r="F500" s="43" t="s">
        <v>8476</v>
      </c>
      <c r="G500" s="43" t="s">
        <v>5921</v>
      </c>
      <c r="H500" s="44">
        <v>7.866460098E9</v>
      </c>
      <c r="I500" s="18">
        <f t="shared" si="2"/>
        <v>45971</v>
      </c>
      <c r="J500" s="19" t="s">
        <v>28</v>
      </c>
      <c r="K500" s="19" t="s">
        <v>5170</v>
      </c>
      <c r="L500" s="40"/>
    </row>
    <row r="501" ht="22.5" customHeight="1">
      <c r="C501" s="19" t="s">
        <v>8414</v>
      </c>
      <c r="D501" s="39" t="s">
        <v>8477</v>
      </c>
      <c r="E501" s="43" t="s">
        <v>8478</v>
      </c>
      <c r="F501" s="43" t="s">
        <v>8479</v>
      </c>
      <c r="G501" s="43" t="s">
        <v>5900</v>
      </c>
      <c r="H501" s="42" t="s">
        <v>8480</v>
      </c>
      <c r="I501" s="18">
        <f t="shared" si="2"/>
        <v>45971</v>
      </c>
      <c r="J501" s="19" t="s">
        <v>28</v>
      </c>
      <c r="K501" s="19" t="s">
        <v>5170</v>
      </c>
      <c r="L501" s="40"/>
    </row>
    <row r="502" ht="22.5" customHeight="1">
      <c r="C502" s="19" t="s">
        <v>8414</v>
      </c>
      <c r="D502" s="39" t="s">
        <v>8481</v>
      </c>
      <c r="E502" s="43" t="s">
        <v>8482</v>
      </c>
      <c r="F502" s="43" t="s">
        <v>1020</v>
      </c>
      <c r="G502" s="43" t="s">
        <v>5878</v>
      </c>
      <c r="H502" s="42" t="s">
        <v>8483</v>
      </c>
      <c r="I502" s="18">
        <f t="shared" si="2"/>
        <v>45971</v>
      </c>
      <c r="J502" s="19" t="s">
        <v>28</v>
      </c>
      <c r="K502" s="19" t="s">
        <v>5170</v>
      </c>
      <c r="L502" s="40"/>
    </row>
    <row r="503" ht="22.5" customHeight="1">
      <c r="C503" s="19" t="s">
        <v>8414</v>
      </c>
      <c r="D503" s="39" t="s">
        <v>8484</v>
      </c>
      <c r="E503" s="43" t="s">
        <v>8485</v>
      </c>
      <c r="F503" s="43" t="s">
        <v>274</v>
      </c>
      <c r="G503" s="43" t="s">
        <v>5866</v>
      </c>
      <c r="H503" s="42" t="s">
        <v>8486</v>
      </c>
      <c r="I503" s="18">
        <f t="shared" si="2"/>
        <v>45971</v>
      </c>
      <c r="J503" s="19" t="s">
        <v>28</v>
      </c>
      <c r="K503" s="19" t="s">
        <v>5170</v>
      </c>
      <c r="L503" s="40"/>
    </row>
    <row r="504" ht="22.5" customHeight="1">
      <c r="C504" s="19" t="s">
        <v>8414</v>
      </c>
      <c r="D504" s="39" t="s">
        <v>8487</v>
      </c>
      <c r="E504" s="43" t="s">
        <v>8488</v>
      </c>
      <c r="F504" s="43" t="s">
        <v>8489</v>
      </c>
      <c r="G504" s="43" t="s">
        <v>5957</v>
      </c>
      <c r="H504" s="44">
        <v>3.053713666E9</v>
      </c>
      <c r="I504" s="18">
        <f t="shared" si="2"/>
        <v>45971</v>
      </c>
      <c r="J504" s="19" t="s">
        <v>28</v>
      </c>
      <c r="K504" s="19" t="s">
        <v>5170</v>
      </c>
      <c r="L504" s="40"/>
    </row>
    <row r="505" ht="22.5" customHeight="1">
      <c r="C505" s="19" t="s">
        <v>8414</v>
      </c>
      <c r="D505" s="39" t="s">
        <v>8490</v>
      </c>
      <c r="E505" s="43" t="s">
        <v>8491</v>
      </c>
      <c r="F505" s="43" t="s">
        <v>830</v>
      </c>
      <c r="G505" s="43" t="s">
        <v>6160</v>
      </c>
      <c r="H505" s="44">
        <v>7.749911647E9</v>
      </c>
      <c r="I505" s="18">
        <f t="shared" si="2"/>
        <v>45971</v>
      </c>
      <c r="J505" s="19" t="s">
        <v>28</v>
      </c>
      <c r="K505" s="19" t="s">
        <v>5170</v>
      </c>
      <c r="L505" s="40"/>
    </row>
    <row r="506" ht="22.5" customHeight="1">
      <c r="C506" s="19" t="s">
        <v>8414</v>
      </c>
      <c r="D506" s="39" t="s">
        <v>8492</v>
      </c>
      <c r="E506" s="43" t="s">
        <v>8493</v>
      </c>
      <c r="F506" s="43" t="s">
        <v>8494</v>
      </c>
      <c r="G506" s="43" t="s">
        <v>8495</v>
      </c>
      <c r="H506" s="44">
        <v>1.9413876485E10</v>
      </c>
      <c r="I506" s="18">
        <f t="shared" si="2"/>
        <v>45971</v>
      </c>
      <c r="J506" s="19" t="s">
        <v>28</v>
      </c>
      <c r="K506" s="19" t="s">
        <v>5170</v>
      </c>
      <c r="L506" s="40"/>
    </row>
    <row r="507" ht="22.5" customHeight="1">
      <c r="C507" s="19" t="s">
        <v>8414</v>
      </c>
      <c r="D507" s="39" t="s">
        <v>8496</v>
      </c>
      <c r="E507" s="43" t="s">
        <v>8497</v>
      </c>
      <c r="F507" s="43" t="s">
        <v>8498</v>
      </c>
      <c r="G507" s="43" t="s">
        <v>6076</v>
      </c>
      <c r="H507" s="44">
        <v>3.056102843E9</v>
      </c>
      <c r="I507" s="18">
        <f t="shared" si="2"/>
        <v>45971</v>
      </c>
      <c r="J507" s="19" t="s">
        <v>28</v>
      </c>
      <c r="K507" s="19" t="s">
        <v>5170</v>
      </c>
      <c r="L507" s="40"/>
    </row>
    <row r="508" ht="22.5" customHeight="1">
      <c r="C508" s="19" t="s">
        <v>8499</v>
      </c>
      <c r="D508" s="39" t="s">
        <v>8500</v>
      </c>
      <c r="E508" s="43" t="s">
        <v>8501</v>
      </c>
      <c r="F508" s="43" t="s">
        <v>8502</v>
      </c>
      <c r="G508" s="43" t="s">
        <v>7030</v>
      </c>
      <c r="H508" s="42" t="s">
        <v>8503</v>
      </c>
      <c r="I508" s="18">
        <f t="shared" si="2"/>
        <v>45971</v>
      </c>
      <c r="J508" s="19" t="s">
        <v>28</v>
      </c>
      <c r="K508" s="19" t="s">
        <v>5170</v>
      </c>
      <c r="L508" s="40"/>
    </row>
    <row r="509" ht="22.5" customHeight="1">
      <c r="C509" s="19" t="s">
        <v>8499</v>
      </c>
      <c r="D509" s="39" t="s">
        <v>8504</v>
      </c>
      <c r="E509" s="43" t="s">
        <v>8505</v>
      </c>
      <c r="F509" s="43" t="s">
        <v>8506</v>
      </c>
      <c r="G509" s="43" t="s">
        <v>5949</v>
      </c>
      <c r="H509" s="42" t="s">
        <v>8507</v>
      </c>
      <c r="I509" s="18">
        <f t="shared" si="2"/>
        <v>45971</v>
      </c>
      <c r="J509" s="19" t="s">
        <v>28</v>
      </c>
      <c r="K509" s="19" t="s">
        <v>5170</v>
      </c>
      <c r="L509" s="40"/>
    </row>
    <row r="510" ht="22.5" customHeight="1">
      <c r="C510" s="19" t="s">
        <v>8499</v>
      </c>
      <c r="D510" s="39" t="s">
        <v>8508</v>
      </c>
      <c r="E510" s="43" t="s">
        <v>8509</v>
      </c>
      <c r="F510" s="43" t="s">
        <v>1419</v>
      </c>
      <c r="G510" s="43" t="s">
        <v>5878</v>
      </c>
      <c r="H510" s="42" t="s">
        <v>8510</v>
      </c>
      <c r="I510" s="18">
        <f t="shared" si="2"/>
        <v>45971</v>
      </c>
      <c r="J510" s="19" t="s">
        <v>28</v>
      </c>
      <c r="K510" s="19" t="s">
        <v>5170</v>
      </c>
      <c r="L510" s="40"/>
    </row>
    <row r="511" ht="22.5" customHeight="1">
      <c r="C511" s="19" t="s">
        <v>8499</v>
      </c>
      <c r="D511" s="39" t="s">
        <v>8511</v>
      </c>
      <c r="E511" s="43" t="s">
        <v>8512</v>
      </c>
      <c r="F511" s="43" t="s">
        <v>8513</v>
      </c>
      <c r="G511" s="43" t="s">
        <v>5900</v>
      </c>
      <c r="H511" s="44">
        <v>7.184049101E9</v>
      </c>
      <c r="I511" s="18">
        <f t="shared" si="2"/>
        <v>45971</v>
      </c>
      <c r="J511" s="19" t="s">
        <v>28</v>
      </c>
      <c r="K511" s="19" t="s">
        <v>5170</v>
      </c>
      <c r="L511" s="40"/>
    </row>
    <row r="512" ht="22.5" customHeight="1">
      <c r="C512" s="19" t="s">
        <v>8499</v>
      </c>
      <c r="D512" s="39" t="s">
        <v>8514</v>
      </c>
      <c r="E512" s="43" t="s">
        <v>8515</v>
      </c>
      <c r="F512" s="43" t="s">
        <v>8516</v>
      </c>
      <c r="G512" s="43" t="s">
        <v>5957</v>
      </c>
      <c r="H512" s="42" t="s">
        <v>8517</v>
      </c>
      <c r="I512" s="18">
        <f t="shared" si="2"/>
        <v>45971</v>
      </c>
      <c r="J512" s="19" t="s">
        <v>28</v>
      </c>
      <c r="K512" s="19" t="s">
        <v>5170</v>
      </c>
      <c r="L512" s="40"/>
    </row>
    <row r="513" ht="22.5" customHeight="1">
      <c r="C513" s="19" t="s">
        <v>8499</v>
      </c>
      <c r="D513" s="39" t="s">
        <v>8518</v>
      </c>
      <c r="E513" s="43" t="s">
        <v>8519</v>
      </c>
      <c r="F513" s="43" t="s">
        <v>8520</v>
      </c>
      <c r="G513" s="43" t="s">
        <v>5973</v>
      </c>
      <c r="H513" s="42" t="s">
        <v>8521</v>
      </c>
      <c r="I513" s="18">
        <f t="shared" si="2"/>
        <v>45971</v>
      </c>
      <c r="J513" s="19" t="s">
        <v>28</v>
      </c>
      <c r="K513" s="19" t="s">
        <v>5170</v>
      </c>
      <c r="L513" s="40"/>
    </row>
    <row r="514" ht="22.5" customHeight="1">
      <c r="C514" s="19" t="s">
        <v>8499</v>
      </c>
      <c r="D514" s="39" t="s">
        <v>8522</v>
      </c>
      <c r="E514" s="43" t="s">
        <v>8523</v>
      </c>
      <c r="F514" s="43" t="s">
        <v>8524</v>
      </c>
      <c r="G514" s="43" t="s">
        <v>5929</v>
      </c>
      <c r="H514" s="42" t="s">
        <v>8525</v>
      </c>
      <c r="I514" s="18">
        <f t="shared" si="2"/>
        <v>45971</v>
      </c>
      <c r="J514" s="19" t="s">
        <v>28</v>
      </c>
      <c r="K514" s="19" t="s">
        <v>5170</v>
      </c>
      <c r="L514" s="40"/>
    </row>
    <row r="515" ht="22.5" customHeight="1">
      <c r="C515" s="19" t="s">
        <v>8499</v>
      </c>
      <c r="D515" s="39" t="s">
        <v>8526</v>
      </c>
      <c r="E515" s="43" t="s">
        <v>8527</v>
      </c>
      <c r="F515" s="43" t="s">
        <v>8528</v>
      </c>
      <c r="G515" s="43" t="s">
        <v>6004</v>
      </c>
      <c r="H515" s="42" t="s">
        <v>8529</v>
      </c>
      <c r="I515" s="18">
        <f t="shared" si="2"/>
        <v>45971</v>
      </c>
      <c r="J515" s="19" t="s">
        <v>28</v>
      </c>
      <c r="K515" s="19" t="s">
        <v>5170</v>
      </c>
      <c r="L515" s="40"/>
    </row>
    <row r="516" ht="22.5" customHeight="1">
      <c r="C516" s="19" t="s">
        <v>8499</v>
      </c>
      <c r="D516" s="39" t="s">
        <v>8530</v>
      </c>
      <c r="E516" s="43" t="s">
        <v>8531</v>
      </c>
      <c r="F516" s="43" t="s">
        <v>8532</v>
      </c>
      <c r="G516" s="43" t="s">
        <v>6422</v>
      </c>
      <c r="H516" s="44">
        <v>9.177238747E9</v>
      </c>
      <c r="I516" s="18">
        <f t="shared" si="2"/>
        <v>45971</v>
      </c>
      <c r="J516" s="19" t="s">
        <v>28</v>
      </c>
      <c r="K516" s="19" t="s">
        <v>5170</v>
      </c>
      <c r="L516" s="40"/>
    </row>
    <row r="517" ht="22.5" customHeight="1">
      <c r="C517" s="19" t="s">
        <v>8499</v>
      </c>
      <c r="D517" s="39" t="s">
        <v>8533</v>
      </c>
      <c r="E517" s="43" t="s">
        <v>353</v>
      </c>
      <c r="F517" s="43" t="s">
        <v>8534</v>
      </c>
      <c r="G517" s="43" t="s">
        <v>5939</v>
      </c>
      <c r="H517" s="44">
        <v>9.178376999E9</v>
      </c>
      <c r="I517" s="18">
        <f t="shared" si="2"/>
        <v>45971</v>
      </c>
      <c r="J517" s="19" t="s">
        <v>28</v>
      </c>
      <c r="K517" s="19" t="s">
        <v>5170</v>
      </c>
      <c r="L517" s="40"/>
    </row>
    <row r="518" ht="22.5" customHeight="1">
      <c r="C518" s="19" t="s">
        <v>8499</v>
      </c>
      <c r="D518" s="39" t="s">
        <v>8535</v>
      </c>
      <c r="E518" s="43" t="s">
        <v>8536</v>
      </c>
      <c r="F518" s="43" t="s">
        <v>8537</v>
      </c>
      <c r="G518" s="43" t="s">
        <v>5913</v>
      </c>
      <c r="H518" s="44">
        <v>9.176336372E9</v>
      </c>
      <c r="I518" s="18">
        <f t="shared" si="2"/>
        <v>45971</v>
      </c>
      <c r="J518" s="19" t="s">
        <v>28</v>
      </c>
      <c r="K518" s="19" t="s">
        <v>5170</v>
      </c>
      <c r="L518" s="40"/>
    </row>
    <row r="519" ht="22.5" customHeight="1">
      <c r="C519" s="19" t="s">
        <v>8499</v>
      </c>
      <c r="D519" s="39" t="s">
        <v>8538</v>
      </c>
      <c r="E519" s="43" t="s">
        <v>8539</v>
      </c>
      <c r="F519" s="43" t="s">
        <v>1419</v>
      </c>
      <c r="G519" s="43" t="s">
        <v>5878</v>
      </c>
      <c r="H519" s="44">
        <v>9.174146921E9</v>
      </c>
      <c r="I519" s="18">
        <f t="shared" si="2"/>
        <v>45971</v>
      </c>
      <c r="J519" s="19" t="s">
        <v>28</v>
      </c>
      <c r="K519" s="19" t="s">
        <v>5170</v>
      </c>
      <c r="L519" s="40"/>
    </row>
    <row r="520" ht="22.5" customHeight="1">
      <c r="C520" s="19" t="s">
        <v>8499</v>
      </c>
      <c r="D520" s="39" t="s">
        <v>8540</v>
      </c>
      <c r="E520" s="43" t="s">
        <v>8541</v>
      </c>
      <c r="F520" s="43" t="s">
        <v>8542</v>
      </c>
      <c r="G520" s="43" t="s">
        <v>5850</v>
      </c>
      <c r="H520" s="42" t="s">
        <v>8543</v>
      </c>
      <c r="I520" s="18">
        <f t="shared" si="2"/>
        <v>45971</v>
      </c>
      <c r="J520" s="19" t="s">
        <v>28</v>
      </c>
      <c r="K520" s="19" t="s">
        <v>5170</v>
      </c>
      <c r="L520" s="40"/>
    </row>
    <row r="521" ht="22.5" customHeight="1">
      <c r="C521" s="19" t="s">
        <v>8499</v>
      </c>
      <c r="D521" s="39" t="s">
        <v>8544</v>
      </c>
      <c r="E521" s="43" t="s">
        <v>8545</v>
      </c>
      <c r="F521" s="43" t="s">
        <v>8546</v>
      </c>
      <c r="G521" s="43" t="s">
        <v>5878</v>
      </c>
      <c r="H521" s="44">
        <v>3.474239483E9</v>
      </c>
      <c r="I521" s="18">
        <f t="shared" si="2"/>
        <v>45971</v>
      </c>
      <c r="J521" s="19" t="s">
        <v>28</v>
      </c>
      <c r="K521" s="19" t="s">
        <v>5170</v>
      </c>
      <c r="L521" s="40"/>
    </row>
    <row r="522" ht="22.5" customHeight="1">
      <c r="C522" s="19" t="s">
        <v>8499</v>
      </c>
      <c r="D522" s="39" t="s">
        <v>8547</v>
      </c>
      <c r="E522" s="43" t="s">
        <v>8548</v>
      </c>
      <c r="F522" s="43" t="s">
        <v>8549</v>
      </c>
      <c r="G522" s="43" t="s">
        <v>5870</v>
      </c>
      <c r="H522" s="42" t="s">
        <v>8550</v>
      </c>
      <c r="I522" s="18">
        <f t="shared" si="2"/>
        <v>45971</v>
      </c>
      <c r="J522" s="19" t="s">
        <v>28</v>
      </c>
      <c r="K522" s="19" t="s">
        <v>5170</v>
      </c>
      <c r="L522" s="40"/>
    </row>
    <row r="523" ht="22.5" customHeight="1">
      <c r="C523" s="19" t="s">
        <v>8499</v>
      </c>
      <c r="D523" s="39" t="s">
        <v>8551</v>
      </c>
      <c r="E523" s="43" t="s">
        <v>8552</v>
      </c>
      <c r="F523" s="43" t="s">
        <v>8553</v>
      </c>
      <c r="G523" s="43" t="s">
        <v>6874</v>
      </c>
      <c r="H523" s="44">
        <v>9.172394533E9</v>
      </c>
      <c r="I523" s="18">
        <f t="shared" si="2"/>
        <v>45971</v>
      </c>
      <c r="J523" s="19" t="s">
        <v>28</v>
      </c>
      <c r="K523" s="19" t="s">
        <v>5170</v>
      </c>
      <c r="L523" s="40"/>
    </row>
    <row r="524" ht="22.5" customHeight="1">
      <c r="C524" s="19" t="s">
        <v>8499</v>
      </c>
      <c r="D524" s="39" t="s">
        <v>8554</v>
      </c>
      <c r="E524" s="43" t="s">
        <v>8555</v>
      </c>
      <c r="F524" s="43" t="s">
        <v>8556</v>
      </c>
      <c r="G524" s="43" t="s">
        <v>7398</v>
      </c>
      <c r="H524" s="44">
        <v>6.464501501E9</v>
      </c>
      <c r="I524" s="18">
        <f t="shared" si="2"/>
        <v>45971</v>
      </c>
      <c r="J524" s="19" t="s">
        <v>28</v>
      </c>
      <c r="K524" s="19" t="s">
        <v>5170</v>
      </c>
      <c r="L524" s="40"/>
    </row>
    <row r="525" ht="22.5" customHeight="1">
      <c r="C525" s="19" t="s">
        <v>8557</v>
      </c>
      <c r="D525" s="39" t="s">
        <v>8558</v>
      </c>
      <c r="E525" s="43" t="s">
        <v>8559</v>
      </c>
      <c r="F525" s="43" t="s">
        <v>8560</v>
      </c>
      <c r="G525" s="43" t="s">
        <v>5862</v>
      </c>
      <c r="H525" s="42" t="s">
        <v>8561</v>
      </c>
      <c r="I525" s="18">
        <f t="shared" si="2"/>
        <v>45971</v>
      </c>
      <c r="J525" s="19" t="s">
        <v>28</v>
      </c>
      <c r="K525" s="19" t="s">
        <v>5170</v>
      </c>
      <c r="L525" s="40"/>
    </row>
    <row r="526" ht="22.5" customHeight="1">
      <c r="C526" s="19" t="s">
        <v>8557</v>
      </c>
      <c r="D526" s="39" t="s">
        <v>8562</v>
      </c>
      <c r="E526" s="43" t="s">
        <v>8563</v>
      </c>
      <c r="F526" s="43" t="s">
        <v>8564</v>
      </c>
      <c r="G526" s="43" t="s">
        <v>5874</v>
      </c>
      <c r="H526" s="42" t="s">
        <v>8565</v>
      </c>
      <c r="I526" s="18">
        <f t="shared" si="2"/>
        <v>45971</v>
      </c>
      <c r="J526" s="19" t="s">
        <v>28</v>
      </c>
      <c r="K526" s="19" t="s">
        <v>5170</v>
      </c>
      <c r="L526" s="40"/>
    </row>
    <row r="527" ht="22.5" customHeight="1">
      <c r="C527" s="19" t="s">
        <v>8557</v>
      </c>
      <c r="D527" s="39" t="s">
        <v>8566</v>
      </c>
      <c r="E527" s="43" t="s">
        <v>8567</v>
      </c>
      <c r="F527" s="43" t="s">
        <v>8568</v>
      </c>
      <c r="G527" s="43" t="s">
        <v>7398</v>
      </c>
      <c r="H527" s="42" t="s">
        <v>8569</v>
      </c>
      <c r="I527" s="18">
        <f t="shared" si="2"/>
        <v>45971</v>
      </c>
      <c r="J527" s="19" t="s">
        <v>28</v>
      </c>
      <c r="K527" s="19" t="s">
        <v>5170</v>
      </c>
      <c r="L527" s="40"/>
    </row>
    <row r="528" ht="22.5" customHeight="1">
      <c r="C528" s="19" t="s">
        <v>8557</v>
      </c>
      <c r="D528" s="39" t="s">
        <v>8570</v>
      </c>
      <c r="E528" s="43" t="s">
        <v>8571</v>
      </c>
      <c r="F528" s="43" t="s">
        <v>8572</v>
      </c>
      <c r="G528" s="43" t="s">
        <v>5878</v>
      </c>
      <c r="H528" s="44">
        <v>2.627580947E9</v>
      </c>
      <c r="I528" s="18">
        <f t="shared" si="2"/>
        <v>45971</v>
      </c>
      <c r="J528" s="19" t="s">
        <v>28</v>
      </c>
      <c r="K528" s="19" t="s">
        <v>5170</v>
      </c>
      <c r="L528" s="40"/>
    </row>
    <row r="529" ht="22.5" customHeight="1">
      <c r="C529" s="19" t="s">
        <v>8557</v>
      </c>
      <c r="D529" s="39" t="s">
        <v>8573</v>
      </c>
      <c r="E529" s="43" t="s">
        <v>8574</v>
      </c>
      <c r="F529" s="43" t="s">
        <v>8575</v>
      </c>
      <c r="G529" s="43" t="s">
        <v>5820</v>
      </c>
      <c r="H529" s="42" t="s">
        <v>182</v>
      </c>
      <c r="I529" s="18">
        <f t="shared" si="2"/>
        <v>45971</v>
      </c>
      <c r="J529" s="19" t="s">
        <v>28</v>
      </c>
      <c r="K529" s="19" t="s">
        <v>5170</v>
      </c>
      <c r="L529" s="40"/>
    </row>
    <row r="530" ht="22.5" customHeight="1">
      <c r="C530" s="19" t="s">
        <v>8557</v>
      </c>
      <c r="D530" s="39" t="s">
        <v>8576</v>
      </c>
      <c r="E530" s="43" t="s">
        <v>8577</v>
      </c>
      <c r="F530" s="43" t="s">
        <v>8578</v>
      </c>
      <c r="G530" s="43" t="s">
        <v>5934</v>
      </c>
      <c r="H530" s="42" t="s">
        <v>8579</v>
      </c>
      <c r="I530" s="18">
        <f t="shared" si="2"/>
        <v>45971</v>
      </c>
      <c r="J530" s="19" t="s">
        <v>28</v>
      </c>
      <c r="K530" s="19" t="s">
        <v>5170</v>
      </c>
      <c r="L530" s="40"/>
    </row>
    <row r="531" ht="22.5" customHeight="1">
      <c r="C531" s="19" t="s">
        <v>8557</v>
      </c>
      <c r="D531" s="39" t="s">
        <v>8580</v>
      </c>
      <c r="E531" s="43" t="s">
        <v>8581</v>
      </c>
      <c r="F531" s="43" t="s">
        <v>8582</v>
      </c>
      <c r="G531" s="43" t="s">
        <v>8583</v>
      </c>
      <c r="H531" s="44">
        <v>2.126838104E9</v>
      </c>
      <c r="I531" s="18">
        <f t="shared" si="2"/>
        <v>45971</v>
      </c>
      <c r="J531" s="19" t="s">
        <v>28</v>
      </c>
      <c r="K531" s="19" t="s">
        <v>5170</v>
      </c>
      <c r="L531" s="40"/>
    </row>
    <row r="532" ht="22.5" customHeight="1">
      <c r="C532" s="19" t="s">
        <v>8557</v>
      </c>
      <c r="D532" s="39" t="s">
        <v>8584</v>
      </c>
      <c r="E532" s="43" t="s">
        <v>8585</v>
      </c>
      <c r="F532" s="43" t="s">
        <v>8586</v>
      </c>
      <c r="G532" s="43" t="s">
        <v>5834</v>
      </c>
      <c r="H532" s="42" t="s">
        <v>8587</v>
      </c>
      <c r="I532" s="18">
        <f t="shared" si="2"/>
        <v>45971</v>
      </c>
      <c r="J532" s="19" t="s">
        <v>28</v>
      </c>
      <c r="K532" s="19" t="s">
        <v>5170</v>
      </c>
      <c r="L532" s="40"/>
    </row>
    <row r="533" ht="22.5" customHeight="1">
      <c r="C533" s="19" t="s">
        <v>8557</v>
      </c>
      <c r="D533" s="39" t="s">
        <v>8588</v>
      </c>
      <c r="E533" s="43" t="s">
        <v>8589</v>
      </c>
      <c r="F533" s="43" t="s">
        <v>8590</v>
      </c>
      <c r="G533" s="43" t="s">
        <v>6459</v>
      </c>
      <c r="H533" s="44">
        <v>2.013204373E9</v>
      </c>
      <c r="I533" s="18">
        <f t="shared" si="2"/>
        <v>45971</v>
      </c>
      <c r="J533" s="19" t="s">
        <v>28</v>
      </c>
      <c r="K533" s="19" t="s">
        <v>5170</v>
      </c>
      <c r="L533" s="40"/>
    </row>
    <row r="534" ht="22.5" customHeight="1">
      <c r="C534" s="19" t="s">
        <v>8557</v>
      </c>
      <c r="D534" s="39" t="s">
        <v>8591</v>
      </c>
      <c r="E534" s="43" t="s">
        <v>8592</v>
      </c>
      <c r="F534" s="43" t="s">
        <v>8593</v>
      </c>
      <c r="G534" s="43" t="s">
        <v>5957</v>
      </c>
      <c r="H534" s="42" t="s">
        <v>8594</v>
      </c>
      <c r="I534" s="18">
        <f t="shared" si="2"/>
        <v>45971</v>
      </c>
      <c r="J534" s="19" t="s">
        <v>28</v>
      </c>
      <c r="K534" s="19" t="s">
        <v>5170</v>
      </c>
      <c r="L534" s="40"/>
    </row>
    <row r="535" ht="22.5" customHeight="1">
      <c r="C535" s="19" t="s">
        <v>8557</v>
      </c>
      <c r="D535" s="39" t="s">
        <v>8595</v>
      </c>
      <c r="E535" s="43" t="s">
        <v>8596</v>
      </c>
      <c r="F535" s="43" t="s">
        <v>8597</v>
      </c>
      <c r="G535" s="43" t="s">
        <v>6063</v>
      </c>
      <c r="H535" s="42" t="s">
        <v>8598</v>
      </c>
      <c r="I535" s="18">
        <f t="shared" si="2"/>
        <v>45971</v>
      </c>
      <c r="J535" s="19" t="s">
        <v>28</v>
      </c>
      <c r="K535" s="19" t="s">
        <v>5170</v>
      </c>
      <c r="L535" s="40"/>
    </row>
    <row r="536" ht="22.5" customHeight="1">
      <c r="C536" s="19" t="s">
        <v>8557</v>
      </c>
      <c r="D536" s="39" t="s">
        <v>8599</v>
      </c>
      <c r="E536" s="43" t="s">
        <v>8600</v>
      </c>
      <c r="F536" s="43" t="s">
        <v>8601</v>
      </c>
      <c r="G536" s="43" t="s">
        <v>6232</v>
      </c>
      <c r="H536" s="44">
        <v>2.129860999E9</v>
      </c>
      <c r="I536" s="18">
        <f t="shared" si="2"/>
        <v>45971</v>
      </c>
      <c r="J536" s="19" t="s">
        <v>28</v>
      </c>
      <c r="K536" s="19" t="s">
        <v>5170</v>
      </c>
      <c r="L536" s="40"/>
    </row>
    <row r="537" ht="22.5" customHeight="1">
      <c r="C537" s="19" t="s">
        <v>8557</v>
      </c>
      <c r="D537" s="39" t="s">
        <v>8602</v>
      </c>
      <c r="E537" s="43" t="s">
        <v>8603</v>
      </c>
      <c r="F537" s="43" t="s">
        <v>8604</v>
      </c>
      <c r="G537" s="43" t="s">
        <v>5882</v>
      </c>
      <c r="H537" s="42" t="s">
        <v>8605</v>
      </c>
      <c r="I537" s="18">
        <f t="shared" si="2"/>
        <v>45971</v>
      </c>
      <c r="J537" s="19" t="s">
        <v>28</v>
      </c>
      <c r="K537" s="19" t="s">
        <v>5170</v>
      </c>
      <c r="L537" s="40"/>
    </row>
    <row r="538" ht="22.5" customHeight="1">
      <c r="C538" s="19" t="s">
        <v>8557</v>
      </c>
      <c r="D538" s="39" t="s">
        <v>8606</v>
      </c>
      <c r="E538" s="43" t="s">
        <v>8607</v>
      </c>
      <c r="F538" s="43" t="s">
        <v>8608</v>
      </c>
      <c r="G538" s="43" t="s">
        <v>5929</v>
      </c>
      <c r="H538" s="42" t="s">
        <v>8609</v>
      </c>
      <c r="I538" s="18">
        <f t="shared" si="2"/>
        <v>45971</v>
      </c>
      <c r="J538" s="19" t="s">
        <v>28</v>
      </c>
      <c r="K538" s="19" t="s">
        <v>5170</v>
      </c>
      <c r="L538" s="40"/>
    </row>
    <row r="539" ht="22.5" customHeight="1">
      <c r="C539" s="19" t="s">
        <v>8557</v>
      </c>
      <c r="D539" s="39" t="s">
        <v>8610</v>
      </c>
      <c r="E539" s="43" t="s">
        <v>8611</v>
      </c>
      <c r="F539" s="43" t="s">
        <v>8612</v>
      </c>
      <c r="G539" s="43" t="s">
        <v>5949</v>
      </c>
      <c r="H539" s="42" t="s">
        <v>8613</v>
      </c>
      <c r="I539" s="18">
        <f t="shared" si="2"/>
        <v>45971</v>
      </c>
      <c r="J539" s="19" t="s">
        <v>28</v>
      </c>
      <c r="K539" s="19" t="s">
        <v>5170</v>
      </c>
      <c r="L539" s="40"/>
    </row>
    <row r="540" ht="22.5" customHeight="1">
      <c r="C540" s="19" t="s">
        <v>8557</v>
      </c>
      <c r="D540" s="39" t="s">
        <v>8614</v>
      </c>
      <c r="E540" s="43" t="s">
        <v>8615</v>
      </c>
      <c r="F540" s="43" t="s">
        <v>8616</v>
      </c>
      <c r="G540" s="43" t="s">
        <v>6004</v>
      </c>
      <c r="H540" s="44">
        <v>6.319887999E9</v>
      </c>
      <c r="I540" s="18">
        <f t="shared" si="2"/>
        <v>45971</v>
      </c>
      <c r="J540" s="19" t="s">
        <v>28</v>
      </c>
      <c r="K540" s="19" t="s">
        <v>5170</v>
      </c>
      <c r="L540" s="40"/>
    </row>
    <row r="541" ht="22.5" customHeight="1">
      <c r="C541" s="19" t="s">
        <v>8617</v>
      </c>
      <c r="D541" s="39" t="s">
        <v>8618</v>
      </c>
      <c r="E541" s="43" t="s">
        <v>8619</v>
      </c>
      <c r="F541" s="43" t="s">
        <v>8620</v>
      </c>
      <c r="G541" s="43" t="s">
        <v>5908</v>
      </c>
      <c r="H541" s="44">
        <v>7.162007821E9</v>
      </c>
      <c r="I541" s="18">
        <f t="shared" si="2"/>
        <v>45971</v>
      </c>
      <c r="J541" s="19" t="s">
        <v>28</v>
      </c>
      <c r="K541" s="19" t="s">
        <v>5170</v>
      </c>
      <c r="L541" s="40"/>
    </row>
    <row r="542" ht="22.5" customHeight="1">
      <c r="C542" s="19" t="s">
        <v>8617</v>
      </c>
      <c r="D542" s="39" t="s">
        <v>8621</v>
      </c>
      <c r="E542" s="43" t="s">
        <v>8622</v>
      </c>
      <c r="F542" s="43" t="s">
        <v>8623</v>
      </c>
      <c r="G542" s="43" t="s">
        <v>5929</v>
      </c>
      <c r="H542" s="42" t="s">
        <v>8624</v>
      </c>
      <c r="I542" s="18">
        <f t="shared" si="2"/>
        <v>45971</v>
      </c>
      <c r="J542" s="19" t="s">
        <v>28</v>
      </c>
      <c r="K542" s="19" t="s">
        <v>5170</v>
      </c>
      <c r="L542" s="40"/>
    </row>
    <row r="543" ht="22.5" customHeight="1">
      <c r="C543" s="19" t="s">
        <v>8617</v>
      </c>
      <c r="D543" s="39" t="s">
        <v>8625</v>
      </c>
      <c r="E543" s="43" t="s">
        <v>8626</v>
      </c>
      <c r="F543" s="43" t="s">
        <v>8627</v>
      </c>
      <c r="G543" s="43" t="s">
        <v>6548</v>
      </c>
      <c r="H543" s="44">
        <v>9.14213443E9</v>
      </c>
      <c r="I543" s="18">
        <f t="shared" si="2"/>
        <v>45971</v>
      </c>
      <c r="J543" s="19" t="s">
        <v>28</v>
      </c>
      <c r="K543" s="19" t="s">
        <v>5170</v>
      </c>
      <c r="L543" s="40"/>
    </row>
    <row r="544" ht="22.5" customHeight="1">
      <c r="C544" s="19" t="s">
        <v>8617</v>
      </c>
      <c r="D544" s="39" t="s">
        <v>8628</v>
      </c>
      <c r="E544" s="43" t="s">
        <v>8629</v>
      </c>
      <c r="F544" s="43" t="s">
        <v>1419</v>
      </c>
      <c r="G544" s="43" t="s">
        <v>8630</v>
      </c>
      <c r="H544" s="44">
        <v>9.177675367E9</v>
      </c>
      <c r="I544" s="18">
        <f t="shared" si="2"/>
        <v>45971</v>
      </c>
      <c r="J544" s="19" t="s">
        <v>28</v>
      </c>
      <c r="K544" s="19" t="s">
        <v>5170</v>
      </c>
      <c r="L544" s="4"/>
    </row>
    <row r="545" ht="22.5" customHeight="1">
      <c r="C545" s="19" t="s">
        <v>8617</v>
      </c>
      <c r="D545" s="39" t="s">
        <v>8631</v>
      </c>
      <c r="E545" s="43" t="s">
        <v>8632</v>
      </c>
      <c r="F545" s="43" t="s">
        <v>8633</v>
      </c>
      <c r="G545" s="43" t="s">
        <v>6004</v>
      </c>
      <c r="H545" s="42" t="s">
        <v>8634</v>
      </c>
      <c r="I545" s="18">
        <f t="shared" si="2"/>
        <v>45971</v>
      </c>
      <c r="J545" s="19" t="s">
        <v>28</v>
      </c>
      <c r="K545" s="19" t="s">
        <v>5170</v>
      </c>
      <c r="L545" s="40"/>
    </row>
    <row r="546" ht="22.5" customHeight="1">
      <c r="C546" s="19" t="s">
        <v>8617</v>
      </c>
      <c r="D546" s="39" t="s">
        <v>8635</v>
      </c>
      <c r="E546" s="43" t="s">
        <v>8636</v>
      </c>
      <c r="F546" s="43" t="s">
        <v>8637</v>
      </c>
      <c r="G546" s="43" t="s">
        <v>6063</v>
      </c>
      <c r="H546" s="44">
        <v>2.123621197E9</v>
      </c>
      <c r="I546" s="18">
        <f t="shared" si="2"/>
        <v>45971</v>
      </c>
      <c r="J546" s="19" t="s">
        <v>28</v>
      </c>
      <c r="K546" s="19" t="s">
        <v>5170</v>
      </c>
      <c r="L546" s="40"/>
    </row>
    <row r="547" ht="22.5" customHeight="1">
      <c r="C547" s="19" t="s">
        <v>8617</v>
      </c>
      <c r="D547" s="39" t="s">
        <v>8638</v>
      </c>
      <c r="E547" s="43" t="s">
        <v>8639</v>
      </c>
      <c r="F547" s="43" t="s">
        <v>182</v>
      </c>
      <c r="G547" s="43" t="s">
        <v>8640</v>
      </c>
      <c r="H547" s="42" t="s">
        <v>8641</v>
      </c>
      <c r="I547" s="18">
        <f t="shared" si="2"/>
        <v>45971</v>
      </c>
      <c r="J547" s="19" t="s">
        <v>28</v>
      </c>
      <c r="K547" s="19" t="s">
        <v>5170</v>
      </c>
      <c r="L547" s="40"/>
    </row>
    <row r="548" ht="22.5" customHeight="1">
      <c r="C548" s="19" t="s">
        <v>8617</v>
      </c>
      <c r="D548" s="39" t="s">
        <v>8642</v>
      </c>
      <c r="E548" s="43" t="s">
        <v>8643</v>
      </c>
      <c r="F548" s="43" t="s">
        <v>6797</v>
      </c>
      <c r="G548" s="43" t="s">
        <v>5834</v>
      </c>
      <c r="H548" s="44">
        <v>2.125740342E9</v>
      </c>
      <c r="I548" s="18">
        <f t="shared" si="2"/>
        <v>45971</v>
      </c>
      <c r="J548" s="19" t="s">
        <v>28</v>
      </c>
      <c r="K548" s="19" t="s">
        <v>5170</v>
      </c>
      <c r="L548" s="40"/>
    </row>
    <row r="549" ht="22.5" customHeight="1">
      <c r="C549" s="19" t="s">
        <v>8617</v>
      </c>
      <c r="D549" s="39" t="s">
        <v>8644</v>
      </c>
      <c r="E549" s="43" t="s">
        <v>8645</v>
      </c>
      <c r="F549" s="43" t="s">
        <v>8646</v>
      </c>
      <c r="G549" s="43" t="s">
        <v>5949</v>
      </c>
      <c r="H549" s="44">
        <v>9.176562564E9</v>
      </c>
      <c r="I549" s="18">
        <f t="shared" si="2"/>
        <v>45971</v>
      </c>
      <c r="J549" s="19" t="s">
        <v>28</v>
      </c>
      <c r="K549" s="19" t="s">
        <v>5170</v>
      </c>
      <c r="L549" s="40"/>
    </row>
    <row r="550" ht="22.5" customHeight="1">
      <c r="C550" s="19" t="s">
        <v>8617</v>
      </c>
      <c r="D550" s="39" t="s">
        <v>8647</v>
      </c>
      <c r="E550" s="43" t="s">
        <v>8648</v>
      </c>
      <c r="F550" s="43" t="s">
        <v>8649</v>
      </c>
      <c r="G550" s="43" t="s">
        <v>6181</v>
      </c>
      <c r="H550" s="42" t="s">
        <v>8650</v>
      </c>
      <c r="I550" s="18">
        <f t="shared" si="2"/>
        <v>45971</v>
      </c>
      <c r="J550" s="19" t="s">
        <v>28</v>
      </c>
      <c r="K550" s="19" t="s">
        <v>5170</v>
      </c>
      <c r="L550" s="40"/>
    </row>
    <row r="551" ht="22.5" customHeight="1">
      <c r="C551" s="19" t="s">
        <v>8617</v>
      </c>
      <c r="D551" s="39" t="s">
        <v>8651</v>
      </c>
      <c r="E551" s="43" t="s">
        <v>8652</v>
      </c>
      <c r="F551" s="43" t="s">
        <v>8653</v>
      </c>
      <c r="G551" s="43" t="s">
        <v>5878</v>
      </c>
      <c r="H551" s="44">
        <v>9.175433966E9</v>
      </c>
      <c r="I551" s="18">
        <f t="shared" si="2"/>
        <v>45971</v>
      </c>
      <c r="J551" s="19" t="s">
        <v>28</v>
      </c>
      <c r="K551" s="19" t="s">
        <v>5170</v>
      </c>
      <c r="L551" s="40"/>
    </row>
    <row r="552" ht="22.5" customHeight="1">
      <c r="C552" s="19" t="s">
        <v>8617</v>
      </c>
      <c r="D552" s="39" t="s">
        <v>8654</v>
      </c>
      <c r="E552" s="43" t="s">
        <v>8655</v>
      </c>
      <c r="F552" s="43" t="s">
        <v>8656</v>
      </c>
      <c r="G552" s="43" t="s">
        <v>6063</v>
      </c>
      <c r="H552" s="42" t="s">
        <v>8657</v>
      </c>
      <c r="I552" s="18">
        <f t="shared" si="2"/>
        <v>45971</v>
      </c>
      <c r="J552" s="19" t="s">
        <v>28</v>
      </c>
      <c r="K552" s="19" t="s">
        <v>5170</v>
      </c>
      <c r="L552" s="40"/>
    </row>
    <row r="553" ht="22.5" customHeight="1">
      <c r="C553" s="19" t="s">
        <v>8617</v>
      </c>
      <c r="D553" s="39" t="s">
        <v>8658</v>
      </c>
      <c r="E553" s="43" t="s">
        <v>8659</v>
      </c>
      <c r="F553" s="43" t="s">
        <v>1419</v>
      </c>
      <c r="G553" s="43" t="s">
        <v>5878</v>
      </c>
      <c r="H553" s="42" t="s">
        <v>8660</v>
      </c>
      <c r="I553" s="18">
        <f t="shared" si="2"/>
        <v>45971</v>
      </c>
      <c r="J553" s="19" t="s">
        <v>28</v>
      </c>
      <c r="K553" s="19" t="s">
        <v>5170</v>
      </c>
      <c r="L553" s="40"/>
    </row>
    <row r="554" ht="22.5" customHeight="1">
      <c r="C554" s="19" t="s">
        <v>8617</v>
      </c>
      <c r="D554" s="39" t="s">
        <v>8661</v>
      </c>
      <c r="E554" s="43" t="s">
        <v>8662</v>
      </c>
      <c r="F554" s="43" t="s">
        <v>8663</v>
      </c>
      <c r="G554" s="43" t="s">
        <v>5957</v>
      </c>
      <c r="H554" s="42" t="s">
        <v>8664</v>
      </c>
      <c r="I554" s="18">
        <f t="shared" si="2"/>
        <v>45971</v>
      </c>
      <c r="J554" s="19" t="s">
        <v>28</v>
      </c>
      <c r="K554" s="19" t="s">
        <v>5170</v>
      </c>
      <c r="L554" s="40"/>
    </row>
    <row r="555" ht="22.5" customHeight="1">
      <c r="C555" s="19" t="s">
        <v>8617</v>
      </c>
      <c r="D555" s="39" t="s">
        <v>8665</v>
      </c>
      <c r="E555" s="43" t="s">
        <v>8666</v>
      </c>
      <c r="F555" s="43" t="s">
        <v>8667</v>
      </c>
      <c r="G555" s="43" t="s">
        <v>5900</v>
      </c>
      <c r="H555" s="42" t="s">
        <v>8668</v>
      </c>
      <c r="I555" s="18">
        <f t="shared" si="2"/>
        <v>45971</v>
      </c>
      <c r="J555" s="19" t="s">
        <v>28</v>
      </c>
      <c r="K555" s="19" t="s">
        <v>5170</v>
      </c>
      <c r="L555" s="40"/>
    </row>
    <row r="556" ht="22.5" customHeight="1">
      <c r="C556" s="19" t="s">
        <v>8617</v>
      </c>
      <c r="D556" s="39" t="s">
        <v>8669</v>
      </c>
      <c r="E556" s="43" t="s">
        <v>8670</v>
      </c>
      <c r="F556" s="43" t="s">
        <v>4286</v>
      </c>
      <c r="G556" s="43" t="s">
        <v>5866</v>
      </c>
      <c r="H556" s="42" t="s">
        <v>8671</v>
      </c>
      <c r="I556" s="18">
        <f t="shared" si="2"/>
        <v>45971</v>
      </c>
      <c r="J556" s="19" t="s">
        <v>28</v>
      </c>
      <c r="K556" s="19" t="s">
        <v>5170</v>
      </c>
      <c r="L556" s="40"/>
    </row>
    <row r="557" ht="22.5" customHeight="1">
      <c r="C557" s="19" t="s">
        <v>8617</v>
      </c>
      <c r="D557" s="39" t="s">
        <v>8672</v>
      </c>
      <c r="E557" s="43" t="s">
        <v>8673</v>
      </c>
      <c r="F557" s="43" t="s">
        <v>8674</v>
      </c>
      <c r="G557" s="43" t="s">
        <v>6459</v>
      </c>
      <c r="H557" s="44">
        <v>6.467085853E9</v>
      </c>
      <c r="I557" s="18">
        <f t="shared" si="2"/>
        <v>45971</v>
      </c>
      <c r="J557" s="19" t="s">
        <v>28</v>
      </c>
      <c r="K557" s="19" t="s">
        <v>5170</v>
      </c>
      <c r="L557" s="40"/>
    </row>
    <row r="558" ht="22.5" customHeight="1">
      <c r="C558" s="19" t="s">
        <v>8675</v>
      </c>
      <c r="D558" s="39" t="s">
        <v>8676</v>
      </c>
      <c r="E558" s="43" t="s">
        <v>8677</v>
      </c>
      <c r="F558" s="43" t="s">
        <v>8678</v>
      </c>
      <c r="G558" s="43" t="s">
        <v>8679</v>
      </c>
      <c r="H558" s="44">
        <v>9.148040073E9</v>
      </c>
      <c r="I558" s="18">
        <f t="shared" si="2"/>
        <v>45971</v>
      </c>
      <c r="J558" s="19" t="s">
        <v>28</v>
      </c>
      <c r="K558" s="19" t="s">
        <v>5170</v>
      </c>
      <c r="L558" s="4"/>
    </row>
    <row r="559" ht="22.5" customHeight="1">
      <c r="C559" s="19" t="s">
        <v>8675</v>
      </c>
      <c r="D559" s="39" t="s">
        <v>8676</v>
      </c>
      <c r="E559" s="43" t="s">
        <v>8680</v>
      </c>
      <c r="F559" s="43" t="s">
        <v>8681</v>
      </c>
      <c r="G559" s="43" t="s">
        <v>6459</v>
      </c>
      <c r="H559" s="44">
        <v>3.479440064E9</v>
      </c>
      <c r="I559" s="18">
        <f t="shared" si="2"/>
        <v>45971</v>
      </c>
      <c r="J559" s="19" t="s">
        <v>28</v>
      </c>
      <c r="K559" s="19" t="s">
        <v>5170</v>
      </c>
      <c r="L559" s="40"/>
    </row>
    <row r="560" ht="22.5" customHeight="1">
      <c r="C560" s="19" t="s">
        <v>8675</v>
      </c>
      <c r="D560" s="39" t="s">
        <v>8676</v>
      </c>
      <c r="E560" s="43" t="s">
        <v>8682</v>
      </c>
      <c r="F560" s="43" t="s">
        <v>8683</v>
      </c>
      <c r="G560" s="43" t="s">
        <v>7039</v>
      </c>
      <c r="H560" s="42" t="s">
        <v>8684</v>
      </c>
      <c r="I560" s="18">
        <f t="shared" si="2"/>
        <v>45971</v>
      </c>
      <c r="J560" s="19" t="s">
        <v>28</v>
      </c>
      <c r="K560" s="19" t="s">
        <v>5170</v>
      </c>
      <c r="L560" s="40"/>
    </row>
    <row r="561" ht="22.5" customHeight="1">
      <c r="C561" s="19" t="s">
        <v>8675</v>
      </c>
      <c r="D561" s="39" t="s">
        <v>8676</v>
      </c>
      <c r="E561" s="43" t="s">
        <v>8685</v>
      </c>
      <c r="F561" s="43" t="s">
        <v>8686</v>
      </c>
      <c r="G561" s="43" t="s">
        <v>5878</v>
      </c>
      <c r="H561" s="42" t="s">
        <v>8687</v>
      </c>
      <c r="I561" s="18">
        <f t="shared" si="2"/>
        <v>45971</v>
      </c>
      <c r="J561" s="19" t="s">
        <v>28</v>
      </c>
      <c r="K561" s="19" t="s">
        <v>5170</v>
      </c>
      <c r="L561" s="40"/>
    </row>
    <row r="562" ht="22.5" customHeight="1">
      <c r="C562" s="19" t="s">
        <v>8675</v>
      </c>
      <c r="D562" s="39" t="s">
        <v>8676</v>
      </c>
      <c r="E562" s="43" t="s">
        <v>8688</v>
      </c>
      <c r="F562" s="43" t="s">
        <v>8689</v>
      </c>
      <c r="G562" s="43" t="s">
        <v>6902</v>
      </c>
      <c r="H562" s="44">
        <v>3.479224622E9</v>
      </c>
      <c r="I562" s="18">
        <f t="shared" si="2"/>
        <v>45971</v>
      </c>
      <c r="J562" s="19" t="s">
        <v>28</v>
      </c>
      <c r="K562" s="19" t="s">
        <v>5170</v>
      </c>
      <c r="L562" s="40"/>
    </row>
    <row r="563" ht="22.5" customHeight="1">
      <c r="C563" s="19" t="s">
        <v>8675</v>
      </c>
      <c r="D563" s="39" t="s">
        <v>8676</v>
      </c>
      <c r="E563" s="43" t="s">
        <v>8690</v>
      </c>
      <c r="F563" s="43" t="s">
        <v>8691</v>
      </c>
      <c r="G563" s="43" t="s">
        <v>5878</v>
      </c>
      <c r="H563" s="42" t="s">
        <v>8692</v>
      </c>
      <c r="I563" s="18">
        <f t="shared" si="2"/>
        <v>45971</v>
      </c>
      <c r="J563" s="19" t="s">
        <v>28</v>
      </c>
      <c r="K563" s="19" t="s">
        <v>5170</v>
      </c>
      <c r="L563" s="40"/>
    </row>
    <row r="564" ht="22.5" customHeight="1">
      <c r="C564" s="19" t="s">
        <v>8675</v>
      </c>
      <c r="D564" s="39" t="s">
        <v>8676</v>
      </c>
      <c r="E564" s="43" t="s">
        <v>8693</v>
      </c>
      <c r="F564" s="43" t="s">
        <v>8694</v>
      </c>
      <c r="G564" s="43" t="s">
        <v>5949</v>
      </c>
      <c r="H564" s="42" t="s">
        <v>8695</v>
      </c>
      <c r="I564" s="18">
        <f t="shared" si="2"/>
        <v>45971</v>
      </c>
      <c r="J564" s="19" t="s">
        <v>28</v>
      </c>
      <c r="K564" s="19" t="s">
        <v>5170</v>
      </c>
      <c r="L564" s="40"/>
    </row>
    <row r="565" ht="22.5" customHeight="1">
      <c r="C565" s="19" t="s">
        <v>8675</v>
      </c>
      <c r="D565" s="39" t="s">
        <v>8676</v>
      </c>
      <c r="E565" s="43" t="s">
        <v>8696</v>
      </c>
      <c r="F565" s="43" t="s">
        <v>8697</v>
      </c>
      <c r="G565" s="43" t="s">
        <v>5878</v>
      </c>
      <c r="H565" s="42" t="s">
        <v>8698</v>
      </c>
      <c r="I565" s="18">
        <f t="shared" si="2"/>
        <v>45971</v>
      </c>
      <c r="J565" s="19" t="s">
        <v>28</v>
      </c>
      <c r="K565" s="19" t="s">
        <v>5170</v>
      </c>
      <c r="L565" s="40"/>
    </row>
    <row r="566" ht="22.5" customHeight="1">
      <c r="C566" s="19" t="s">
        <v>8675</v>
      </c>
      <c r="D566" s="39" t="s">
        <v>8676</v>
      </c>
      <c r="E566" s="43" t="s">
        <v>8699</v>
      </c>
      <c r="F566" s="43" t="s">
        <v>8700</v>
      </c>
      <c r="G566" s="43" t="s">
        <v>7010</v>
      </c>
      <c r="H566" s="42" t="s">
        <v>8701</v>
      </c>
      <c r="I566" s="18">
        <f t="shared" si="2"/>
        <v>45971</v>
      </c>
      <c r="J566" s="19" t="s">
        <v>28</v>
      </c>
      <c r="K566" s="19" t="s">
        <v>5170</v>
      </c>
      <c r="L566" s="40"/>
    </row>
    <row r="567" ht="22.5" customHeight="1">
      <c r="C567" s="19" t="s">
        <v>8675</v>
      </c>
      <c r="D567" s="39" t="s">
        <v>8676</v>
      </c>
      <c r="E567" s="43" t="s">
        <v>8702</v>
      </c>
      <c r="F567" s="43" t="s">
        <v>8703</v>
      </c>
      <c r="G567" s="43" t="s">
        <v>6063</v>
      </c>
      <c r="H567" s="42" t="s">
        <v>8704</v>
      </c>
      <c r="I567" s="18">
        <f t="shared" si="2"/>
        <v>45971</v>
      </c>
      <c r="J567" s="19" t="s">
        <v>28</v>
      </c>
      <c r="K567" s="19" t="s">
        <v>5170</v>
      </c>
      <c r="L567" s="40"/>
    </row>
    <row r="568" ht="22.5" customHeight="1">
      <c r="C568" s="19" t="s">
        <v>8675</v>
      </c>
      <c r="D568" s="39" t="s">
        <v>8676</v>
      </c>
      <c r="E568" s="43" t="s">
        <v>8705</v>
      </c>
      <c r="F568" s="43" t="s">
        <v>8706</v>
      </c>
      <c r="G568" s="43" t="s">
        <v>5913</v>
      </c>
      <c r="H568" s="42" t="s">
        <v>8707</v>
      </c>
      <c r="I568" s="18">
        <f t="shared" si="2"/>
        <v>45971</v>
      </c>
      <c r="J568" s="19" t="s">
        <v>28</v>
      </c>
      <c r="K568" s="19" t="s">
        <v>5170</v>
      </c>
      <c r="L568" s="40"/>
    </row>
    <row r="569" ht="22.5" customHeight="1">
      <c r="C569" s="19" t="s">
        <v>8675</v>
      </c>
      <c r="D569" s="39" t="s">
        <v>8676</v>
      </c>
      <c r="E569" s="43" t="s">
        <v>8708</v>
      </c>
      <c r="F569" s="43" t="s">
        <v>8709</v>
      </c>
      <c r="G569" s="43" t="s">
        <v>5820</v>
      </c>
      <c r="H569" s="44">
        <v>9.177433046E9</v>
      </c>
      <c r="I569" s="18">
        <f t="shared" si="2"/>
        <v>45971</v>
      </c>
      <c r="J569" s="19" t="s">
        <v>28</v>
      </c>
      <c r="K569" s="19" t="s">
        <v>5170</v>
      </c>
      <c r="L569" s="40"/>
    </row>
    <row r="570" ht="22.5" customHeight="1">
      <c r="C570" s="19" t="s">
        <v>8675</v>
      </c>
      <c r="D570" s="39" t="s">
        <v>8676</v>
      </c>
      <c r="E570" s="43" t="s">
        <v>8710</v>
      </c>
      <c r="F570" s="43" t="s">
        <v>8711</v>
      </c>
      <c r="G570" s="43" t="s">
        <v>7039</v>
      </c>
      <c r="H570" s="44">
        <v>9.175892644E9</v>
      </c>
      <c r="I570" s="18">
        <f t="shared" si="2"/>
        <v>45971</v>
      </c>
      <c r="J570" s="19" t="s">
        <v>28</v>
      </c>
      <c r="K570" s="19" t="s">
        <v>5170</v>
      </c>
      <c r="L570" s="40"/>
    </row>
    <row r="571" ht="22.5" customHeight="1">
      <c r="C571" s="19" t="s">
        <v>8675</v>
      </c>
      <c r="D571" s="39" t="s">
        <v>8676</v>
      </c>
      <c r="E571" s="43" t="s">
        <v>8712</v>
      </c>
      <c r="F571" s="43" t="s">
        <v>8713</v>
      </c>
      <c r="G571" s="43" t="s">
        <v>5973</v>
      </c>
      <c r="H571" s="44">
        <v>9.176277572E9</v>
      </c>
      <c r="I571" s="18">
        <f t="shared" si="2"/>
        <v>45971</v>
      </c>
      <c r="J571" s="19" t="s">
        <v>28</v>
      </c>
      <c r="K571" s="19" t="s">
        <v>5170</v>
      </c>
      <c r="L571" s="40"/>
    </row>
    <row r="572" ht="22.5" customHeight="1">
      <c r="C572" s="19" t="s">
        <v>8675</v>
      </c>
      <c r="D572" s="39" t="s">
        <v>8676</v>
      </c>
      <c r="E572" s="43" t="s">
        <v>8714</v>
      </c>
      <c r="F572" s="43" t="s">
        <v>8715</v>
      </c>
      <c r="G572" s="43" t="s">
        <v>5939</v>
      </c>
      <c r="H572" s="44">
        <v>3.132885999E9</v>
      </c>
      <c r="I572" s="18">
        <f t="shared" si="2"/>
        <v>45971</v>
      </c>
      <c r="J572" s="19" t="s">
        <v>28</v>
      </c>
      <c r="K572" s="19" t="s">
        <v>5170</v>
      </c>
      <c r="L572" s="40"/>
    </row>
    <row r="573" ht="22.5" customHeight="1">
      <c r="C573" s="19" t="s">
        <v>8675</v>
      </c>
      <c r="D573" s="39" t="s">
        <v>8676</v>
      </c>
      <c r="E573" s="43" t="s">
        <v>8716</v>
      </c>
      <c r="F573" s="48" t="s">
        <v>8717</v>
      </c>
      <c r="G573" s="43" t="s">
        <v>8718</v>
      </c>
      <c r="H573" s="44">
        <v>9.149080736E9</v>
      </c>
      <c r="I573" s="18">
        <f t="shared" si="2"/>
        <v>45971</v>
      </c>
      <c r="J573" s="19" t="s">
        <v>28</v>
      </c>
      <c r="K573" s="19" t="s">
        <v>5170</v>
      </c>
      <c r="L573" s="40"/>
    </row>
    <row r="574" ht="22.5" customHeight="1">
      <c r="C574" s="19" t="s">
        <v>8675</v>
      </c>
      <c r="D574" s="39" t="s">
        <v>8676</v>
      </c>
      <c r="E574" s="43" t="s">
        <v>8719</v>
      </c>
      <c r="F574" s="43" t="s">
        <v>8720</v>
      </c>
      <c r="G574" s="43" t="s">
        <v>5866</v>
      </c>
      <c r="H574" s="42" t="s">
        <v>8721</v>
      </c>
      <c r="I574" s="18">
        <f t="shared" si="2"/>
        <v>45971</v>
      </c>
      <c r="J574" s="19" t="s">
        <v>28</v>
      </c>
      <c r="K574" s="19" t="s">
        <v>5170</v>
      </c>
      <c r="L574" s="40"/>
    </row>
    <row r="575" ht="22.5" customHeight="1">
      <c r="C575" s="19" t="s">
        <v>8675</v>
      </c>
      <c r="D575" s="39" t="s">
        <v>8676</v>
      </c>
      <c r="E575" s="43" t="s">
        <v>8722</v>
      </c>
      <c r="F575" s="43" t="s">
        <v>8524</v>
      </c>
      <c r="G575" s="43" t="s">
        <v>5929</v>
      </c>
      <c r="H575" s="42" t="s">
        <v>8723</v>
      </c>
      <c r="I575" s="18">
        <f t="shared" si="2"/>
        <v>45971</v>
      </c>
      <c r="J575" s="19" t="s">
        <v>28</v>
      </c>
      <c r="K575" s="19" t="s">
        <v>5170</v>
      </c>
      <c r="L575" s="40"/>
    </row>
    <row r="576" ht="22.5" customHeight="1">
      <c r="C576" s="19" t="s">
        <v>8675</v>
      </c>
      <c r="D576" s="39" t="s">
        <v>8676</v>
      </c>
      <c r="E576" s="43" t="s">
        <v>8724</v>
      </c>
      <c r="F576" s="43" t="s">
        <v>8725</v>
      </c>
      <c r="G576" s="43" t="s">
        <v>5882</v>
      </c>
      <c r="H576" s="42" t="s">
        <v>8726</v>
      </c>
      <c r="I576" s="18">
        <f t="shared" si="2"/>
        <v>45971</v>
      </c>
      <c r="J576" s="19" t="s">
        <v>28</v>
      </c>
      <c r="K576" s="19" t="s">
        <v>5170</v>
      </c>
      <c r="L576" s="40"/>
    </row>
    <row r="577" ht="22.5" customHeight="1">
      <c r="C577" s="19" t="s">
        <v>8675</v>
      </c>
      <c r="D577" s="39" t="s">
        <v>8676</v>
      </c>
      <c r="E577" s="43" t="s">
        <v>8727</v>
      </c>
      <c r="F577" s="43" t="s">
        <v>8728</v>
      </c>
      <c r="G577" s="43" t="s">
        <v>5820</v>
      </c>
      <c r="H577" s="44">
        <v>9.172252128E9</v>
      </c>
      <c r="I577" s="18">
        <f t="shared" si="2"/>
        <v>45971</v>
      </c>
      <c r="J577" s="19" t="s">
        <v>28</v>
      </c>
      <c r="K577" s="19" t="s">
        <v>5170</v>
      </c>
      <c r="L577" s="40"/>
    </row>
    <row r="578" ht="22.5" customHeight="1">
      <c r="C578" s="19" t="s">
        <v>8675</v>
      </c>
      <c r="D578" s="39" t="s">
        <v>8676</v>
      </c>
      <c r="E578" s="43" t="s">
        <v>8729</v>
      </c>
      <c r="F578" s="43" t="s">
        <v>8730</v>
      </c>
      <c r="G578" s="43" t="s">
        <v>5908</v>
      </c>
      <c r="H578" s="44">
        <v>9.178164091E9</v>
      </c>
      <c r="I578" s="18">
        <f t="shared" si="2"/>
        <v>45971</v>
      </c>
      <c r="J578" s="19" t="s">
        <v>28</v>
      </c>
      <c r="K578" s="19" t="s">
        <v>5170</v>
      </c>
      <c r="L578" s="40"/>
    </row>
    <row r="579" ht="22.5" customHeight="1">
      <c r="C579" s="19" t="s">
        <v>8675</v>
      </c>
      <c r="D579" s="39" t="s">
        <v>8676</v>
      </c>
      <c r="E579" s="43" t="s">
        <v>8731</v>
      </c>
      <c r="F579" s="43" t="s">
        <v>8732</v>
      </c>
      <c r="G579" s="43" t="s">
        <v>5878</v>
      </c>
      <c r="H579" s="42" t="s">
        <v>8733</v>
      </c>
      <c r="I579" s="18">
        <f t="shared" si="2"/>
        <v>45971</v>
      </c>
      <c r="J579" s="19" t="s">
        <v>28</v>
      </c>
      <c r="K579" s="19" t="s">
        <v>5170</v>
      </c>
      <c r="L579" s="40"/>
    </row>
    <row r="580" ht="22.5" customHeight="1">
      <c r="C580" s="19" t="s">
        <v>8734</v>
      </c>
      <c r="D580" s="39" t="s">
        <v>8735</v>
      </c>
      <c r="E580" s="43" t="s">
        <v>4501</v>
      </c>
      <c r="F580" s="43" t="s">
        <v>4502</v>
      </c>
      <c r="G580" s="43" t="s">
        <v>7039</v>
      </c>
      <c r="H580" s="42" t="s">
        <v>4503</v>
      </c>
      <c r="I580" s="18">
        <f t="shared" si="2"/>
        <v>45971</v>
      </c>
      <c r="J580" s="19" t="s">
        <v>28</v>
      </c>
      <c r="K580" s="19" t="s">
        <v>5170</v>
      </c>
      <c r="L580" s="40"/>
    </row>
    <row r="581" ht="22.5" customHeight="1">
      <c r="C581" s="19" t="s">
        <v>8734</v>
      </c>
      <c r="D581" s="39" t="s">
        <v>8736</v>
      </c>
      <c r="E581" s="43" t="s">
        <v>4504</v>
      </c>
      <c r="F581" s="43" t="s">
        <v>1419</v>
      </c>
      <c r="G581" s="43" t="s">
        <v>5878</v>
      </c>
      <c r="H581" s="44">
        <v>6.466335176E9</v>
      </c>
      <c r="I581" s="18">
        <f t="shared" si="2"/>
        <v>45971</v>
      </c>
      <c r="J581" s="19" t="s">
        <v>28</v>
      </c>
      <c r="K581" s="19" t="s">
        <v>5170</v>
      </c>
      <c r="L581" s="40"/>
    </row>
    <row r="582" ht="22.5" customHeight="1">
      <c r="C582" s="19" t="s">
        <v>8734</v>
      </c>
      <c r="D582" s="39" t="s">
        <v>8737</v>
      </c>
      <c r="E582" s="43" t="s">
        <v>4505</v>
      </c>
      <c r="F582" s="43" t="s">
        <v>4506</v>
      </c>
      <c r="G582" s="43" t="s">
        <v>8738</v>
      </c>
      <c r="H582" s="42" t="s">
        <v>4508</v>
      </c>
      <c r="I582" s="18">
        <f t="shared" si="2"/>
        <v>45971</v>
      </c>
      <c r="J582" s="19" t="s">
        <v>28</v>
      </c>
      <c r="K582" s="19" t="s">
        <v>5170</v>
      </c>
      <c r="L582" s="40"/>
    </row>
    <row r="583" ht="22.5" customHeight="1">
      <c r="C583" s="19" t="s">
        <v>8734</v>
      </c>
      <c r="D583" s="39" t="s">
        <v>8739</v>
      </c>
      <c r="E583" s="43" t="s">
        <v>4509</v>
      </c>
      <c r="F583" s="43" t="s">
        <v>1419</v>
      </c>
      <c r="G583" s="43" t="s">
        <v>5878</v>
      </c>
      <c r="H583" s="42" t="s">
        <v>4510</v>
      </c>
      <c r="I583" s="18">
        <f t="shared" si="2"/>
        <v>45971</v>
      </c>
      <c r="J583" s="19" t="s">
        <v>28</v>
      </c>
      <c r="K583" s="19" t="s">
        <v>5170</v>
      </c>
      <c r="L583" s="40"/>
    </row>
    <row r="584" ht="22.5" customHeight="1">
      <c r="C584" s="19" t="s">
        <v>8734</v>
      </c>
      <c r="D584" s="39" t="s">
        <v>8740</v>
      </c>
      <c r="E584" s="43" t="s">
        <v>4511</v>
      </c>
      <c r="F584" s="43" t="s">
        <v>4512</v>
      </c>
      <c r="G584" s="43" t="s">
        <v>6164</v>
      </c>
      <c r="H584" s="42" t="s">
        <v>4513</v>
      </c>
      <c r="I584" s="18">
        <f t="shared" si="2"/>
        <v>45971</v>
      </c>
      <c r="J584" s="19" t="s">
        <v>28</v>
      </c>
      <c r="K584" s="19" t="s">
        <v>5170</v>
      </c>
      <c r="L584" s="40"/>
    </row>
    <row r="585" ht="22.5" customHeight="1">
      <c r="C585" s="19" t="s">
        <v>8734</v>
      </c>
      <c r="D585" s="39" t="s">
        <v>8741</v>
      </c>
      <c r="E585" s="43" t="s">
        <v>4514</v>
      </c>
      <c r="F585" s="43" t="s">
        <v>4353</v>
      </c>
      <c r="G585" s="43" t="s">
        <v>8630</v>
      </c>
      <c r="H585" s="42" t="s">
        <v>4515</v>
      </c>
      <c r="I585" s="18">
        <f t="shared" si="2"/>
        <v>45971</v>
      </c>
      <c r="J585" s="19" t="s">
        <v>28</v>
      </c>
      <c r="K585" s="19" t="s">
        <v>5170</v>
      </c>
      <c r="L585" s="40"/>
    </row>
    <row r="586" ht="22.5" customHeight="1">
      <c r="C586" s="19" t="s">
        <v>8734</v>
      </c>
      <c r="D586" s="39" t="s">
        <v>8742</v>
      </c>
      <c r="E586" s="43" t="s">
        <v>4516</v>
      </c>
      <c r="F586" s="43" t="s">
        <v>1419</v>
      </c>
      <c r="G586" s="43" t="s">
        <v>5878</v>
      </c>
      <c r="H586" s="42" t="s">
        <v>4517</v>
      </c>
      <c r="I586" s="18">
        <f t="shared" si="2"/>
        <v>45971</v>
      </c>
      <c r="J586" s="19" t="s">
        <v>28</v>
      </c>
      <c r="K586" s="19" t="s">
        <v>5170</v>
      </c>
      <c r="L586" s="40"/>
    </row>
    <row r="587" ht="22.5" customHeight="1">
      <c r="C587" s="19" t="s">
        <v>8734</v>
      </c>
      <c r="D587" s="39" t="s">
        <v>8743</v>
      </c>
      <c r="E587" s="43" t="s">
        <v>4518</v>
      </c>
      <c r="F587" s="43" t="s">
        <v>4519</v>
      </c>
      <c r="G587" s="43" t="s">
        <v>5921</v>
      </c>
      <c r="H587" s="42" t="s">
        <v>4520</v>
      </c>
      <c r="I587" s="18">
        <f t="shared" si="2"/>
        <v>45971</v>
      </c>
      <c r="J587" s="19" t="s">
        <v>28</v>
      </c>
      <c r="K587" s="19" t="s">
        <v>5170</v>
      </c>
      <c r="L587" s="40"/>
    </row>
    <row r="588" ht="22.5" customHeight="1">
      <c r="C588" s="19" t="s">
        <v>8734</v>
      </c>
      <c r="D588" s="39" t="s">
        <v>8744</v>
      </c>
      <c r="E588" s="43" t="s">
        <v>4521</v>
      </c>
      <c r="F588" s="43" t="s">
        <v>4522</v>
      </c>
      <c r="G588" s="43" t="s">
        <v>5985</v>
      </c>
      <c r="H588" s="42" t="s">
        <v>4523</v>
      </c>
      <c r="I588" s="18">
        <f t="shared" si="2"/>
        <v>45971</v>
      </c>
      <c r="J588" s="19" t="s">
        <v>28</v>
      </c>
      <c r="K588" s="19" t="s">
        <v>5170</v>
      </c>
      <c r="L588" s="40"/>
    </row>
    <row r="589" ht="22.5" customHeight="1">
      <c r="C589" s="19" t="s">
        <v>8734</v>
      </c>
      <c r="D589" s="39" t="s">
        <v>8745</v>
      </c>
      <c r="E589" s="43" t="s">
        <v>4524</v>
      </c>
      <c r="F589" s="43" t="s">
        <v>4525</v>
      </c>
      <c r="G589" s="43" t="s">
        <v>6288</v>
      </c>
      <c r="H589" s="42" t="s">
        <v>4526</v>
      </c>
      <c r="I589" s="18">
        <f t="shared" si="2"/>
        <v>45971</v>
      </c>
      <c r="J589" s="19" t="s">
        <v>28</v>
      </c>
      <c r="K589" s="19" t="s">
        <v>5170</v>
      </c>
      <c r="L589" s="40"/>
    </row>
    <row r="590" ht="22.5" customHeight="1">
      <c r="C590" s="19" t="s">
        <v>8734</v>
      </c>
      <c r="D590" s="39" t="s">
        <v>8746</v>
      </c>
      <c r="E590" s="43" t="s">
        <v>4527</v>
      </c>
      <c r="F590" s="43" t="s">
        <v>4528</v>
      </c>
      <c r="G590" s="43" t="s">
        <v>7482</v>
      </c>
      <c r="H590" s="42" t="s">
        <v>4529</v>
      </c>
      <c r="I590" s="18">
        <f t="shared" si="2"/>
        <v>45971</v>
      </c>
      <c r="J590" s="19" t="s">
        <v>28</v>
      </c>
      <c r="K590" s="19" t="s">
        <v>5170</v>
      </c>
      <c r="L590" s="40"/>
    </row>
    <row r="591" ht="22.5" customHeight="1">
      <c r="C591" s="19" t="s">
        <v>8734</v>
      </c>
      <c r="D591" s="39" t="s">
        <v>8747</v>
      </c>
      <c r="E591" s="43" t="s">
        <v>4530</v>
      </c>
      <c r="F591" s="43" t="s">
        <v>4531</v>
      </c>
      <c r="G591" s="43" t="s">
        <v>8748</v>
      </c>
      <c r="H591" s="42" t="s">
        <v>4532</v>
      </c>
      <c r="I591" s="18">
        <f t="shared" si="2"/>
        <v>45971</v>
      </c>
      <c r="J591" s="19" t="s">
        <v>28</v>
      </c>
      <c r="K591" s="19" t="s">
        <v>5170</v>
      </c>
      <c r="L591" s="40"/>
    </row>
    <row r="592" ht="22.5" customHeight="1">
      <c r="C592" s="19" t="s">
        <v>8734</v>
      </c>
      <c r="D592" s="39" t="s">
        <v>8749</v>
      </c>
      <c r="E592" s="43" t="s">
        <v>4533</v>
      </c>
      <c r="F592" s="43" t="s">
        <v>4534</v>
      </c>
      <c r="G592" s="43" t="s">
        <v>5944</v>
      </c>
      <c r="H592" s="44">
        <v>9.17597077E9</v>
      </c>
      <c r="I592" s="18">
        <f t="shared" si="2"/>
        <v>45971</v>
      </c>
      <c r="J592" s="19" t="s">
        <v>28</v>
      </c>
      <c r="K592" s="19" t="s">
        <v>5170</v>
      </c>
      <c r="L592" s="40"/>
    </row>
    <row r="593" ht="22.5" customHeight="1">
      <c r="C593" s="19" t="s">
        <v>8734</v>
      </c>
      <c r="D593" s="39" t="s">
        <v>8750</v>
      </c>
      <c r="E593" s="43" t="s">
        <v>4538</v>
      </c>
      <c r="F593" s="43" t="s">
        <v>4539</v>
      </c>
      <c r="G593" s="43" t="s">
        <v>6063</v>
      </c>
      <c r="H593" s="42" t="s">
        <v>4540</v>
      </c>
      <c r="I593" s="18">
        <f t="shared" si="2"/>
        <v>45971</v>
      </c>
      <c r="J593" s="19" t="s">
        <v>28</v>
      </c>
      <c r="K593" s="19" t="s">
        <v>5170</v>
      </c>
      <c r="L593" s="40"/>
    </row>
    <row r="594" ht="22.5" customHeight="1">
      <c r="C594" s="19" t="s">
        <v>8734</v>
      </c>
      <c r="D594" s="39" t="s">
        <v>8751</v>
      </c>
      <c r="E594" s="43" t="s">
        <v>4541</v>
      </c>
      <c r="F594" s="43" t="s">
        <v>4542</v>
      </c>
      <c r="G594" s="43" t="s">
        <v>8752</v>
      </c>
      <c r="H594" s="44">
        <v>9.178484081E9</v>
      </c>
      <c r="I594" s="18">
        <f t="shared" si="2"/>
        <v>45971</v>
      </c>
      <c r="J594" s="19" t="s">
        <v>28</v>
      </c>
      <c r="K594" s="19" t="s">
        <v>5170</v>
      </c>
      <c r="L594" s="40"/>
    </row>
    <row r="595" ht="22.5" customHeight="1">
      <c r="C595" s="19" t="s">
        <v>8734</v>
      </c>
      <c r="D595" s="39" t="s">
        <v>8753</v>
      </c>
      <c r="E595" s="43" t="s">
        <v>4543</v>
      </c>
      <c r="F595" s="43" t="s">
        <v>4544</v>
      </c>
      <c r="G595" s="43" t="s">
        <v>7328</v>
      </c>
      <c r="H595" s="42" t="s">
        <v>4545</v>
      </c>
      <c r="I595" s="18">
        <f t="shared" si="2"/>
        <v>45971</v>
      </c>
      <c r="J595" s="19" t="s">
        <v>28</v>
      </c>
      <c r="K595" s="19" t="s">
        <v>5170</v>
      </c>
      <c r="L595" s="40"/>
    </row>
    <row r="596" ht="22.5" customHeight="1">
      <c r="C596" s="19" t="s">
        <v>8734</v>
      </c>
      <c r="D596" s="39" t="s">
        <v>8754</v>
      </c>
      <c r="E596" s="43" t="s">
        <v>4546</v>
      </c>
      <c r="F596" s="43" t="s">
        <v>4547</v>
      </c>
      <c r="G596" s="43" t="s">
        <v>8755</v>
      </c>
      <c r="H596" s="42" t="s">
        <v>4549</v>
      </c>
      <c r="I596" s="18">
        <f t="shared" si="2"/>
        <v>45971</v>
      </c>
      <c r="J596" s="19" t="s">
        <v>28</v>
      </c>
      <c r="K596" s="19" t="s">
        <v>5170</v>
      </c>
      <c r="L596" s="40"/>
    </row>
    <row r="597" ht="22.5" customHeight="1">
      <c r="C597" s="19" t="s">
        <v>8734</v>
      </c>
      <c r="D597" s="39" t="s">
        <v>8756</v>
      </c>
      <c r="E597" s="43" t="s">
        <v>4550</v>
      </c>
      <c r="F597" s="43" t="s">
        <v>4550</v>
      </c>
      <c r="G597" s="43" t="s">
        <v>7034</v>
      </c>
      <c r="H597" s="42" t="s">
        <v>4551</v>
      </c>
      <c r="I597" s="18">
        <f t="shared" si="2"/>
        <v>45971</v>
      </c>
      <c r="J597" s="19" t="s">
        <v>28</v>
      </c>
      <c r="K597" s="19" t="s">
        <v>5170</v>
      </c>
      <c r="L597" s="40"/>
    </row>
    <row r="598" ht="22.5" customHeight="1">
      <c r="C598" s="19" t="s">
        <v>8734</v>
      </c>
      <c r="D598" s="39" t="s">
        <v>8757</v>
      </c>
      <c r="E598" s="43" t="s">
        <v>4552</v>
      </c>
      <c r="F598" s="43" t="s">
        <v>4553</v>
      </c>
      <c r="G598" s="43" t="s">
        <v>7482</v>
      </c>
      <c r="H598" s="42" t="s">
        <v>4554</v>
      </c>
      <c r="I598" s="18">
        <f t="shared" si="2"/>
        <v>45971</v>
      </c>
      <c r="J598" s="19" t="s">
        <v>28</v>
      </c>
      <c r="K598" s="19" t="s">
        <v>5170</v>
      </c>
      <c r="L598" s="40"/>
    </row>
    <row r="599" ht="22.5" customHeight="1">
      <c r="C599" s="19" t="s">
        <v>8734</v>
      </c>
      <c r="D599" s="39" t="s">
        <v>8758</v>
      </c>
      <c r="E599" s="43" t="s">
        <v>4555</v>
      </c>
      <c r="F599" s="43" t="s">
        <v>4556</v>
      </c>
      <c r="G599" s="43" t="s">
        <v>7030</v>
      </c>
      <c r="H599" s="44">
        <v>4.159363814E9</v>
      </c>
      <c r="I599" s="18">
        <f t="shared" si="2"/>
        <v>45971</v>
      </c>
      <c r="J599" s="19" t="s">
        <v>28</v>
      </c>
      <c r="K599" s="19" t="s">
        <v>5170</v>
      </c>
      <c r="L599" s="40"/>
    </row>
    <row r="600" ht="22.5" customHeight="1">
      <c r="C600" s="19" t="s">
        <v>8734</v>
      </c>
      <c r="D600" s="39" t="s">
        <v>8759</v>
      </c>
      <c r="E600" s="43" t="s">
        <v>4557</v>
      </c>
      <c r="F600" s="43" t="s">
        <v>4558</v>
      </c>
      <c r="G600" s="43" t="s">
        <v>8760</v>
      </c>
      <c r="H600" s="44">
        <v>9.175663046E9</v>
      </c>
      <c r="I600" s="18">
        <f t="shared" si="2"/>
        <v>45971</v>
      </c>
      <c r="J600" s="19" t="s">
        <v>28</v>
      </c>
      <c r="K600" s="19" t="s">
        <v>5170</v>
      </c>
      <c r="L600" s="40"/>
    </row>
    <row r="601" ht="22.5" customHeight="1">
      <c r="C601" s="19" t="s">
        <v>8734</v>
      </c>
      <c r="D601" s="39" t="s">
        <v>8761</v>
      </c>
      <c r="E601" s="43" t="s">
        <v>4560</v>
      </c>
      <c r="F601" s="43" t="s">
        <v>4561</v>
      </c>
      <c r="G601" s="43" t="s">
        <v>6181</v>
      </c>
      <c r="H601" s="44">
        <v>5.167152601E9</v>
      </c>
      <c r="I601" s="18">
        <f t="shared" si="2"/>
        <v>45971</v>
      </c>
      <c r="J601" s="19" t="s">
        <v>28</v>
      </c>
      <c r="K601" s="19" t="s">
        <v>5170</v>
      </c>
      <c r="L601" s="40"/>
    </row>
    <row r="602" ht="22.5" customHeight="1">
      <c r="C602" s="19" t="s">
        <v>8734</v>
      </c>
      <c r="D602" s="39" t="s">
        <v>8762</v>
      </c>
      <c r="E602" s="43" t="s">
        <v>4562</v>
      </c>
      <c r="F602" s="43" t="s">
        <v>4563</v>
      </c>
      <c r="G602" s="43" t="s">
        <v>8343</v>
      </c>
      <c r="H602" s="44">
        <v>2.127776003E9</v>
      </c>
      <c r="I602" s="18">
        <f t="shared" si="2"/>
        <v>45971</v>
      </c>
      <c r="J602" s="19" t="s">
        <v>28</v>
      </c>
      <c r="K602" s="19" t="s">
        <v>5170</v>
      </c>
      <c r="L602" s="40"/>
    </row>
    <row r="603" ht="22.5" customHeight="1">
      <c r="C603" s="19" t="s">
        <v>8734</v>
      </c>
      <c r="D603" s="39" t="s">
        <v>8763</v>
      </c>
      <c r="E603" s="43" t="s">
        <v>4564</v>
      </c>
      <c r="F603" s="43" t="s">
        <v>4565</v>
      </c>
      <c r="G603" s="43" t="s">
        <v>5862</v>
      </c>
      <c r="H603" s="42" t="s">
        <v>4566</v>
      </c>
      <c r="I603" s="18">
        <f t="shared" si="2"/>
        <v>45971</v>
      </c>
      <c r="J603" s="19" t="s">
        <v>28</v>
      </c>
      <c r="K603" s="19" t="s">
        <v>5170</v>
      </c>
      <c r="L603" s="40"/>
    </row>
    <row r="604" ht="22.5" customHeight="1">
      <c r="C604" s="19" t="s">
        <v>8734</v>
      </c>
      <c r="D604" s="39" t="s">
        <v>8764</v>
      </c>
      <c r="E604" s="43" t="s">
        <v>4567</v>
      </c>
      <c r="F604" s="43" t="s">
        <v>4568</v>
      </c>
      <c r="G604" s="43" t="s">
        <v>8765</v>
      </c>
      <c r="H604" s="42" t="s">
        <v>4569</v>
      </c>
      <c r="I604" s="18">
        <f t="shared" si="2"/>
        <v>45971</v>
      </c>
      <c r="J604" s="19" t="s">
        <v>28</v>
      </c>
      <c r="K604" s="19" t="s">
        <v>5170</v>
      </c>
      <c r="L604" s="40"/>
    </row>
    <row r="605" ht="22.5" customHeight="1">
      <c r="C605" s="19" t="s">
        <v>8734</v>
      </c>
      <c r="D605" s="39" t="s">
        <v>8766</v>
      </c>
      <c r="E605" s="43" t="s">
        <v>4570</v>
      </c>
      <c r="F605" s="43" t="s">
        <v>4571</v>
      </c>
      <c r="G605" s="43" t="s">
        <v>8767</v>
      </c>
      <c r="H605" s="42" t="s">
        <v>4572</v>
      </c>
      <c r="I605" s="18">
        <f t="shared" si="2"/>
        <v>45971</v>
      </c>
      <c r="J605" s="19" t="s">
        <v>28</v>
      </c>
      <c r="K605" s="19" t="s">
        <v>5170</v>
      </c>
      <c r="L605" s="40"/>
    </row>
    <row r="606" ht="22.5" customHeight="1">
      <c r="C606" s="19" t="s">
        <v>8734</v>
      </c>
      <c r="D606" s="39" t="s">
        <v>8768</v>
      </c>
      <c r="E606" s="43" t="s">
        <v>4573</v>
      </c>
      <c r="F606" s="43" t="s">
        <v>4574</v>
      </c>
      <c r="G606" s="43" t="s">
        <v>8769</v>
      </c>
      <c r="H606" s="42" t="s">
        <v>182</v>
      </c>
      <c r="I606" s="18">
        <f t="shared" si="2"/>
        <v>45971</v>
      </c>
      <c r="J606" s="19" t="s">
        <v>28</v>
      </c>
      <c r="K606" s="19" t="s">
        <v>5170</v>
      </c>
      <c r="L606" s="40"/>
    </row>
    <row r="607" ht="22.5" customHeight="1">
      <c r="C607" s="19" t="s">
        <v>8734</v>
      </c>
      <c r="D607" s="39" t="s">
        <v>8770</v>
      </c>
      <c r="E607" s="43" t="s">
        <v>4575</v>
      </c>
      <c r="F607" s="43" t="s">
        <v>4576</v>
      </c>
      <c r="G607" s="43" t="s">
        <v>5939</v>
      </c>
      <c r="H607" s="42" t="s">
        <v>4577</v>
      </c>
      <c r="I607" s="18">
        <f t="shared" si="2"/>
        <v>45971</v>
      </c>
      <c r="J607" s="19" t="s">
        <v>28</v>
      </c>
      <c r="K607" s="19" t="s">
        <v>5170</v>
      </c>
      <c r="L607" s="40"/>
    </row>
    <row r="608" ht="22.5" customHeight="1">
      <c r="C608" s="19" t="s">
        <v>8734</v>
      </c>
      <c r="D608" s="39" t="s">
        <v>8771</v>
      </c>
      <c r="E608" s="43" t="s">
        <v>4578</v>
      </c>
      <c r="F608" s="43" t="s">
        <v>4579</v>
      </c>
      <c r="G608" s="43" t="s">
        <v>8772</v>
      </c>
      <c r="H608" s="42" t="s">
        <v>4581</v>
      </c>
      <c r="I608" s="18">
        <f t="shared" si="2"/>
        <v>45971</v>
      </c>
      <c r="J608" s="19" t="s">
        <v>28</v>
      </c>
      <c r="K608" s="19" t="s">
        <v>5170</v>
      </c>
      <c r="L608" s="40"/>
    </row>
    <row r="609" ht="22.5" customHeight="1">
      <c r="C609" s="19" t="s">
        <v>8734</v>
      </c>
      <c r="D609" s="39" t="s">
        <v>8773</v>
      </c>
      <c r="E609" s="43" t="s">
        <v>4582</v>
      </c>
      <c r="F609" s="43" t="s">
        <v>4583</v>
      </c>
      <c r="G609" s="43" t="s">
        <v>6155</v>
      </c>
      <c r="H609" s="42" t="s">
        <v>4584</v>
      </c>
      <c r="I609" s="18">
        <f t="shared" si="2"/>
        <v>45971</v>
      </c>
      <c r="J609" s="19" t="s">
        <v>28</v>
      </c>
      <c r="K609" s="19" t="s">
        <v>5170</v>
      </c>
      <c r="L609" s="40"/>
    </row>
    <row r="610" ht="22.5" customHeight="1">
      <c r="C610" s="19" t="s">
        <v>8734</v>
      </c>
      <c r="D610" s="39" t="s">
        <v>8774</v>
      </c>
      <c r="E610" s="43" t="s">
        <v>4585</v>
      </c>
      <c r="F610" s="43" t="s">
        <v>4586</v>
      </c>
      <c r="G610" s="43" t="s">
        <v>5985</v>
      </c>
      <c r="H610" s="42" t="s">
        <v>4587</v>
      </c>
      <c r="I610" s="18">
        <f t="shared" si="2"/>
        <v>45971</v>
      </c>
      <c r="J610" s="19" t="s">
        <v>28</v>
      </c>
      <c r="K610" s="19" t="s">
        <v>5170</v>
      </c>
      <c r="L610" s="40"/>
    </row>
    <row r="611" ht="22.5" customHeight="1">
      <c r="C611" s="19" t="s">
        <v>8734</v>
      </c>
      <c r="D611" s="39" t="s">
        <v>8775</v>
      </c>
      <c r="E611" s="43" t="s">
        <v>4588</v>
      </c>
      <c r="F611" s="43" t="s">
        <v>4589</v>
      </c>
      <c r="G611" s="43" t="s">
        <v>6548</v>
      </c>
      <c r="H611" s="42" t="s">
        <v>4590</v>
      </c>
      <c r="I611" s="18">
        <f t="shared" si="2"/>
        <v>45971</v>
      </c>
      <c r="J611" s="19" t="s">
        <v>28</v>
      </c>
      <c r="K611" s="19" t="s">
        <v>5170</v>
      </c>
      <c r="L611" s="40"/>
    </row>
    <row r="612" ht="22.5" customHeight="1">
      <c r="C612" s="19" t="s">
        <v>8734</v>
      </c>
      <c r="D612" s="39" t="s">
        <v>8776</v>
      </c>
      <c r="E612" s="43" t="s">
        <v>4419</v>
      </c>
      <c r="F612" s="43" t="s">
        <v>182</v>
      </c>
      <c r="G612" s="43" t="s">
        <v>5957</v>
      </c>
      <c r="H612" s="42" t="s">
        <v>4591</v>
      </c>
      <c r="I612" s="18">
        <f t="shared" si="2"/>
        <v>45971</v>
      </c>
      <c r="J612" s="19" t="s">
        <v>28</v>
      </c>
      <c r="K612" s="19" t="s">
        <v>5170</v>
      </c>
      <c r="L612" s="40"/>
    </row>
    <row r="613" ht="22.5" customHeight="1">
      <c r="C613" s="19" t="s">
        <v>8734</v>
      </c>
      <c r="D613" s="39" t="s">
        <v>8777</v>
      </c>
      <c r="E613" s="43" t="s">
        <v>4592</v>
      </c>
      <c r="F613" s="43" t="s">
        <v>8778</v>
      </c>
      <c r="G613" s="43" t="s">
        <v>5820</v>
      </c>
      <c r="H613" s="42" t="s">
        <v>4594</v>
      </c>
      <c r="I613" s="18">
        <f t="shared" si="2"/>
        <v>45971</v>
      </c>
      <c r="J613" s="19" t="s">
        <v>28</v>
      </c>
      <c r="K613" s="19" t="s">
        <v>5170</v>
      </c>
      <c r="L613" s="40"/>
    </row>
    <row r="614" ht="22.5" customHeight="1">
      <c r="C614" s="19" t="s">
        <v>8734</v>
      </c>
      <c r="D614" s="39" t="s">
        <v>8779</v>
      </c>
      <c r="E614" s="43" t="s">
        <v>4595</v>
      </c>
      <c r="F614" s="43" t="s">
        <v>4596</v>
      </c>
      <c r="G614" s="43" t="s">
        <v>8780</v>
      </c>
      <c r="H614" s="42" t="s">
        <v>4598</v>
      </c>
      <c r="I614" s="18">
        <f t="shared" si="2"/>
        <v>45971</v>
      </c>
      <c r="J614" s="19" t="s">
        <v>28</v>
      </c>
      <c r="K614" s="19" t="s">
        <v>5170</v>
      </c>
      <c r="L614" s="40"/>
    </row>
    <row r="615" ht="22.5" customHeight="1">
      <c r="C615" s="19" t="s">
        <v>8734</v>
      </c>
      <c r="D615" s="39" t="s">
        <v>8781</v>
      </c>
      <c r="E615" s="43" t="s">
        <v>4599</v>
      </c>
      <c r="F615" s="43" t="s">
        <v>4600</v>
      </c>
      <c r="G615" s="43" t="s">
        <v>6422</v>
      </c>
      <c r="H615" s="42" t="s">
        <v>4601</v>
      </c>
      <c r="I615" s="18">
        <f t="shared" si="2"/>
        <v>45971</v>
      </c>
      <c r="J615" s="19" t="s">
        <v>28</v>
      </c>
      <c r="K615" s="19" t="s">
        <v>5170</v>
      </c>
      <c r="L615" s="40"/>
    </row>
    <row r="616" ht="22.5" customHeight="1">
      <c r="C616" s="19" t="s">
        <v>8734</v>
      </c>
      <c r="D616" s="39" t="s">
        <v>8782</v>
      </c>
      <c r="E616" s="43" t="s">
        <v>4602</v>
      </c>
      <c r="F616" s="43" t="s">
        <v>4603</v>
      </c>
      <c r="G616" s="43" t="s">
        <v>5854</v>
      </c>
      <c r="H616" s="42" t="s">
        <v>4604</v>
      </c>
      <c r="I616" s="18">
        <f t="shared" si="2"/>
        <v>45971</v>
      </c>
      <c r="J616" s="19" t="s">
        <v>28</v>
      </c>
      <c r="K616" s="19" t="s">
        <v>5170</v>
      </c>
      <c r="L616" s="40"/>
    </row>
    <row r="617" ht="22.5" customHeight="1">
      <c r="C617" s="19" t="s">
        <v>8734</v>
      </c>
      <c r="D617" s="39" t="s">
        <v>8783</v>
      </c>
      <c r="E617" s="43" t="s">
        <v>4605</v>
      </c>
      <c r="F617" s="43" t="s">
        <v>4606</v>
      </c>
      <c r="G617" s="43" t="s">
        <v>6232</v>
      </c>
      <c r="H617" s="42" t="s">
        <v>4607</v>
      </c>
      <c r="I617" s="18">
        <f t="shared" si="2"/>
        <v>45971</v>
      </c>
      <c r="J617" s="19" t="s">
        <v>28</v>
      </c>
      <c r="K617" s="19" t="s">
        <v>5170</v>
      </c>
      <c r="L617" s="40"/>
    </row>
    <row r="618" ht="22.5" customHeight="1">
      <c r="C618" s="19" t="s">
        <v>8734</v>
      </c>
      <c r="D618" s="39" t="s">
        <v>8784</v>
      </c>
      <c r="E618" s="43" t="s">
        <v>4608</v>
      </c>
      <c r="F618" s="43" t="s">
        <v>4609</v>
      </c>
      <c r="G618" s="43" t="s">
        <v>6068</v>
      </c>
      <c r="H618" s="42" t="s">
        <v>4610</v>
      </c>
      <c r="I618" s="18">
        <f t="shared" si="2"/>
        <v>45971</v>
      </c>
      <c r="J618" s="19" t="s">
        <v>28</v>
      </c>
      <c r="K618" s="19" t="s">
        <v>5170</v>
      </c>
      <c r="L618" s="40"/>
    </row>
    <row r="619" ht="22.5" customHeight="1">
      <c r="C619" s="19" t="s">
        <v>8734</v>
      </c>
      <c r="D619" s="39" t="s">
        <v>8785</v>
      </c>
      <c r="E619" s="43" t="s">
        <v>4611</v>
      </c>
      <c r="F619" s="43" t="s">
        <v>4612</v>
      </c>
      <c r="G619" s="43" t="s">
        <v>5878</v>
      </c>
      <c r="H619" s="42" t="s">
        <v>4613</v>
      </c>
      <c r="I619" s="18">
        <f t="shared" si="2"/>
        <v>45971</v>
      </c>
      <c r="J619" s="19" t="s">
        <v>28</v>
      </c>
      <c r="K619" s="19" t="s">
        <v>5170</v>
      </c>
      <c r="L619" s="40"/>
    </row>
    <row r="620" ht="22.5" customHeight="1">
      <c r="C620" s="19" t="s">
        <v>8734</v>
      </c>
      <c r="D620" s="39" t="s">
        <v>8786</v>
      </c>
      <c r="E620" s="43" t="s">
        <v>4614</v>
      </c>
      <c r="F620" s="43" t="s">
        <v>4615</v>
      </c>
      <c r="G620" s="43" t="s">
        <v>8787</v>
      </c>
      <c r="H620" s="42" t="s">
        <v>182</v>
      </c>
      <c r="I620" s="18">
        <f t="shared" si="2"/>
        <v>45971</v>
      </c>
      <c r="J620" s="19" t="s">
        <v>28</v>
      </c>
      <c r="K620" s="19" t="s">
        <v>5170</v>
      </c>
      <c r="L620" s="40"/>
    </row>
    <row r="621" ht="22.5" customHeight="1">
      <c r="C621" s="19" t="s">
        <v>8734</v>
      </c>
      <c r="D621" s="39" t="s">
        <v>8788</v>
      </c>
      <c r="E621" s="43" t="s">
        <v>4617</v>
      </c>
      <c r="F621" s="43" t="s">
        <v>4618</v>
      </c>
      <c r="G621" s="43" t="s">
        <v>7431</v>
      </c>
      <c r="H621" s="42" t="s">
        <v>4619</v>
      </c>
      <c r="I621" s="18">
        <f t="shared" si="2"/>
        <v>45971</v>
      </c>
      <c r="J621" s="19" t="s">
        <v>28</v>
      </c>
      <c r="K621" s="19" t="s">
        <v>5170</v>
      </c>
      <c r="L621" s="40"/>
    </row>
    <row r="622" ht="22.5" customHeight="1">
      <c r="C622" s="19" t="s">
        <v>8734</v>
      </c>
      <c r="D622" s="39" t="s">
        <v>8789</v>
      </c>
      <c r="E622" s="43" t="s">
        <v>4620</v>
      </c>
      <c r="F622" s="43" t="s">
        <v>4621</v>
      </c>
      <c r="G622" s="43" t="s">
        <v>7398</v>
      </c>
      <c r="H622" s="44">
        <v>7.328092029E9</v>
      </c>
      <c r="I622" s="18">
        <f t="shared" si="2"/>
        <v>45971</v>
      </c>
      <c r="J622" s="19" t="s">
        <v>28</v>
      </c>
      <c r="K622" s="19" t="s">
        <v>5170</v>
      </c>
      <c r="L622" s="40"/>
    </row>
    <row r="623" ht="22.5" customHeight="1">
      <c r="C623" s="19" t="s">
        <v>8734</v>
      </c>
      <c r="D623" s="39" t="s">
        <v>8790</v>
      </c>
      <c r="E623" s="43" t="s">
        <v>4622</v>
      </c>
      <c r="F623" s="43" t="s">
        <v>4623</v>
      </c>
      <c r="G623" s="43" t="s">
        <v>5887</v>
      </c>
      <c r="H623" s="44">
        <v>8.45428935E9</v>
      </c>
      <c r="I623" s="18">
        <f t="shared" si="2"/>
        <v>45971</v>
      </c>
      <c r="J623" s="19" t="s">
        <v>28</v>
      </c>
      <c r="K623" s="19" t="s">
        <v>5170</v>
      </c>
      <c r="L623" s="40"/>
    </row>
    <row r="624" ht="22.5" customHeight="1">
      <c r="C624" s="19" t="s">
        <v>8734</v>
      </c>
      <c r="D624" s="39" t="s">
        <v>8791</v>
      </c>
      <c r="E624" s="43" t="s">
        <v>3693</v>
      </c>
      <c r="F624" s="43" t="s">
        <v>4624</v>
      </c>
      <c r="G624" s="43" t="s">
        <v>5882</v>
      </c>
      <c r="H624" s="44">
        <v>2.013519017E9</v>
      </c>
      <c r="I624" s="18">
        <f t="shared" si="2"/>
        <v>45971</v>
      </c>
      <c r="J624" s="19" t="s">
        <v>28</v>
      </c>
      <c r="K624" s="19" t="s">
        <v>5170</v>
      </c>
      <c r="L624" s="40"/>
    </row>
    <row r="625" ht="22.5" customHeight="1">
      <c r="C625" s="19" t="s">
        <v>8734</v>
      </c>
      <c r="D625" s="39" t="s">
        <v>8792</v>
      </c>
      <c r="E625" s="43" t="s">
        <v>4625</v>
      </c>
      <c r="F625" s="43" t="s">
        <v>4626</v>
      </c>
      <c r="G625" s="43" t="s">
        <v>6902</v>
      </c>
      <c r="H625" s="42" t="s">
        <v>4627</v>
      </c>
      <c r="I625" s="18">
        <f t="shared" si="2"/>
        <v>45971</v>
      </c>
      <c r="J625" s="19" t="s">
        <v>28</v>
      </c>
      <c r="K625" s="19" t="s">
        <v>5170</v>
      </c>
      <c r="L625" s="40"/>
    </row>
    <row r="626" ht="22.5" customHeight="1">
      <c r="C626" s="19" t="s">
        <v>8734</v>
      </c>
      <c r="D626" s="39" t="s">
        <v>8793</v>
      </c>
      <c r="E626" s="43" t="s">
        <v>4628</v>
      </c>
      <c r="F626" s="43" t="s">
        <v>4629</v>
      </c>
      <c r="G626" s="43" t="s">
        <v>6098</v>
      </c>
      <c r="H626" s="42" t="s">
        <v>4630</v>
      </c>
      <c r="I626" s="18">
        <f t="shared" si="2"/>
        <v>45971</v>
      </c>
      <c r="J626" s="19" t="s">
        <v>28</v>
      </c>
      <c r="K626" s="19" t="s">
        <v>5170</v>
      </c>
      <c r="L626" s="40"/>
    </row>
    <row r="627" ht="22.5" customHeight="1">
      <c r="C627" s="19" t="s">
        <v>8734</v>
      </c>
      <c r="D627" s="39" t="s">
        <v>8794</v>
      </c>
      <c r="E627" s="43" t="s">
        <v>4631</v>
      </c>
      <c r="F627" s="43" t="s">
        <v>4632</v>
      </c>
      <c r="G627" s="43" t="s">
        <v>6004</v>
      </c>
      <c r="H627" s="42" t="s">
        <v>4633</v>
      </c>
      <c r="I627" s="18">
        <f t="shared" si="2"/>
        <v>45971</v>
      </c>
      <c r="J627" s="19" t="s">
        <v>28</v>
      </c>
      <c r="K627" s="19" t="s">
        <v>5170</v>
      </c>
      <c r="L627" s="4"/>
    </row>
    <row r="628" ht="22.5" customHeight="1">
      <c r="C628" s="19" t="s">
        <v>8734</v>
      </c>
      <c r="D628" s="39" t="s">
        <v>8795</v>
      </c>
      <c r="E628" s="43" t="s">
        <v>4634</v>
      </c>
      <c r="F628" s="43" t="s">
        <v>4635</v>
      </c>
      <c r="G628" s="43" t="s">
        <v>6387</v>
      </c>
      <c r="H628" s="42" t="s">
        <v>4637</v>
      </c>
      <c r="I628" s="18">
        <f t="shared" si="2"/>
        <v>45971</v>
      </c>
      <c r="J628" s="19" t="s">
        <v>28</v>
      </c>
      <c r="K628" s="19" t="s">
        <v>5170</v>
      </c>
      <c r="L628" s="40"/>
    </row>
    <row r="629" ht="22.5" customHeight="1">
      <c r="C629" s="19" t="s">
        <v>8734</v>
      </c>
      <c r="D629" s="39" t="s">
        <v>8796</v>
      </c>
      <c r="E629" s="43" t="s">
        <v>4638</v>
      </c>
      <c r="F629" s="43" t="s">
        <v>4638</v>
      </c>
      <c r="G629" s="43" t="s">
        <v>5834</v>
      </c>
      <c r="H629" s="42" t="s">
        <v>4639</v>
      </c>
      <c r="I629" s="18">
        <f t="shared" si="2"/>
        <v>45971</v>
      </c>
      <c r="J629" s="19" t="s">
        <v>28</v>
      </c>
      <c r="K629" s="19" t="s">
        <v>5170</v>
      </c>
      <c r="L629" s="40"/>
    </row>
    <row r="630" ht="22.5" customHeight="1">
      <c r="C630" s="19" t="s">
        <v>8734</v>
      </c>
      <c r="D630" s="39" t="s">
        <v>8797</v>
      </c>
      <c r="E630" s="43" t="s">
        <v>4640</v>
      </c>
      <c r="F630" s="43" t="s">
        <v>4641</v>
      </c>
      <c r="G630" s="43" t="s">
        <v>5962</v>
      </c>
      <c r="H630" s="42" t="s">
        <v>4642</v>
      </c>
      <c r="I630" s="18">
        <f t="shared" si="2"/>
        <v>45971</v>
      </c>
      <c r="J630" s="19" t="s">
        <v>28</v>
      </c>
      <c r="K630" s="19" t="s">
        <v>5170</v>
      </c>
      <c r="L630" s="40"/>
    </row>
    <row r="631" ht="22.5" customHeight="1">
      <c r="C631" s="19" t="s">
        <v>8734</v>
      </c>
      <c r="D631" s="39" t="s">
        <v>8798</v>
      </c>
      <c r="E631" s="43" t="s">
        <v>4643</v>
      </c>
      <c r="F631" s="43" t="s">
        <v>4644</v>
      </c>
      <c r="G631" s="43" t="s">
        <v>5874</v>
      </c>
      <c r="H631" s="44">
        <v>2.012557377E9</v>
      </c>
      <c r="I631" s="18">
        <f t="shared" si="2"/>
        <v>45971</v>
      </c>
      <c r="J631" s="19" t="s">
        <v>28</v>
      </c>
      <c r="K631" s="19" t="s">
        <v>5170</v>
      </c>
      <c r="L631" s="40"/>
    </row>
    <row r="632" ht="22.5" customHeight="1">
      <c r="C632" s="19" t="s">
        <v>8734</v>
      </c>
      <c r="D632" s="39" t="s">
        <v>8799</v>
      </c>
      <c r="E632" s="43" t="s">
        <v>4645</v>
      </c>
      <c r="F632" s="43" t="s">
        <v>4646</v>
      </c>
      <c r="G632" s="43" t="s">
        <v>8800</v>
      </c>
      <c r="H632" s="42" t="s">
        <v>4648</v>
      </c>
      <c r="I632" s="18">
        <f t="shared" si="2"/>
        <v>45971</v>
      </c>
      <c r="J632" s="19" t="s">
        <v>28</v>
      </c>
      <c r="K632" s="19" t="s">
        <v>5170</v>
      </c>
      <c r="L632" s="40"/>
    </row>
    <row r="633" ht="22.5" customHeight="1">
      <c r="C633" s="19" t="s">
        <v>8734</v>
      </c>
      <c r="D633" s="39" t="s">
        <v>8801</v>
      </c>
      <c r="E633" s="43" t="s">
        <v>4649</v>
      </c>
      <c r="F633" s="43" t="s">
        <v>4650</v>
      </c>
      <c r="G633" s="43" t="s">
        <v>5895</v>
      </c>
      <c r="H633" s="42" t="s">
        <v>4651</v>
      </c>
      <c r="I633" s="18">
        <f t="shared" si="2"/>
        <v>45971</v>
      </c>
      <c r="J633" s="19" t="s">
        <v>28</v>
      </c>
      <c r="K633" s="19" t="s">
        <v>5170</v>
      </c>
      <c r="L633" s="40"/>
    </row>
    <row r="634" ht="22.5" customHeight="1">
      <c r="C634" s="19" t="s">
        <v>8734</v>
      </c>
      <c r="D634" s="39" t="s">
        <v>8802</v>
      </c>
      <c r="E634" s="43" t="s">
        <v>4652</v>
      </c>
      <c r="F634" s="43" t="s">
        <v>4653</v>
      </c>
      <c r="G634" s="43" t="s">
        <v>6257</v>
      </c>
      <c r="H634" s="42" t="s">
        <v>4654</v>
      </c>
      <c r="I634" s="18">
        <f t="shared" si="2"/>
        <v>45971</v>
      </c>
      <c r="J634" s="19" t="s">
        <v>28</v>
      </c>
      <c r="K634" s="19" t="s">
        <v>5170</v>
      </c>
      <c r="L634" s="40"/>
    </row>
    <row r="635" ht="22.5" customHeight="1">
      <c r="C635" s="19" t="s">
        <v>8734</v>
      </c>
      <c r="D635" s="39" t="s">
        <v>8803</v>
      </c>
      <c r="E635" s="43" t="s">
        <v>4655</v>
      </c>
      <c r="F635" s="43" t="s">
        <v>4656</v>
      </c>
      <c r="G635" s="43" t="s">
        <v>5929</v>
      </c>
      <c r="H635" s="42" t="s">
        <v>4657</v>
      </c>
      <c r="I635" s="18">
        <f t="shared" si="2"/>
        <v>45971</v>
      </c>
      <c r="J635" s="19" t="s">
        <v>28</v>
      </c>
      <c r="K635" s="19" t="s">
        <v>5170</v>
      </c>
      <c r="L635" s="40"/>
    </row>
    <row r="636" ht="22.5" customHeight="1">
      <c r="C636" s="19" t="s">
        <v>8734</v>
      </c>
      <c r="D636" s="39" t="s">
        <v>8804</v>
      </c>
      <c r="E636" s="43" t="s">
        <v>4658</v>
      </c>
      <c r="F636" s="43" t="s">
        <v>4659</v>
      </c>
      <c r="G636" s="43" t="s">
        <v>6004</v>
      </c>
      <c r="H636" s="44">
        <v>9.419094053E9</v>
      </c>
      <c r="I636" s="18">
        <f t="shared" si="2"/>
        <v>45971</v>
      </c>
      <c r="J636" s="19" t="s">
        <v>28</v>
      </c>
      <c r="K636" s="19" t="s">
        <v>5170</v>
      </c>
      <c r="L636" s="40"/>
    </row>
    <row r="637" ht="22.5" customHeight="1">
      <c r="C637" s="19" t="s">
        <v>8734</v>
      </c>
      <c r="D637" s="39" t="s">
        <v>8805</v>
      </c>
      <c r="E637" s="43" t="s">
        <v>4660</v>
      </c>
      <c r="F637" s="43" t="s">
        <v>4661</v>
      </c>
      <c r="G637" s="43" t="s">
        <v>7465</v>
      </c>
      <c r="H637" s="44">
        <v>2.1292552E9</v>
      </c>
      <c r="I637" s="18">
        <f t="shared" si="2"/>
        <v>45971</v>
      </c>
      <c r="J637" s="19" t="s">
        <v>28</v>
      </c>
      <c r="K637" s="19" t="s">
        <v>5170</v>
      </c>
      <c r="L637" s="40"/>
    </row>
    <row r="638" ht="22.5" customHeight="1">
      <c r="C638" s="19" t="s">
        <v>8734</v>
      </c>
      <c r="D638" s="39" t="s">
        <v>8806</v>
      </c>
      <c r="E638" s="43" t="s">
        <v>4662</v>
      </c>
      <c r="F638" s="43" t="s">
        <v>4663</v>
      </c>
      <c r="G638" s="43" t="s">
        <v>7802</v>
      </c>
      <c r="H638" s="42" t="s">
        <v>4664</v>
      </c>
      <c r="I638" s="18">
        <f t="shared" si="2"/>
        <v>45971</v>
      </c>
      <c r="J638" s="19" t="s">
        <v>28</v>
      </c>
      <c r="K638" s="19" t="s">
        <v>5170</v>
      </c>
      <c r="L638" s="4"/>
    </row>
    <row r="639" ht="22.5" customHeight="1">
      <c r="C639" s="19" t="s">
        <v>8734</v>
      </c>
      <c r="D639" s="39" t="s">
        <v>8807</v>
      </c>
      <c r="E639" s="43" t="s">
        <v>4665</v>
      </c>
      <c r="F639" s="43" t="s">
        <v>4666</v>
      </c>
      <c r="G639" s="43" t="s">
        <v>8808</v>
      </c>
      <c r="H639" s="42" t="s">
        <v>4667</v>
      </c>
      <c r="I639" s="18">
        <f t="shared" si="2"/>
        <v>45971</v>
      </c>
      <c r="J639" s="19" t="s">
        <v>28</v>
      </c>
      <c r="K639" s="19" t="s">
        <v>5170</v>
      </c>
      <c r="L639" s="40"/>
    </row>
    <row r="640" ht="22.5" customHeight="1">
      <c r="C640" s="19" t="s">
        <v>8734</v>
      </c>
      <c r="D640" s="39" t="s">
        <v>8809</v>
      </c>
      <c r="E640" s="43" t="s">
        <v>4668</v>
      </c>
      <c r="F640" s="43" t="s">
        <v>4669</v>
      </c>
      <c r="G640" s="43" t="s">
        <v>8810</v>
      </c>
      <c r="H640" s="42" t="s">
        <v>4671</v>
      </c>
      <c r="I640" s="18">
        <f t="shared" si="2"/>
        <v>45971</v>
      </c>
      <c r="J640" s="19" t="s">
        <v>28</v>
      </c>
      <c r="K640" s="19" t="s">
        <v>5170</v>
      </c>
      <c r="L640" s="40"/>
    </row>
    <row r="641" ht="22.5" customHeight="1">
      <c r="C641" s="19" t="s">
        <v>8734</v>
      </c>
      <c r="D641" s="39" t="s">
        <v>8811</v>
      </c>
      <c r="E641" s="43" t="s">
        <v>4672</v>
      </c>
      <c r="F641" s="43" t="s">
        <v>4673</v>
      </c>
      <c r="G641" s="43" t="s">
        <v>5913</v>
      </c>
      <c r="H641" s="42" t="s">
        <v>4674</v>
      </c>
      <c r="I641" s="18">
        <f t="shared" si="2"/>
        <v>45971</v>
      </c>
      <c r="J641" s="19" t="s">
        <v>28</v>
      </c>
      <c r="K641" s="19" t="s">
        <v>5170</v>
      </c>
      <c r="L641" s="40"/>
    </row>
    <row r="642" ht="22.5" customHeight="1">
      <c r="C642" s="19" t="s">
        <v>8734</v>
      </c>
      <c r="D642" s="39" t="s">
        <v>8812</v>
      </c>
      <c r="E642" s="43" t="s">
        <v>4675</v>
      </c>
      <c r="F642" s="43" t="s">
        <v>4676</v>
      </c>
      <c r="G642" s="43" t="s">
        <v>5842</v>
      </c>
      <c r="H642" s="44">
        <v>3.472868696E9</v>
      </c>
      <c r="I642" s="18">
        <f t="shared" si="2"/>
        <v>45971</v>
      </c>
      <c r="J642" s="19" t="s">
        <v>28</v>
      </c>
      <c r="K642" s="19" t="s">
        <v>5170</v>
      </c>
      <c r="L642" s="40"/>
    </row>
    <row r="643" ht="22.5" customHeight="1">
      <c r="C643" s="19" t="s">
        <v>8813</v>
      </c>
      <c r="D643" s="39" t="s">
        <v>8735</v>
      </c>
      <c r="E643" s="43" t="s">
        <v>8814</v>
      </c>
      <c r="F643" s="43" t="s">
        <v>8815</v>
      </c>
      <c r="G643" s="43" t="s">
        <v>5900</v>
      </c>
      <c r="H643" s="42" t="s">
        <v>8816</v>
      </c>
      <c r="I643" s="18">
        <f t="shared" ref="I643:I783" si="3">DATE(2025, 11, 11)</f>
        <v>45972</v>
      </c>
      <c r="J643" s="19" t="s">
        <v>28</v>
      </c>
      <c r="K643" s="19" t="s">
        <v>5170</v>
      </c>
      <c r="L643" s="40"/>
    </row>
    <row r="644" ht="22.5" customHeight="1">
      <c r="C644" s="19" t="s">
        <v>8813</v>
      </c>
      <c r="D644" s="39" t="s">
        <v>8736</v>
      </c>
      <c r="E644" s="43" t="s">
        <v>8817</v>
      </c>
      <c r="F644" s="43" t="s">
        <v>8818</v>
      </c>
      <c r="G644" s="43" t="s">
        <v>6076</v>
      </c>
      <c r="H644" s="42" t="s">
        <v>8819</v>
      </c>
      <c r="I644" s="18">
        <f t="shared" si="3"/>
        <v>45972</v>
      </c>
      <c r="J644" s="19" t="s">
        <v>28</v>
      </c>
      <c r="K644" s="19" t="s">
        <v>5170</v>
      </c>
      <c r="L644" s="40"/>
    </row>
    <row r="645" ht="22.5" customHeight="1">
      <c r="C645" s="19" t="s">
        <v>8813</v>
      </c>
      <c r="D645" s="39" t="s">
        <v>8737</v>
      </c>
      <c r="E645" s="43" t="s">
        <v>8820</v>
      </c>
      <c r="F645" s="43" t="s">
        <v>8821</v>
      </c>
      <c r="G645" s="43" t="s">
        <v>5929</v>
      </c>
      <c r="H645" s="44">
        <v>9.177679053E9</v>
      </c>
      <c r="I645" s="18">
        <f t="shared" si="3"/>
        <v>45972</v>
      </c>
      <c r="J645" s="19" t="s">
        <v>28</v>
      </c>
      <c r="K645" s="19" t="s">
        <v>5170</v>
      </c>
      <c r="L645" s="4"/>
    </row>
    <row r="646" ht="22.5" customHeight="1">
      <c r="C646" s="19" t="s">
        <v>8813</v>
      </c>
      <c r="D646" s="39" t="s">
        <v>8739</v>
      </c>
      <c r="E646" s="43" t="s">
        <v>8822</v>
      </c>
      <c r="F646" s="43" t="s">
        <v>8823</v>
      </c>
      <c r="G646" s="43" t="s">
        <v>5882</v>
      </c>
      <c r="H646" s="42" t="s">
        <v>8824</v>
      </c>
      <c r="I646" s="18">
        <f t="shared" si="3"/>
        <v>45972</v>
      </c>
      <c r="J646" s="19" t="s">
        <v>28</v>
      </c>
      <c r="K646" s="19" t="s">
        <v>5170</v>
      </c>
      <c r="L646" s="40"/>
    </row>
    <row r="647" ht="22.5" customHeight="1">
      <c r="C647" s="19" t="s">
        <v>8813</v>
      </c>
      <c r="D647" s="39" t="s">
        <v>8740</v>
      </c>
      <c r="E647" s="43" t="s">
        <v>8825</v>
      </c>
      <c r="F647" s="43" t="s">
        <v>8826</v>
      </c>
      <c r="G647" s="43" t="s">
        <v>5878</v>
      </c>
      <c r="H647" s="44">
        <v>5.126588664E9</v>
      </c>
      <c r="I647" s="18">
        <f t="shared" si="3"/>
        <v>45972</v>
      </c>
      <c r="J647" s="19" t="s">
        <v>28</v>
      </c>
      <c r="K647" s="19" t="s">
        <v>5170</v>
      </c>
      <c r="L647" s="40"/>
    </row>
    <row r="648" ht="22.5" customHeight="1">
      <c r="C648" s="19" t="s">
        <v>8813</v>
      </c>
      <c r="D648" s="39" t="s">
        <v>8741</v>
      </c>
      <c r="E648" s="43" t="s">
        <v>8827</v>
      </c>
      <c r="F648" s="43" t="s">
        <v>8828</v>
      </c>
      <c r="G648" s="43" t="s">
        <v>7606</v>
      </c>
      <c r="H648" s="42" t="s">
        <v>8829</v>
      </c>
      <c r="I648" s="18">
        <f t="shared" si="3"/>
        <v>45972</v>
      </c>
      <c r="J648" s="19" t="s">
        <v>28</v>
      </c>
      <c r="K648" s="19" t="s">
        <v>5170</v>
      </c>
      <c r="L648" s="40"/>
    </row>
    <row r="649" ht="22.5" customHeight="1">
      <c r="C649" s="19" t="s">
        <v>8813</v>
      </c>
      <c r="D649" s="39" t="s">
        <v>8742</v>
      </c>
      <c r="E649" s="43" t="s">
        <v>8830</v>
      </c>
      <c r="F649" s="43" t="s">
        <v>8831</v>
      </c>
      <c r="G649" s="43" t="s">
        <v>5908</v>
      </c>
      <c r="H649" s="42" t="s">
        <v>8832</v>
      </c>
      <c r="I649" s="18">
        <f t="shared" si="3"/>
        <v>45972</v>
      </c>
      <c r="J649" s="19" t="s">
        <v>28</v>
      </c>
      <c r="K649" s="19" t="s">
        <v>5170</v>
      </c>
      <c r="L649" s="40"/>
    </row>
    <row r="650" ht="22.5" customHeight="1">
      <c r="C650" s="19" t="s">
        <v>8813</v>
      </c>
      <c r="D650" s="39" t="s">
        <v>8743</v>
      </c>
      <c r="E650" s="43" t="s">
        <v>8833</v>
      </c>
      <c r="F650" s="43" t="s">
        <v>8834</v>
      </c>
      <c r="G650" s="43" t="s">
        <v>5949</v>
      </c>
      <c r="H650" s="44">
        <v>3.479064156E9</v>
      </c>
      <c r="I650" s="18">
        <f t="shared" si="3"/>
        <v>45972</v>
      </c>
      <c r="J650" s="19" t="s">
        <v>28</v>
      </c>
      <c r="K650" s="19" t="s">
        <v>5170</v>
      </c>
      <c r="L650" s="4"/>
    </row>
    <row r="651" ht="22.5" customHeight="1">
      <c r="C651" s="19" t="s">
        <v>8813</v>
      </c>
      <c r="D651" s="39" t="s">
        <v>8744</v>
      </c>
      <c r="E651" s="43" t="s">
        <v>8835</v>
      </c>
      <c r="F651" s="43" t="s">
        <v>8836</v>
      </c>
      <c r="G651" s="43" t="s">
        <v>6376</v>
      </c>
      <c r="H651" s="44">
        <v>9.175771022E9</v>
      </c>
      <c r="I651" s="18">
        <f t="shared" si="3"/>
        <v>45972</v>
      </c>
      <c r="J651" s="19" t="s">
        <v>28</v>
      </c>
      <c r="K651" s="19" t="s">
        <v>5170</v>
      </c>
      <c r="L651" s="4"/>
    </row>
    <row r="652" ht="22.5" customHeight="1">
      <c r="C652" s="19" t="s">
        <v>8813</v>
      </c>
      <c r="D652" s="39" t="s">
        <v>8745</v>
      </c>
      <c r="E652" s="43" t="s">
        <v>8837</v>
      </c>
      <c r="F652" s="43" t="s">
        <v>8838</v>
      </c>
      <c r="G652" s="43" t="s">
        <v>5834</v>
      </c>
      <c r="H652" s="42" t="s">
        <v>8839</v>
      </c>
      <c r="I652" s="18">
        <f t="shared" si="3"/>
        <v>45972</v>
      </c>
      <c r="J652" s="19" t="s">
        <v>28</v>
      </c>
      <c r="K652" s="19" t="s">
        <v>5170</v>
      </c>
      <c r="L652" s="40"/>
    </row>
    <row r="653" ht="22.5" customHeight="1">
      <c r="C653" s="19" t="s">
        <v>8813</v>
      </c>
      <c r="D653" s="39" t="s">
        <v>8746</v>
      </c>
      <c r="E653" s="43" t="s">
        <v>8840</v>
      </c>
      <c r="F653" s="43" t="s">
        <v>8841</v>
      </c>
      <c r="G653" s="43" t="s">
        <v>8748</v>
      </c>
      <c r="H653" s="42" t="s">
        <v>8842</v>
      </c>
      <c r="I653" s="18">
        <f t="shared" si="3"/>
        <v>45972</v>
      </c>
      <c r="J653" s="19" t="s">
        <v>28</v>
      </c>
      <c r="K653" s="19" t="s">
        <v>5170</v>
      </c>
      <c r="L653" s="40"/>
    </row>
    <row r="654" ht="22.5" customHeight="1">
      <c r="C654" s="19" t="s">
        <v>8813</v>
      </c>
      <c r="D654" s="39" t="s">
        <v>8747</v>
      </c>
      <c r="E654" s="43" t="s">
        <v>8843</v>
      </c>
      <c r="F654" s="43" t="s">
        <v>8844</v>
      </c>
      <c r="G654" s="43" t="s">
        <v>5878</v>
      </c>
      <c r="H654" s="42" t="s">
        <v>8845</v>
      </c>
      <c r="I654" s="18">
        <f t="shared" si="3"/>
        <v>45972</v>
      </c>
      <c r="J654" s="19" t="s">
        <v>28</v>
      </c>
      <c r="K654" s="19" t="s">
        <v>5170</v>
      </c>
      <c r="L654" s="40"/>
    </row>
    <row r="655" ht="22.5" customHeight="1">
      <c r="C655" s="19" t="s">
        <v>8813</v>
      </c>
      <c r="D655" s="39" t="s">
        <v>8749</v>
      </c>
      <c r="E655" s="43" t="s">
        <v>8846</v>
      </c>
      <c r="F655" s="43" t="s">
        <v>5730</v>
      </c>
      <c r="G655" s="43" t="s">
        <v>5878</v>
      </c>
      <c r="H655" s="42" t="s">
        <v>8847</v>
      </c>
      <c r="I655" s="18">
        <f t="shared" si="3"/>
        <v>45972</v>
      </c>
      <c r="J655" s="19" t="s">
        <v>28</v>
      </c>
      <c r="K655" s="19" t="s">
        <v>5170</v>
      </c>
      <c r="L655" s="40"/>
    </row>
    <row r="656" ht="22.5" customHeight="1">
      <c r="C656" s="19" t="s">
        <v>8813</v>
      </c>
      <c r="D656" s="39" t="s">
        <v>8750</v>
      </c>
      <c r="E656" s="43" t="s">
        <v>8848</v>
      </c>
      <c r="F656" s="43" t="s">
        <v>8849</v>
      </c>
      <c r="G656" s="43" t="s">
        <v>5858</v>
      </c>
      <c r="H656" s="42" t="s">
        <v>8850</v>
      </c>
      <c r="I656" s="18">
        <f t="shared" si="3"/>
        <v>45972</v>
      </c>
      <c r="J656" s="19" t="s">
        <v>28</v>
      </c>
      <c r="K656" s="19" t="s">
        <v>5170</v>
      </c>
      <c r="L656" s="40"/>
    </row>
    <row r="657" ht="22.5" customHeight="1">
      <c r="C657" s="19" t="s">
        <v>8813</v>
      </c>
      <c r="D657" s="39" t="s">
        <v>8751</v>
      </c>
      <c r="E657" s="43" t="s">
        <v>8851</v>
      </c>
      <c r="F657" s="43" t="s">
        <v>8852</v>
      </c>
      <c r="G657" s="43" t="s">
        <v>5957</v>
      </c>
      <c r="H657" s="44">
        <v>1.5167460002E10</v>
      </c>
      <c r="I657" s="18">
        <f t="shared" si="3"/>
        <v>45972</v>
      </c>
      <c r="J657" s="19" t="s">
        <v>28</v>
      </c>
      <c r="K657" s="19" t="s">
        <v>5170</v>
      </c>
      <c r="L657" s="40"/>
    </row>
    <row r="658" ht="22.5" customHeight="1">
      <c r="C658" s="19" t="s">
        <v>8813</v>
      </c>
      <c r="D658" s="39" t="s">
        <v>8753</v>
      </c>
      <c r="E658" s="43" t="s">
        <v>8853</v>
      </c>
      <c r="F658" s="43" t="s">
        <v>8854</v>
      </c>
      <c r="G658" s="43" t="s">
        <v>5874</v>
      </c>
      <c r="H658" s="44">
        <v>9.143303154E9</v>
      </c>
      <c r="I658" s="18">
        <f t="shared" si="3"/>
        <v>45972</v>
      </c>
      <c r="J658" s="19" t="s">
        <v>28</v>
      </c>
      <c r="K658" s="19" t="s">
        <v>5170</v>
      </c>
      <c r="L658" s="40"/>
    </row>
    <row r="659" ht="22.5" customHeight="1">
      <c r="C659" s="19" t="s">
        <v>8813</v>
      </c>
      <c r="D659" s="39" t="s">
        <v>8754</v>
      </c>
      <c r="E659" s="43" t="s">
        <v>8855</v>
      </c>
      <c r="F659" s="43" t="s">
        <v>8856</v>
      </c>
      <c r="G659" s="43" t="s">
        <v>6721</v>
      </c>
      <c r="H659" s="42" t="s">
        <v>8857</v>
      </c>
      <c r="I659" s="18">
        <f t="shared" si="3"/>
        <v>45972</v>
      </c>
      <c r="J659" s="19" t="s">
        <v>28</v>
      </c>
      <c r="K659" s="19" t="s">
        <v>5170</v>
      </c>
      <c r="L659" s="4"/>
    </row>
    <row r="660" ht="22.5" customHeight="1">
      <c r="C660" s="19" t="s">
        <v>8813</v>
      </c>
      <c r="D660" s="39" t="s">
        <v>8756</v>
      </c>
      <c r="E660" s="43" t="s">
        <v>8858</v>
      </c>
      <c r="F660" s="43" t="s">
        <v>8859</v>
      </c>
      <c r="G660" s="43" t="s">
        <v>6063</v>
      </c>
      <c r="H660" s="42" t="s">
        <v>8860</v>
      </c>
      <c r="I660" s="18">
        <f t="shared" si="3"/>
        <v>45972</v>
      </c>
      <c r="J660" s="19" t="s">
        <v>28</v>
      </c>
      <c r="K660" s="19" t="s">
        <v>5170</v>
      </c>
      <c r="L660" s="40"/>
    </row>
    <row r="661" ht="22.5" customHeight="1">
      <c r="C661" s="19" t="s">
        <v>8813</v>
      </c>
      <c r="D661" s="39" t="s">
        <v>8757</v>
      </c>
      <c r="E661" s="43" t="s">
        <v>8861</v>
      </c>
      <c r="F661" s="43" t="s">
        <v>8862</v>
      </c>
      <c r="G661" s="43" t="s">
        <v>5825</v>
      </c>
      <c r="H661" s="44">
        <v>9.173415746E9</v>
      </c>
      <c r="I661" s="18">
        <f t="shared" si="3"/>
        <v>45972</v>
      </c>
      <c r="J661" s="19" t="s">
        <v>28</v>
      </c>
      <c r="K661" s="19" t="s">
        <v>5170</v>
      </c>
      <c r="L661" s="40"/>
    </row>
    <row r="662" ht="22.5" customHeight="1">
      <c r="C662" s="19" t="s">
        <v>8813</v>
      </c>
      <c r="D662" s="39" t="s">
        <v>8758</v>
      </c>
      <c r="E662" s="43" t="s">
        <v>8863</v>
      </c>
      <c r="F662" s="43" t="s">
        <v>8864</v>
      </c>
      <c r="G662" s="43" t="s">
        <v>5891</v>
      </c>
      <c r="H662" s="42" t="s">
        <v>8865</v>
      </c>
      <c r="I662" s="18">
        <f t="shared" si="3"/>
        <v>45972</v>
      </c>
      <c r="J662" s="19" t="s">
        <v>28</v>
      </c>
      <c r="K662" s="19" t="s">
        <v>5170</v>
      </c>
      <c r="L662" s="40"/>
    </row>
    <row r="663" ht="22.5" customHeight="1">
      <c r="C663" s="19" t="s">
        <v>8813</v>
      </c>
      <c r="D663" s="39" t="s">
        <v>8759</v>
      </c>
      <c r="E663" s="43" t="s">
        <v>8866</v>
      </c>
      <c r="F663" s="43" t="s">
        <v>8867</v>
      </c>
      <c r="G663" s="43" t="s">
        <v>5939</v>
      </c>
      <c r="H663" s="42" t="s">
        <v>8868</v>
      </c>
      <c r="I663" s="18">
        <f t="shared" si="3"/>
        <v>45972</v>
      </c>
      <c r="J663" s="19" t="s">
        <v>28</v>
      </c>
      <c r="K663" s="19" t="s">
        <v>5170</v>
      </c>
      <c r="L663" s="40"/>
    </row>
    <row r="664" ht="22.5" customHeight="1">
      <c r="C664" s="19" t="s">
        <v>8813</v>
      </c>
      <c r="D664" s="39" t="s">
        <v>8761</v>
      </c>
      <c r="E664" s="43" t="s">
        <v>8869</v>
      </c>
      <c r="F664" s="43" t="s">
        <v>8870</v>
      </c>
      <c r="G664" s="43" t="s">
        <v>6288</v>
      </c>
      <c r="H664" s="42" t="s">
        <v>8871</v>
      </c>
      <c r="I664" s="18">
        <f t="shared" si="3"/>
        <v>45972</v>
      </c>
      <c r="J664" s="19" t="s">
        <v>28</v>
      </c>
      <c r="K664" s="19" t="s">
        <v>5170</v>
      </c>
      <c r="L664" s="40"/>
    </row>
    <row r="665" ht="22.5" customHeight="1">
      <c r="C665" s="19" t="s">
        <v>8813</v>
      </c>
      <c r="D665" s="39" t="s">
        <v>8762</v>
      </c>
      <c r="E665" s="43" t="s">
        <v>8872</v>
      </c>
      <c r="F665" s="43" t="s">
        <v>8873</v>
      </c>
      <c r="G665" s="43" t="s">
        <v>8755</v>
      </c>
      <c r="H665" s="42" t="s">
        <v>8874</v>
      </c>
      <c r="I665" s="18">
        <f t="shared" si="3"/>
        <v>45972</v>
      </c>
      <c r="J665" s="19" t="s">
        <v>28</v>
      </c>
      <c r="K665" s="19" t="s">
        <v>5170</v>
      </c>
      <c r="L665" s="40"/>
    </row>
    <row r="666" ht="22.5" customHeight="1">
      <c r="C666" s="19" t="s">
        <v>8813</v>
      </c>
      <c r="D666" s="39" t="s">
        <v>8763</v>
      </c>
      <c r="E666" s="43" t="s">
        <v>8875</v>
      </c>
      <c r="F666" s="43" t="s">
        <v>8876</v>
      </c>
      <c r="G666" s="43" t="s">
        <v>6063</v>
      </c>
      <c r="H666" s="42" t="s">
        <v>8877</v>
      </c>
      <c r="I666" s="18">
        <f t="shared" si="3"/>
        <v>45972</v>
      </c>
      <c r="J666" s="19" t="s">
        <v>28</v>
      </c>
      <c r="K666" s="19" t="s">
        <v>5170</v>
      </c>
      <c r="L666" s="40"/>
    </row>
    <row r="667" ht="22.5" customHeight="1">
      <c r="C667" s="19" t="s">
        <v>8813</v>
      </c>
      <c r="D667" s="39" t="s">
        <v>8764</v>
      </c>
      <c r="E667" s="43" t="s">
        <v>8878</v>
      </c>
      <c r="F667" s="43" t="s">
        <v>8879</v>
      </c>
      <c r="G667" s="43" t="s">
        <v>8880</v>
      </c>
      <c r="H667" s="42" t="s">
        <v>8881</v>
      </c>
      <c r="I667" s="18">
        <f t="shared" si="3"/>
        <v>45972</v>
      </c>
      <c r="J667" s="19" t="s">
        <v>28</v>
      </c>
      <c r="K667" s="19" t="s">
        <v>5170</v>
      </c>
      <c r="L667" s="4"/>
    </row>
    <row r="668" ht="22.5" customHeight="1">
      <c r="C668" s="19" t="s">
        <v>8813</v>
      </c>
      <c r="D668" s="39" t="s">
        <v>8766</v>
      </c>
      <c r="E668" s="43" t="s">
        <v>8882</v>
      </c>
      <c r="F668" s="43" t="s">
        <v>8883</v>
      </c>
      <c r="G668" s="43" t="s">
        <v>5820</v>
      </c>
      <c r="H668" s="42" t="s">
        <v>8884</v>
      </c>
      <c r="I668" s="18">
        <f t="shared" si="3"/>
        <v>45972</v>
      </c>
      <c r="J668" s="19" t="s">
        <v>28</v>
      </c>
      <c r="K668" s="19" t="s">
        <v>5170</v>
      </c>
      <c r="L668" s="40"/>
    </row>
    <row r="669" ht="22.5" customHeight="1">
      <c r="C669" s="19" t="s">
        <v>8813</v>
      </c>
      <c r="D669" s="39" t="s">
        <v>8768</v>
      </c>
      <c r="E669" s="43" t="s">
        <v>8885</v>
      </c>
      <c r="F669" s="43" t="s">
        <v>8886</v>
      </c>
      <c r="G669" s="43" t="s">
        <v>8343</v>
      </c>
      <c r="H669" s="42" t="s">
        <v>8887</v>
      </c>
      <c r="I669" s="18">
        <f t="shared" si="3"/>
        <v>45972</v>
      </c>
      <c r="J669" s="19" t="s">
        <v>28</v>
      </c>
      <c r="K669" s="19" t="s">
        <v>5170</v>
      </c>
      <c r="L669" s="40"/>
    </row>
    <row r="670" ht="22.5" customHeight="1">
      <c r="C670" s="19" t="s">
        <v>8813</v>
      </c>
      <c r="D670" s="39" t="s">
        <v>8770</v>
      </c>
      <c r="E670" s="43" t="s">
        <v>8888</v>
      </c>
      <c r="F670" s="43" t="s">
        <v>8889</v>
      </c>
      <c r="G670" s="43" t="s">
        <v>6160</v>
      </c>
      <c r="H670" s="44">
        <v>9.174058047E9</v>
      </c>
      <c r="I670" s="18">
        <f t="shared" si="3"/>
        <v>45972</v>
      </c>
      <c r="J670" s="19" t="s">
        <v>28</v>
      </c>
      <c r="K670" s="19" t="s">
        <v>5170</v>
      </c>
      <c r="L670" s="4"/>
    </row>
    <row r="671" ht="22.5" customHeight="1">
      <c r="C671" s="19" t="s">
        <v>8813</v>
      </c>
      <c r="D671" s="39" t="s">
        <v>8771</v>
      </c>
      <c r="E671" s="43" t="s">
        <v>8890</v>
      </c>
      <c r="F671" s="43" t="s">
        <v>8891</v>
      </c>
      <c r="G671" s="43" t="s">
        <v>6459</v>
      </c>
      <c r="H671" s="42" t="s">
        <v>8892</v>
      </c>
      <c r="I671" s="18">
        <f t="shared" si="3"/>
        <v>45972</v>
      </c>
      <c r="J671" s="19" t="s">
        <v>28</v>
      </c>
      <c r="K671" s="19" t="s">
        <v>5170</v>
      </c>
      <c r="L671" s="40"/>
    </row>
    <row r="672" ht="22.5" customHeight="1">
      <c r="C672" s="19" t="s">
        <v>8813</v>
      </c>
      <c r="D672" s="39" t="s">
        <v>8773</v>
      </c>
      <c r="E672" s="43" t="s">
        <v>8893</v>
      </c>
      <c r="F672" s="43" t="s">
        <v>8894</v>
      </c>
      <c r="G672" s="43" t="s">
        <v>7039</v>
      </c>
      <c r="H672" s="42" t="s">
        <v>8895</v>
      </c>
      <c r="I672" s="18">
        <f t="shared" si="3"/>
        <v>45972</v>
      </c>
      <c r="J672" s="19" t="s">
        <v>28</v>
      </c>
      <c r="K672" s="19" t="s">
        <v>5170</v>
      </c>
      <c r="L672" s="40"/>
    </row>
    <row r="673" ht="22.5" customHeight="1">
      <c r="C673" s="19" t="s">
        <v>8896</v>
      </c>
      <c r="D673" s="39" t="s">
        <v>8897</v>
      </c>
      <c r="E673" s="43" t="s">
        <v>8898</v>
      </c>
      <c r="F673" s="43" t="s">
        <v>1419</v>
      </c>
      <c r="G673" s="43" t="s">
        <v>5878</v>
      </c>
      <c r="H673" s="42" t="s">
        <v>8899</v>
      </c>
      <c r="I673" s="18">
        <f t="shared" si="3"/>
        <v>45972</v>
      </c>
      <c r="J673" s="19" t="s">
        <v>28</v>
      </c>
      <c r="K673" s="19" t="s">
        <v>5170</v>
      </c>
      <c r="L673" s="40"/>
    </row>
    <row r="674" ht="22.5" customHeight="1">
      <c r="C674" s="19" t="s">
        <v>8896</v>
      </c>
      <c r="D674" s="39" t="s">
        <v>8897</v>
      </c>
      <c r="E674" s="43" t="s">
        <v>8900</v>
      </c>
      <c r="F674" s="43" t="s">
        <v>8901</v>
      </c>
      <c r="G674" s="43" t="s">
        <v>5862</v>
      </c>
      <c r="H674" s="42" t="s">
        <v>8902</v>
      </c>
      <c r="I674" s="18">
        <f t="shared" si="3"/>
        <v>45972</v>
      </c>
      <c r="J674" s="19" t="s">
        <v>28</v>
      </c>
      <c r="K674" s="19" t="s">
        <v>5170</v>
      </c>
      <c r="L674" s="40"/>
    </row>
    <row r="675" ht="22.5" customHeight="1">
      <c r="C675" s="19" t="s">
        <v>8896</v>
      </c>
      <c r="D675" s="39" t="s">
        <v>8897</v>
      </c>
      <c r="E675" s="43" t="s">
        <v>8903</v>
      </c>
      <c r="F675" s="43" t="s">
        <v>8904</v>
      </c>
      <c r="G675" s="43" t="s">
        <v>7021</v>
      </c>
      <c r="H675" s="42" t="s">
        <v>8905</v>
      </c>
      <c r="I675" s="18">
        <f t="shared" si="3"/>
        <v>45972</v>
      </c>
      <c r="J675" s="19" t="s">
        <v>28</v>
      </c>
      <c r="K675" s="19" t="s">
        <v>5170</v>
      </c>
      <c r="L675" s="40"/>
    </row>
    <row r="676" ht="22.5" customHeight="1">
      <c r="C676" s="19" t="s">
        <v>8896</v>
      </c>
      <c r="D676" s="39" t="s">
        <v>8897</v>
      </c>
      <c r="E676" s="43" t="s">
        <v>8906</v>
      </c>
      <c r="F676" s="43" t="s">
        <v>8907</v>
      </c>
      <c r="G676" s="43" t="s">
        <v>5934</v>
      </c>
      <c r="H676" s="42" t="s">
        <v>8908</v>
      </c>
      <c r="I676" s="18">
        <f t="shared" si="3"/>
        <v>45972</v>
      </c>
      <c r="J676" s="19" t="s">
        <v>28</v>
      </c>
      <c r="K676" s="19" t="s">
        <v>5170</v>
      </c>
      <c r="L676" s="40"/>
    </row>
    <row r="677" ht="22.5" customHeight="1">
      <c r="C677" s="19" t="s">
        <v>8896</v>
      </c>
      <c r="D677" s="39" t="s">
        <v>8897</v>
      </c>
      <c r="E677" s="43" t="s">
        <v>8909</v>
      </c>
      <c r="F677" s="43" t="s">
        <v>8910</v>
      </c>
      <c r="G677" s="43" t="s">
        <v>8343</v>
      </c>
      <c r="H677" s="42" t="s">
        <v>8911</v>
      </c>
      <c r="I677" s="18">
        <f t="shared" si="3"/>
        <v>45972</v>
      </c>
      <c r="J677" s="19" t="s">
        <v>28</v>
      </c>
      <c r="K677" s="19" t="s">
        <v>5170</v>
      </c>
      <c r="L677" s="40"/>
    </row>
    <row r="678" ht="22.5" customHeight="1">
      <c r="C678" s="19" t="s">
        <v>8896</v>
      </c>
      <c r="D678" s="39" t="s">
        <v>8897</v>
      </c>
      <c r="E678" s="43" t="s">
        <v>8912</v>
      </c>
      <c r="F678" s="43" t="s">
        <v>8913</v>
      </c>
      <c r="G678" s="43" t="s">
        <v>5834</v>
      </c>
      <c r="H678" s="42" t="s">
        <v>8914</v>
      </c>
      <c r="I678" s="18">
        <f t="shared" si="3"/>
        <v>45972</v>
      </c>
      <c r="J678" s="19" t="s">
        <v>28</v>
      </c>
      <c r="K678" s="19" t="s">
        <v>5170</v>
      </c>
      <c r="L678" s="40"/>
    </row>
    <row r="679" ht="22.5" customHeight="1">
      <c r="C679" s="19" t="s">
        <v>8896</v>
      </c>
      <c r="D679" s="39" t="s">
        <v>8897</v>
      </c>
      <c r="E679" s="43" t="s">
        <v>8915</v>
      </c>
      <c r="F679" s="43" t="s">
        <v>8916</v>
      </c>
      <c r="G679" s="43" t="s">
        <v>6902</v>
      </c>
      <c r="H679" s="42" t="s">
        <v>8917</v>
      </c>
      <c r="I679" s="18">
        <f t="shared" si="3"/>
        <v>45972</v>
      </c>
      <c r="J679" s="19" t="s">
        <v>28</v>
      </c>
      <c r="K679" s="19" t="s">
        <v>5170</v>
      </c>
      <c r="L679" s="40"/>
    </row>
    <row r="680" ht="22.5" customHeight="1">
      <c r="C680" s="19" t="s">
        <v>8896</v>
      </c>
      <c r="D680" s="39" t="s">
        <v>8897</v>
      </c>
      <c r="E680" s="43" t="s">
        <v>8918</v>
      </c>
      <c r="F680" s="43" t="s">
        <v>8919</v>
      </c>
      <c r="G680" s="43" t="s">
        <v>5908</v>
      </c>
      <c r="H680" s="42" t="s">
        <v>8920</v>
      </c>
      <c r="I680" s="18">
        <f t="shared" si="3"/>
        <v>45972</v>
      </c>
      <c r="J680" s="19" t="s">
        <v>28</v>
      </c>
      <c r="K680" s="19" t="s">
        <v>5170</v>
      </c>
      <c r="L680" s="40"/>
    </row>
    <row r="681" ht="22.5" customHeight="1">
      <c r="C681" s="19" t="s">
        <v>8896</v>
      </c>
      <c r="D681" s="39" t="s">
        <v>8897</v>
      </c>
      <c r="E681" s="43" t="s">
        <v>8921</v>
      </c>
      <c r="F681" s="43" t="s">
        <v>8922</v>
      </c>
      <c r="G681" s="43" t="s">
        <v>8923</v>
      </c>
      <c r="H681" s="42" t="s">
        <v>8924</v>
      </c>
      <c r="I681" s="18">
        <f t="shared" si="3"/>
        <v>45972</v>
      </c>
      <c r="J681" s="19" t="s">
        <v>28</v>
      </c>
      <c r="K681" s="19" t="s">
        <v>5170</v>
      </c>
      <c r="L681" s="40"/>
    </row>
    <row r="682" ht="22.5" customHeight="1">
      <c r="C682" s="19" t="s">
        <v>8896</v>
      </c>
      <c r="D682" s="39" t="s">
        <v>8897</v>
      </c>
      <c r="E682" s="43" t="s">
        <v>8925</v>
      </c>
      <c r="F682" s="43" t="s">
        <v>2315</v>
      </c>
      <c r="G682" s="43" t="s">
        <v>5882</v>
      </c>
      <c r="H682" s="42" t="s">
        <v>8926</v>
      </c>
      <c r="I682" s="18">
        <f t="shared" si="3"/>
        <v>45972</v>
      </c>
      <c r="J682" s="19" t="s">
        <v>28</v>
      </c>
      <c r="K682" s="19" t="s">
        <v>5170</v>
      </c>
      <c r="L682" s="40"/>
    </row>
    <row r="683" ht="22.5" customHeight="1">
      <c r="C683" s="19" t="s">
        <v>8896</v>
      </c>
      <c r="D683" s="39" t="s">
        <v>8897</v>
      </c>
      <c r="E683" s="43" t="s">
        <v>8927</v>
      </c>
      <c r="F683" s="43" t="s">
        <v>8928</v>
      </c>
      <c r="G683" s="43" t="s">
        <v>5820</v>
      </c>
      <c r="H683" s="42" t="s">
        <v>8929</v>
      </c>
      <c r="I683" s="18">
        <f t="shared" si="3"/>
        <v>45972</v>
      </c>
      <c r="J683" s="19" t="s">
        <v>28</v>
      </c>
      <c r="K683" s="19" t="s">
        <v>5170</v>
      </c>
      <c r="L683" s="4"/>
    </row>
    <row r="684" ht="22.5" customHeight="1">
      <c r="C684" s="19" t="s">
        <v>8896</v>
      </c>
      <c r="D684" s="39" t="s">
        <v>8897</v>
      </c>
      <c r="E684" s="43" t="s">
        <v>8930</v>
      </c>
      <c r="F684" s="43" t="s">
        <v>8931</v>
      </c>
      <c r="G684" s="43" t="s">
        <v>8583</v>
      </c>
      <c r="H684" s="42" t="s">
        <v>8932</v>
      </c>
      <c r="I684" s="18">
        <f t="shared" si="3"/>
        <v>45972</v>
      </c>
      <c r="J684" s="19" t="s">
        <v>28</v>
      </c>
      <c r="K684" s="19" t="s">
        <v>5170</v>
      </c>
      <c r="L684" s="40"/>
    </row>
    <row r="685" ht="22.5" customHeight="1">
      <c r="C685" s="19" t="s">
        <v>8896</v>
      </c>
      <c r="D685" s="39" t="s">
        <v>8897</v>
      </c>
      <c r="E685" s="43" t="s">
        <v>8933</v>
      </c>
      <c r="F685" s="43" t="s">
        <v>8934</v>
      </c>
      <c r="G685" s="43" t="s">
        <v>8935</v>
      </c>
      <c r="H685" s="42" t="s">
        <v>8936</v>
      </c>
      <c r="I685" s="18">
        <f t="shared" si="3"/>
        <v>45972</v>
      </c>
      <c r="J685" s="19" t="s">
        <v>28</v>
      </c>
      <c r="K685" s="19" t="s">
        <v>5170</v>
      </c>
      <c r="L685" s="40"/>
    </row>
    <row r="686" ht="22.5" customHeight="1">
      <c r="C686" s="19" t="s">
        <v>8896</v>
      </c>
      <c r="D686" s="39" t="s">
        <v>8897</v>
      </c>
      <c r="E686" s="43" t="s">
        <v>8937</v>
      </c>
      <c r="F686" s="43" t="s">
        <v>8938</v>
      </c>
      <c r="G686" s="43" t="s">
        <v>5866</v>
      </c>
      <c r="H686" s="42" t="s">
        <v>8939</v>
      </c>
      <c r="I686" s="18">
        <f t="shared" si="3"/>
        <v>45972</v>
      </c>
      <c r="J686" s="19" t="s">
        <v>28</v>
      </c>
      <c r="K686" s="19" t="s">
        <v>5170</v>
      </c>
      <c r="L686" s="40"/>
    </row>
    <row r="687" ht="22.5" customHeight="1">
      <c r="C687" s="19" t="s">
        <v>8896</v>
      </c>
      <c r="D687" s="39" t="s">
        <v>8897</v>
      </c>
      <c r="E687" s="43" t="s">
        <v>8940</v>
      </c>
      <c r="F687" s="43" t="s">
        <v>8941</v>
      </c>
      <c r="G687" s="43" t="s">
        <v>8583</v>
      </c>
      <c r="H687" s="42" t="s">
        <v>8942</v>
      </c>
      <c r="I687" s="18">
        <f t="shared" si="3"/>
        <v>45972</v>
      </c>
      <c r="J687" s="19" t="s">
        <v>28</v>
      </c>
      <c r="K687" s="19" t="s">
        <v>5170</v>
      </c>
      <c r="L687" s="40"/>
    </row>
    <row r="688" ht="22.5" customHeight="1">
      <c r="C688" s="19" t="s">
        <v>8896</v>
      </c>
      <c r="D688" s="39" t="s">
        <v>8897</v>
      </c>
      <c r="E688" s="43" t="s">
        <v>8943</v>
      </c>
      <c r="F688" s="43" t="s">
        <v>8944</v>
      </c>
      <c r="G688" s="43" t="s">
        <v>8748</v>
      </c>
      <c r="H688" s="42" t="s">
        <v>182</v>
      </c>
      <c r="I688" s="18">
        <f t="shared" si="3"/>
        <v>45972</v>
      </c>
      <c r="J688" s="19" t="s">
        <v>28</v>
      </c>
      <c r="K688" s="19" t="s">
        <v>5170</v>
      </c>
      <c r="L688" s="40"/>
    </row>
    <row r="689" ht="22.5" customHeight="1">
      <c r="C689" s="19" t="s">
        <v>8896</v>
      </c>
      <c r="D689" s="39" t="s">
        <v>8897</v>
      </c>
      <c r="E689" s="43" t="s">
        <v>8945</v>
      </c>
      <c r="F689" s="43" t="s">
        <v>8946</v>
      </c>
      <c r="G689" s="43" t="s">
        <v>6957</v>
      </c>
      <c r="H689" s="42" t="s">
        <v>8947</v>
      </c>
      <c r="I689" s="18">
        <f t="shared" si="3"/>
        <v>45972</v>
      </c>
      <c r="J689" s="19" t="s">
        <v>28</v>
      </c>
      <c r="K689" s="19" t="s">
        <v>5170</v>
      </c>
      <c r="L689" s="40"/>
    </row>
    <row r="690" ht="22.5" customHeight="1">
      <c r="C690" s="19" t="s">
        <v>8896</v>
      </c>
      <c r="D690" s="39" t="s">
        <v>8897</v>
      </c>
      <c r="E690" s="43" t="s">
        <v>8948</v>
      </c>
      <c r="F690" s="43" t="s">
        <v>8949</v>
      </c>
      <c r="G690" s="43" t="s">
        <v>6721</v>
      </c>
      <c r="H690" s="42" t="s">
        <v>8950</v>
      </c>
      <c r="I690" s="18">
        <f t="shared" si="3"/>
        <v>45972</v>
      </c>
      <c r="J690" s="19" t="s">
        <v>28</v>
      </c>
      <c r="K690" s="19" t="s">
        <v>5170</v>
      </c>
      <c r="L690" s="40"/>
    </row>
    <row r="691" ht="22.5" customHeight="1">
      <c r="C691" s="19" t="s">
        <v>8896</v>
      </c>
      <c r="D691" s="39" t="s">
        <v>8897</v>
      </c>
      <c r="E691" s="43" t="s">
        <v>8951</v>
      </c>
      <c r="F691" s="43" t="s">
        <v>8952</v>
      </c>
      <c r="G691" s="43" t="s">
        <v>7039</v>
      </c>
      <c r="H691" s="44">
        <v>1.7189873729E10</v>
      </c>
      <c r="I691" s="18">
        <f t="shared" si="3"/>
        <v>45972</v>
      </c>
      <c r="J691" s="19" t="s">
        <v>28</v>
      </c>
      <c r="K691" s="19" t="s">
        <v>5170</v>
      </c>
      <c r="L691" s="40"/>
    </row>
    <row r="692" ht="22.5" customHeight="1">
      <c r="C692" s="19" t="s">
        <v>8896</v>
      </c>
      <c r="D692" s="39" t="s">
        <v>8897</v>
      </c>
      <c r="E692" s="43" t="s">
        <v>8953</v>
      </c>
      <c r="F692" s="43" t="s">
        <v>8954</v>
      </c>
      <c r="G692" s="43" t="s">
        <v>5862</v>
      </c>
      <c r="H692" s="42" t="s">
        <v>8955</v>
      </c>
      <c r="I692" s="18">
        <f t="shared" si="3"/>
        <v>45972</v>
      </c>
      <c r="J692" s="19" t="s">
        <v>28</v>
      </c>
      <c r="K692" s="19" t="s">
        <v>5170</v>
      </c>
      <c r="L692" s="40"/>
    </row>
    <row r="693" ht="22.5" customHeight="1">
      <c r="C693" s="19" t="s">
        <v>8896</v>
      </c>
      <c r="D693" s="39" t="s">
        <v>8897</v>
      </c>
      <c r="E693" s="43" t="s">
        <v>8956</v>
      </c>
      <c r="F693" s="43" t="s">
        <v>8957</v>
      </c>
      <c r="G693" s="43" t="s">
        <v>5926</v>
      </c>
      <c r="H693" s="44">
        <v>3.478595107E9</v>
      </c>
      <c r="I693" s="18">
        <f t="shared" si="3"/>
        <v>45972</v>
      </c>
      <c r="J693" s="19" t="s">
        <v>28</v>
      </c>
      <c r="K693" s="19" t="s">
        <v>5170</v>
      </c>
      <c r="L693" s="40"/>
    </row>
    <row r="694" ht="22.5" customHeight="1">
      <c r="C694" s="19" t="s">
        <v>8896</v>
      </c>
      <c r="D694" s="39" t="s">
        <v>8897</v>
      </c>
      <c r="E694" s="43" t="s">
        <v>8958</v>
      </c>
      <c r="F694" s="43" t="s">
        <v>8959</v>
      </c>
      <c r="G694" s="43" t="s">
        <v>7465</v>
      </c>
      <c r="H694" s="44">
        <v>5.16974696E9</v>
      </c>
      <c r="I694" s="18">
        <f t="shared" si="3"/>
        <v>45972</v>
      </c>
      <c r="J694" s="19" t="s">
        <v>28</v>
      </c>
      <c r="K694" s="19" t="s">
        <v>5170</v>
      </c>
      <c r="L694" s="40"/>
    </row>
    <row r="695" ht="22.5" customHeight="1">
      <c r="C695" s="19" t="s">
        <v>8896</v>
      </c>
      <c r="D695" s="39" t="s">
        <v>8897</v>
      </c>
      <c r="E695" s="43" t="s">
        <v>8960</v>
      </c>
      <c r="F695" s="43" t="s">
        <v>8961</v>
      </c>
      <c r="G695" s="43" t="s">
        <v>6155</v>
      </c>
      <c r="H695" s="42" t="s">
        <v>8962</v>
      </c>
      <c r="I695" s="18">
        <f t="shared" si="3"/>
        <v>45972</v>
      </c>
      <c r="J695" s="19" t="s">
        <v>28</v>
      </c>
      <c r="K695" s="19" t="s">
        <v>5170</v>
      </c>
      <c r="L695" s="40"/>
    </row>
    <row r="696" ht="22.5" customHeight="1">
      <c r="C696" s="19" t="s">
        <v>8896</v>
      </c>
      <c r="D696" s="39" t="s">
        <v>8897</v>
      </c>
      <c r="E696" s="43" t="s">
        <v>8963</v>
      </c>
      <c r="F696" s="43" t="s">
        <v>8964</v>
      </c>
      <c r="G696" s="43" t="s">
        <v>5900</v>
      </c>
      <c r="H696" s="42" t="s">
        <v>8965</v>
      </c>
      <c r="I696" s="18">
        <f t="shared" si="3"/>
        <v>45972</v>
      </c>
      <c r="J696" s="19" t="s">
        <v>28</v>
      </c>
      <c r="K696" s="19" t="s">
        <v>5170</v>
      </c>
      <c r="L696" s="40"/>
    </row>
    <row r="697" ht="22.5" customHeight="1">
      <c r="C697" s="19" t="s">
        <v>8896</v>
      </c>
      <c r="D697" s="39" t="s">
        <v>8897</v>
      </c>
      <c r="E697" s="43" t="s">
        <v>8966</v>
      </c>
      <c r="F697" s="43" t="s">
        <v>8967</v>
      </c>
      <c r="G697" s="43" t="s">
        <v>8968</v>
      </c>
      <c r="H697" s="42" t="s">
        <v>182</v>
      </c>
      <c r="I697" s="18">
        <f t="shared" si="3"/>
        <v>45972</v>
      </c>
      <c r="J697" s="19" t="s">
        <v>28</v>
      </c>
      <c r="K697" s="19" t="s">
        <v>5170</v>
      </c>
      <c r="L697" s="40"/>
    </row>
    <row r="698" ht="22.5" customHeight="1">
      <c r="C698" s="19" t="s">
        <v>8896</v>
      </c>
      <c r="D698" s="39" t="s">
        <v>8897</v>
      </c>
      <c r="E698" s="43" t="s">
        <v>8969</v>
      </c>
      <c r="F698" s="43" t="s">
        <v>8970</v>
      </c>
      <c r="G698" s="43" t="s">
        <v>8971</v>
      </c>
      <c r="H698" s="42" t="s">
        <v>8972</v>
      </c>
      <c r="I698" s="18">
        <f t="shared" si="3"/>
        <v>45972</v>
      </c>
      <c r="J698" s="19" t="s">
        <v>28</v>
      </c>
      <c r="K698" s="19" t="s">
        <v>5170</v>
      </c>
      <c r="L698" s="40"/>
    </row>
    <row r="699" ht="22.5" customHeight="1">
      <c r="C699" s="19" t="s">
        <v>8896</v>
      </c>
      <c r="D699" s="39" t="s">
        <v>8897</v>
      </c>
      <c r="E699" s="43" t="s">
        <v>8973</v>
      </c>
      <c r="F699" s="43" t="s">
        <v>8973</v>
      </c>
      <c r="G699" s="43" t="s">
        <v>6348</v>
      </c>
      <c r="H699" s="44">
        <v>3.106632058E9</v>
      </c>
      <c r="I699" s="18">
        <f t="shared" si="3"/>
        <v>45972</v>
      </c>
      <c r="J699" s="19" t="s">
        <v>28</v>
      </c>
      <c r="K699" s="19" t="s">
        <v>5170</v>
      </c>
      <c r="L699" s="40"/>
    </row>
    <row r="700" ht="22.5" customHeight="1">
      <c r="C700" s="19" t="s">
        <v>8896</v>
      </c>
      <c r="D700" s="39" t="s">
        <v>8897</v>
      </c>
      <c r="E700" s="43" t="s">
        <v>8974</v>
      </c>
      <c r="F700" s="43" t="s">
        <v>8975</v>
      </c>
      <c r="G700" s="43" t="s">
        <v>8976</v>
      </c>
      <c r="H700" s="42" t="s">
        <v>8977</v>
      </c>
      <c r="I700" s="18">
        <f t="shared" si="3"/>
        <v>45972</v>
      </c>
      <c r="J700" s="19" t="s">
        <v>28</v>
      </c>
      <c r="K700" s="19" t="s">
        <v>5170</v>
      </c>
      <c r="L700" s="4"/>
    </row>
    <row r="701" ht="22.5" customHeight="1">
      <c r="C701" s="19" t="s">
        <v>8896</v>
      </c>
      <c r="D701" s="39" t="s">
        <v>8897</v>
      </c>
      <c r="E701" s="43" t="s">
        <v>8978</v>
      </c>
      <c r="F701" s="43" t="s">
        <v>8979</v>
      </c>
      <c r="G701" s="43" t="s">
        <v>8980</v>
      </c>
      <c r="H701" s="42" t="s">
        <v>8981</v>
      </c>
      <c r="I701" s="18">
        <f t="shared" si="3"/>
        <v>45972</v>
      </c>
      <c r="J701" s="19" t="s">
        <v>28</v>
      </c>
      <c r="K701" s="19" t="s">
        <v>5170</v>
      </c>
      <c r="L701" s="40"/>
    </row>
    <row r="702" ht="22.5" customHeight="1">
      <c r="C702" s="19" t="s">
        <v>8896</v>
      </c>
      <c r="D702" s="39" t="s">
        <v>8897</v>
      </c>
      <c r="E702" s="43" t="s">
        <v>8982</v>
      </c>
      <c r="F702" s="43" t="s">
        <v>8983</v>
      </c>
      <c r="G702" s="43" t="s">
        <v>5913</v>
      </c>
      <c r="H702" s="44">
        <v>7.18875942E9</v>
      </c>
      <c r="I702" s="18">
        <f t="shared" si="3"/>
        <v>45972</v>
      </c>
      <c r="J702" s="19" t="s">
        <v>28</v>
      </c>
      <c r="K702" s="19" t="s">
        <v>5170</v>
      </c>
      <c r="L702" s="40"/>
    </row>
    <row r="703" ht="22.5" customHeight="1">
      <c r="C703" s="19" t="s">
        <v>8896</v>
      </c>
      <c r="D703" s="39" t="s">
        <v>8897</v>
      </c>
      <c r="E703" s="43" t="s">
        <v>8984</v>
      </c>
      <c r="F703" s="43" t="s">
        <v>8985</v>
      </c>
      <c r="G703" s="43" t="s">
        <v>5929</v>
      </c>
      <c r="H703" s="44">
        <v>6.465286674E9</v>
      </c>
      <c r="I703" s="18">
        <f t="shared" si="3"/>
        <v>45972</v>
      </c>
      <c r="J703" s="19" t="s">
        <v>28</v>
      </c>
      <c r="K703" s="19" t="s">
        <v>5170</v>
      </c>
      <c r="L703" s="40"/>
    </row>
    <row r="704" ht="22.5" customHeight="1">
      <c r="C704" s="19" t="s">
        <v>8896</v>
      </c>
      <c r="D704" s="39" t="s">
        <v>8897</v>
      </c>
      <c r="E704" s="43" t="s">
        <v>8986</v>
      </c>
      <c r="F704" s="43" t="s">
        <v>8987</v>
      </c>
      <c r="G704" s="43" t="s">
        <v>5870</v>
      </c>
      <c r="H704" s="42" t="s">
        <v>8988</v>
      </c>
      <c r="I704" s="18">
        <f t="shared" si="3"/>
        <v>45972</v>
      </c>
      <c r="J704" s="19" t="s">
        <v>28</v>
      </c>
      <c r="K704" s="19" t="s">
        <v>5170</v>
      </c>
      <c r="L704" s="40"/>
    </row>
    <row r="705" ht="22.5" customHeight="1">
      <c r="C705" s="19" t="s">
        <v>8896</v>
      </c>
      <c r="D705" s="39" t="s">
        <v>8897</v>
      </c>
      <c r="E705" s="43" t="s">
        <v>8989</v>
      </c>
      <c r="F705" s="43" t="s">
        <v>8989</v>
      </c>
      <c r="G705" s="43" t="s">
        <v>8990</v>
      </c>
      <c r="H705" s="44">
        <v>2.816868761E9</v>
      </c>
      <c r="I705" s="18">
        <f t="shared" si="3"/>
        <v>45972</v>
      </c>
      <c r="J705" s="19" t="s">
        <v>28</v>
      </c>
      <c r="K705" s="19" t="s">
        <v>5170</v>
      </c>
      <c r="L705" s="40"/>
    </row>
    <row r="706" ht="22.5" customHeight="1">
      <c r="C706" s="19" t="s">
        <v>8896</v>
      </c>
      <c r="D706" s="39" t="s">
        <v>8897</v>
      </c>
      <c r="E706" s="43" t="s">
        <v>8991</v>
      </c>
      <c r="F706" s="43" t="s">
        <v>8992</v>
      </c>
      <c r="G706" s="43" t="s">
        <v>6004</v>
      </c>
      <c r="H706" s="44">
        <v>2.127146655E9</v>
      </c>
      <c r="I706" s="18">
        <f t="shared" si="3"/>
        <v>45972</v>
      </c>
      <c r="J706" s="19" t="s">
        <v>28</v>
      </c>
      <c r="K706" s="19" t="s">
        <v>5170</v>
      </c>
      <c r="L706" s="40"/>
    </row>
    <row r="707" ht="22.5" customHeight="1">
      <c r="C707" s="19" t="s">
        <v>8896</v>
      </c>
      <c r="D707" s="39" t="s">
        <v>8897</v>
      </c>
      <c r="E707" s="43" t="s">
        <v>8993</v>
      </c>
      <c r="F707" s="43" t="s">
        <v>8994</v>
      </c>
      <c r="G707" s="43" t="s">
        <v>5977</v>
      </c>
      <c r="H707" s="44">
        <v>6.46489412E9</v>
      </c>
      <c r="I707" s="18">
        <f t="shared" si="3"/>
        <v>45972</v>
      </c>
      <c r="J707" s="19" t="s">
        <v>28</v>
      </c>
      <c r="K707" s="19" t="s">
        <v>5170</v>
      </c>
      <c r="L707" s="40"/>
    </row>
    <row r="708" ht="22.5" customHeight="1">
      <c r="C708" s="19" t="s">
        <v>8896</v>
      </c>
      <c r="D708" s="39" t="s">
        <v>8897</v>
      </c>
      <c r="E708" s="43" t="s">
        <v>8995</v>
      </c>
      <c r="F708" s="43" t="s">
        <v>8996</v>
      </c>
      <c r="G708" s="43" t="s">
        <v>5878</v>
      </c>
      <c r="H708" s="42" t="s">
        <v>8997</v>
      </c>
      <c r="I708" s="18">
        <f t="shared" si="3"/>
        <v>45972</v>
      </c>
      <c r="J708" s="19" t="s">
        <v>28</v>
      </c>
      <c r="K708" s="19" t="s">
        <v>5170</v>
      </c>
      <c r="L708" s="40"/>
    </row>
    <row r="709" ht="22.5" customHeight="1">
      <c r="C709" s="19" t="s">
        <v>8896</v>
      </c>
      <c r="D709" s="39" t="s">
        <v>8897</v>
      </c>
      <c r="E709" s="43" t="s">
        <v>8998</v>
      </c>
      <c r="F709" s="43" t="s">
        <v>8999</v>
      </c>
      <c r="G709" s="43" t="s">
        <v>6581</v>
      </c>
      <c r="H709" s="42" t="s">
        <v>9000</v>
      </c>
      <c r="I709" s="18">
        <f t="shared" si="3"/>
        <v>45972</v>
      </c>
      <c r="J709" s="19" t="s">
        <v>28</v>
      </c>
      <c r="K709" s="19" t="s">
        <v>5170</v>
      </c>
      <c r="L709" s="40"/>
    </row>
    <row r="710" ht="22.5" customHeight="1">
      <c r="C710" s="19" t="s">
        <v>8896</v>
      </c>
      <c r="D710" s="39" t="s">
        <v>8897</v>
      </c>
      <c r="E710" s="43" t="s">
        <v>9001</v>
      </c>
      <c r="F710" s="43" t="s">
        <v>1419</v>
      </c>
      <c r="G710" s="43" t="s">
        <v>5878</v>
      </c>
      <c r="H710" s="42" t="s">
        <v>182</v>
      </c>
      <c r="I710" s="18">
        <f t="shared" si="3"/>
        <v>45972</v>
      </c>
      <c r="J710" s="19" t="s">
        <v>28</v>
      </c>
      <c r="K710" s="19" t="s">
        <v>5170</v>
      </c>
      <c r="L710" s="40"/>
    </row>
    <row r="711" ht="22.5" customHeight="1">
      <c r="C711" s="19" t="s">
        <v>8896</v>
      </c>
      <c r="D711" s="39" t="s">
        <v>8897</v>
      </c>
      <c r="E711" s="43" t="s">
        <v>9002</v>
      </c>
      <c r="F711" s="43" t="s">
        <v>9003</v>
      </c>
      <c r="G711" s="43" t="s">
        <v>5820</v>
      </c>
      <c r="H711" s="42" t="s">
        <v>9004</v>
      </c>
      <c r="I711" s="18">
        <f t="shared" si="3"/>
        <v>45972</v>
      </c>
      <c r="J711" s="19" t="s">
        <v>28</v>
      </c>
      <c r="K711" s="19" t="s">
        <v>5170</v>
      </c>
      <c r="L711" s="40"/>
    </row>
    <row r="712" ht="22.5" customHeight="1">
      <c r="C712" s="19" t="s">
        <v>8896</v>
      </c>
      <c r="D712" s="39" t="s">
        <v>8897</v>
      </c>
      <c r="E712" s="43" t="s">
        <v>9005</v>
      </c>
      <c r="F712" s="43" t="s">
        <v>9006</v>
      </c>
      <c r="G712" s="43" t="s">
        <v>4374</v>
      </c>
      <c r="H712" s="42" t="s">
        <v>9007</v>
      </c>
      <c r="I712" s="18">
        <f t="shared" si="3"/>
        <v>45972</v>
      </c>
      <c r="J712" s="19" t="s">
        <v>28</v>
      </c>
      <c r="K712" s="19" t="s">
        <v>5170</v>
      </c>
      <c r="L712" s="4"/>
    </row>
    <row r="713" ht="22.5" customHeight="1">
      <c r="C713" s="19" t="s">
        <v>8896</v>
      </c>
      <c r="D713" s="39" t="s">
        <v>8897</v>
      </c>
      <c r="E713" s="43" t="s">
        <v>9008</v>
      </c>
      <c r="F713" s="43" t="s">
        <v>9009</v>
      </c>
      <c r="G713" s="43" t="s">
        <v>6500</v>
      </c>
      <c r="H713" s="42" t="s">
        <v>9010</v>
      </c>
      <c r="I713" s="18">
        <f t="shared" si="3"/>
        <v>45972</v>
      </c>
      <c r="J713" s="19" t="s">
        <v>28</v>
      </c>
      <c r="K713" s="19" t="s">
        <v>5170</v>
      </c>
      <c r="L713" s="40"/>
    </row>
    <row r="714" ht="22.5" customHeight="1">
      <c r="C714" s="19" t="s">
        <v>8896</v>
      </c>
      <c r="D714" s="39" t="s">
        <v>8897</v>
      </c>
      <c r="E714" s="43" t="s">
        <v>9011</v>
      </c>
      <c r="F714" s="43" t="s">
        <v>9012</v>
      </c>
      <c r="G714" s="43" t="s">
        <v>5921</v>
      </c>
      <c r="H714" s="42" t="s">
        <v>9013</v>
      </c>
      <c r="I714" s="18">
        <f t="shared" si="3"/>
        <v>45972</v>
      </c>
      <c r="J714" s="19" t="s">
        <v>28</v>
      </c>
      <c r="K714" s="19" t="s">
        <v>5170</v>
      </c>
      <c r="L714" s="40"/>
    </row>
    <row r="715" ht="22.5" customHeight="1">
      <c r="C715" s="19" t="s">
        <v>8896</v>
      </c>
      <c r="D715" s="39" t="s">
        <v>8897</v>
      </c>
      <c r="E715" s="43" t="s">
        <v>9014</v>
      </c>
      <c r="F715" s="43" t="s">
        <v>9015</v>
      </c>
      <c r="G715" s="43" t="s">
        <v>6257</v>
      </c>
      <c r="H715" s="42" t="s">
        <v>9016</v>
      </c>
      <c r="I715" s="18">
        <f t="shared" si="3"/>
        <v>45972</v>
      </c>
      <c r="J715" s="19" t="s">
        <v>28</v>
      </c>
      <c r="K715" s="19" t="s">
        <v>5170</v>
      </c>
      <c r="L715" s="40"/>
    </row>
    <row r="716" ht="22.5" customHeight="1">
      <c r="C716" s="19" t="s">
        <v>8896</v>
      </c>
      <c r="D716" s="39" t="s">
        <v>8897</v>
      </c>
      <c r="E716" s="43" t="s">
        <v>9017</v>
      </c>
      <c r="F716" s="43" t="s">
        <v>9018</v>
      </c>
      <c r="G716" s="43" t="s">
        <v>9019</v>
      </c>
      <c r="H716" s="42" t="s">
        <v>9020</v>
      </c>
      <c r="I716" s="18">
        <f t="shared" si="3"/>
        <v>45972</v>
      </c>
      <c r="J716" s="19" t="s">
        <v>28</v>
      </c>
      <c r="K716" s="19" t="s">
        <v>5170</v>
      </c>
      <c r="L716" s="40"/>
    </row>
    <row r="717" ht="22.5" customHeight="1">
      <c r="C717" s="19" t="s">
        <v>8896</v>
      </c>
      <c r="D717" s="39" t="s">
        <v>8897</v>
      </c>
      <c r="E717" s="43" t="s">
        <v>9021</v>
      </c>
      <c r="F717" s="43" t="s">
        <v>9022</v>
      </c>
      <c r="G717" s="43" t="s">
        <v>5939</v>
      </c>
      <c r="H717" s="42" t="s">
        <v>9023</v>
      </c>
      <c r="I717" s="18">
        <f t="shared" si="3"/>
        <v>45972</v>
      </c>
      <c r="J717" s="19" t="s">
        <v>28</v>
      </c>
      <c r="K717" s="19" t="s">
        <v>5170</v>
      </c>
      <c r="L717" s="40"/>
    </row>
    <row r="718" ht="22.5" customHeight="1">
      <c r="C718" s="19" t="s">
        <v>8896</v>
      </c>
      <c r="D718" s="39" t="s">
        <v>8897</v>
      </c>
      <c r="E718" s="43" t="s">
        <v>9024</v>
      </c>
      <c r="F718" s="43" t="s">
        <v>9025</v>
      </c>
      <c r="G718" s="43" t="s">
        <v>6459</v>
      </c>
      <c r="H718" s="42" t="s">
        <v>9026</v>
      </c>
      <c r="I718" s="18">
        <f t="shared" si="3"/>
        <v>45972</v>
      </c>
      <c r="J718" s="19" t="s">
        <v>28</v>
      </c>
      <c r="K718" s="19" t="s">
        <v>5170</v>
      </c>
      <c r="L718" s="40"/>
    </row>
    <row r="719" ht="22.5" customHeight="1">
      <c r="C719" s="19" t="s">
        <v>8896</v>
      </c>
      <c r="D719" s="39" t="s">
        <v>8897</v>
      </c>
      <c r="E719" s="43" t="s">
        <v>9027</v>
      </c>
      <c r="F719" s="43" t="s">
        <v>9028</v>
      </c>
      <c r="G719" s="43" t="s">
        <v>8630</v>
      </c>
      <c r="H719" s="42" t="s">
        <v>9029</v>
      </c>
      <c r="I719" s="18">
        <f t="shared" si="3"/>
        <v>45972</v>
      </c>
      <c r="J719" s="19" t="s">
        <v>28</v>
      </c>
      <c r="K719" s="19" t="s">
        <v>5170</v>
      </c>
      <c r="L719" s="40"/>
    </row>
    <row r="720" ht="22.5" customHeight="1">
      <c r="C720" s="19" t="s">
        <v>8896</v>
      </c>
      <c r="D720" s="39" t="s">
        <v>8897</v>
      </c>
      <c r="E720" s="43" t="s">
        <v>9030</v>
      </c>
      <c r="F720" s="43" t="s">
        <v>9031</v>
      </c>
      <c r="G720" s="43" t="s">
        <v>5878</v>
      </c>
      <c r="H720" s="42" t="s">
        <v>9032</v>
      </c>
      <c r="I720" s="18">
        <f t="shared" si="3"/>
        <v>45972</v>
      </c>
      <c r="J720" s="19" t="s">
        <v>28</v>
      </c>
      <c r="K720" s="19" t="s">
        <v>5170</v>
      </c>
      <c r="L720" s="40"/>
    </row>
    <row r="721" ht="22.5" customHeight="1">
      <c r="C721" s="19" t="s">
        <v>8896</v>
      </c>
      <c r="D721" s="39" t="s">
        <v>8897</v>
      </c>
      <c r="E721" s="43" t="s">
        <v>9033</v>
      </c>
      <c r="F721" s="43" t="s">
        <v>9034</v>
      </c>
      <c r="G721" s="43" t="s">
        <v>5957</v>
      </c>
      <c r="H721" s="42" t="s">
        <v>9035</v>
      </c>
      <c r="I721" s="18">
        <f t="shared" si="3"/>
        <v>45972</v>
      </c>
      <c r="J721" s="19" t="s">
        <v>28</v>
      </c>
      <c r="K721" s="19" t="s">
        <v>5170</v>
      </c>
      <c r="L721" s="4"/>
    </row>
    <row r="722" ht="22.5" customHeight="1">
      <c r="C722" s="19" t="s">
        <v>8896</v>
      </c>
      <c r="D722" s="39" t="s">
        <v>8897</v>
      </c>
      <c r="E722" s="43" t="s">
        <v>9036</v>
      </c>
      <c r="F722" s="43" t="s">
        <v>9037</v>
      </c>
      <c r="G722" s="43" t="s">
        <v>5878</v>
      </c>
      <c r="H722" s="42" t="s">
        <v>9038</v>
      </c>
      <c r="I722" s="18">
        <f t="shared" si="3"/>
        <v>45972</v>
      </c>
      <c r="J722" s="19" t="s">
        <v>28</v>
      </c>
      <c r="K722" s="19" t="s">
        <v>5170</v>
      </c>
      <c r="L722" s="40"/>
    </row>
    <row r="723" ht="22.5" customHeight="1">
      <c r="C723" s="19" t="s">
        <v>8896</v>
      </c>
      <c r="D723" s="39" t="s">
        <v>8897</v>
      </c>
      <c r="E723" s="43" t="s">
        <v>9039</v>
      </c>
      <c r="F723" s="43" t="s">
        <v>9040</v>
      </c>
      <c r="G723" s="43" t="s">
        <v>6068</v>
      </c>
      <c r="H723" s="42" t="s">
        <v>9041</v>
      </c>
      <c r="I723" s="18">
        <f t="shared" si="3"/>
        <v>45972</v>
      </c>
      <c r="J723" s="19" t="s">
        <v>28</v>
      </c>
      <c r="K723" s="19" t="s">
        <v>5170</v>
      </c>
      <c r="L723" s="40"/>
    </row>
    <row r="724" ht="22.5" customHeight="1">
      <c r="C724" s="19" t="s">
        <v>8896</v>
      </c>
      <c r="D724" s="39" t="s">
        <v>8897</v>
      </c>
      <c r="E724" s="43" t="s">
        <v>9042</v>
      </c>
      <c r="F724" s="43" t="s">
        <v>9043</v>
      </c>
      <c r="G724" s="43" t="s">
        <v>5917</v>
      </c>
      <c r="H724" s="42" t="s">
        <v>9044</v>
      </c>
      <c r="I724" s="18">
        <f t="shared" si="3"/>
        <v>45972</v>
      </c>
      <c r="J724" s="19" t="s">
        <v>28</v>
      </c>
      <c r="K724" s="19" t="s">
        <v>5170</v>
      </c>
      <c r="L724" s="40"/>
    </row>
    <row r="725" ht="22.5" customHeight="1">
      <c r="C725" s="19" t="s">
        <v>8896</v>
      </c>
      <c r="D725" s="39" t="s">
        <v>8897</v>
      </c>
      <c r="E725" s="43" t="s">
        <v>9045</v>
      </c>
      <c r="F725" s="43" t="s">
        <v>9046</v>
      </c>
      <c r="G725" s="43" t="s">
        <v>5878</v>
      </c>
      <c r="H725" s="44">
        <v>1.2019785979E10</v>
      </c>
      <c r="I725" s="18">
        <f t="shared" si="3"/>
        <v>45972</v>
      </c>
      <c r="J725" s="19" t="s">
        <v>28</v>
      </c>
      <c r="K725" s="19" t="s">
        <v>5170</v>
      </c>
      <c r="L725" s="40"/>
    </row>
    <row r="726" ht="22.5" customHeight="1">
      <c r="C726" s="19" t="s">
        <v>8896</v>
      </c>
      <c r="D726" s="39" t="s">
        <v>8897</v>
      </c>
      <c r="E726" s="43" t="s">
        <v>9047</v>
      </c>
      <c r="F726" s="43" t="s">
        <v>9048</v>
      </c>
      <c r="G726" s="43" t="s">
        <v>7328</v>
      </c>
      <c r="H726" s="42" t="s">
        <v>9049</v>
      </c>
      <c r="I726" s="18">
        <f t="shared" si="3"/>
        <v>45972</v>
      </c>
      <c r="J726" s="19" t="s">
        <v>28</v>
      </c>
      <c r="K726" s="19" t="s">
        <v>5170</v>
      </c>
      <c r="L726" s="40"/>
    </row>
    <row r="727" ht="22.5" customHeight="1">
      <c r="C727" s="19" t="s">
        <v>9050</v>
      </c>
      <c r="D727" s="39" t="s">
        <v>8735</v>
      </c>
      <c r="E727" s="43" t="s">
        <v>9051</v>
      </c>
      <c r="F727" s="43" t="s">
        <v>9052</v>
      </c>
      <c r="G727" s="43" t="s">
        <v>5939</v>
      </c>
      <c r="H727" s="42" t="s">
        <v>9053</v>
      </c>
      <c r="I727" s="18">
        <f t="shared" si="3"/>
        <v>45972</v>
      </c>
      <c r="J727" s="19" t="s">
        <v>28</v>
      </c>
      <c r="K727" s="19" t="s">
        <v>5170</v>
      </c>
      <c r="L727" s="40"/>
    </row>
    <row r="728" ht="22.5" customHeight="1">
      <c r="C728" s="19" t="s">
        <v>9050</v>
      </c>
      <c r="D728" s="39" t="s">
        <v>8736</v>
      </c>
      <c r="E728" s="43" t="s">
        <v>9054</v>
      </c>
      <c r="F728" s="43" t="s">
        <v>9055</v>
      </c>
      <c r="G728" s="43" t="s">
        <v>5908</v>
      </c>
      <c r="H728" s="42" t="s">
        <v>9056</v>
      </c>
      <c r="I728" s="18">
        <f t="shared" si="3"/>
        <v>45972</v>
      </c>
      <c r="J728" s="19" t="s">
        <v>28</v>
      </c>
      <c r="K728" s="19" t="s">
        <v>5170</v>
      </c>
      <c r="L728" s="40"/>
    </row>
    <row r="729" ht="22.5" customHeight="1">
      <c r="C729" s="19" t="s">
        <v>9050</v>
      </c>
      <c r="D729" s="39" t="s">
        <v>8737</v>
      </c>
      <c r="E729" s="43" t="s">
        <v>9057</v>
      </c>
      <c r="F729" s="43" t="s">
        <v>9058</v>
      </c>
      <c r="G729" s="43" t="s">
        <v>5913</v>
      </c>
      <c r="H729" s="42" t="s">
        <v>9059</v>
      </c>
      <c r="I729" s="18">
        <f t="shared" si="3"/>
        <v>45972</v>
      </c>
      <c r="J729" s="19" t="s">
        <v>28</v>
      </c>
      <c r="K729" s="19" t="s">
        <v>5170</v>
      </c>
      <c r="L729" s="4"/>
    </row>
    <row r="730" ht="22.5" customHeight="1">
      <c r="C730" s="19" t="s">
        <v>9050</v>
      </c>
      <c r="D730" s="39" t="s">
        <v>8739</v>
      </c>
      <c r="E730" s="43" t="s">
        <v>9060</v>
      </c>
      <c r="F730" s="43" t="s">
        <v>9060</v>
      </c>
      <c r="G730" s="43" t="s">
        <v>5834</v>
      </c>
      <c r="H730" s="44">
        <v>6.468720791E9</v>
      </c>
      <c r="I730" s="18">
        <f t="shared" si="3"/>
        <v>45972</v>
      </c>
      <c r="J730" s="19" t="s">
        <v>28</v>
      </c>
      <c r="K730" s="19" t="s">
        <v>5170</v>
      </c>
      <c r="L730" s="40"/>
    </row>
    <row r="731" ht="22.5" customHeight="1">
      <c r="C731" s="19" t="s">
        <v>9050</v>
      </c>
      <c r="D731" s="39" t="s">
        <v>8740</v>
      </c>
      <c r="E731" s="43" t="s">
        <v>9061</v>
      </c>
      <c r="F731" s="43" t="s">
        <v>9062</v>
      </c>
      <c r="G731" s="43" t="s">
        <v>6452</v>
      </c>
      <c r="H731" s="42" t="s">
        <v>9063</v>
      </c>
      <c r="I731" s="18">
        <f t="shared" si="3"/>
        <v>45972</v>
      </c>
      <c r="J731" s="19" t="s">
        <v>28</v>
      </c>
      <c r="K731" s="19" t="s">
        <v>5170</v>
      </c>
      <c r="L731" s="40"/>
    </row>
    <row r="732" ht="22.5" customHeight="1">
      <c r="C732" s="19" t="s">
        <v>9050</v>
      </c>
      <c r="D732" s="39" t="s">
        <v>8741</v>
      </c>
      <c r="E732" s="43" t="s">
        <v>9064</v>
      </c>
      <c r="F732" s="43" t="s">
        <v>872</v>
      </c>
      <c r="G732" s="43" t="s">
        <v>5929</v>
      </c>
      <c r="H732" s="44">
        <v>9.172420117E9</v>
      </c>
      <c r="I732" s="18">
        <f t="shared" si="3"/>
        <v>45972</v>
      </c>
      <c r="J732" s="19" t="s">
        <v>28</v>
      </c>
      <c r="K732" s="19" t="s">
        <v>5170</v>
      </c>
      <c r="L732" s="40"/>
    </row>
    <row r="733" ht="22.5" customHeight="1">
      <c r="C733" s="19" t="s">
        <v>9050</v>
      </c>
      <c r="D733" s="39" t="s">
        <v>8742</v>
      </c>
      <c r="E733" s="43" t="s">
        <v>9065</v>
      </c>
      <c r="F733" s="43" t="s">
        <v>9066</v>
      </c>
      <c r="G733" s="43" t="s">
        <v>8495</v>
      </c>
      <c r="H733" s="42" t="s">
        <v>9067</v>
      </c>
      <c r="I733" s="18">
        <f t="shared" si="3"/>
        <v>45972</v>
      </c>
      <c r="J733" s="19" t="s">
        <v>28</v>
      </c>
      <c r="K733" s="19" t="s">
        <v>5170</v>
      </c>
      <c r="L733" s="40"/>
    </row>
    <row r="734" ht="22.5" customHeight="1">
      <c r="C734" s="19" t="s">
        <v>9050</v>
      </c>
      <c r="D734" s="39" t="s">
        <v>8743</v>
      </c>
      <c r="E734" s="43" t="s">
        <v>9068</v>
      </c>
      <c r="F734" s="43" t="s">
        <v>9069</v>
      </c>
      <c r="G734" s="43" t="s">
        <v>5878</v>
      </c>
      <c r="H734" s="44">
        <v>9.172979989E9</v>
      </c>
      <c r="I734" s="18">
        <f t="shared" si="3"/>
        <v>45972</v>
      </c>
      <c r="J734" s="19" t="s">
        <v>28</v>
      </c>
      <c r="K734" s="19" t="s">
        <v>5170</v>
      </c>
      <c r="L734" s="40"/>
    </row>
    <row r="735" ht="22.5" customHeight="1">
      <c r="C735" s="19" t="s">
        <v>9050</v>
      </c>
      <c r="D735" s="39" t="s">
        <v>8744</v>
      </c>
      <c r="E735" s="43" t="s">
        <v>9070</v>
      </c>
      <c r="F735" s="43" t="s">
        <v>9071</v>
      </c>
      <c r="G735" s="43" t="s">
        <v>8316</v>
      </c>
      <c r="H735" s="44">
        <v>6.094604787E9</v>
      </c>
      <c r="I735" s="18">
        <f t="shared" si="3"/>
        <v>45972</v>
      </c>
      <c r="J735" s="19" t="s">
        <v>28</v>
      </c>
      <c r="K735" s="19" t="s">
        <v>5170</v>
      </c>
      <c r="L735" s="40"/>
    </row>
    <row r="736" ht="22.5" customHeight="1">
      <c r="C736" s="19" t="s">
        <v>9050</v>
      </c>
      <c r="D736" s="39" t="s">
        <v>8745</v>
      </c>
      <c r="E736" s="43" t="s">
        <v>9072</v>
      </c>
      <c r="F736" s="43" t="s">
        <v>2386</v>
      </c>
      <c r="G736" s="43" t="s">
        <v>7130</v>
      </c>
      <c r="H736" s="42" t="s">
        <v>9073</v>
      </c>
      <c r="I736" s="18">
        <f t="shared" si="3"/>
        <v>45972</v>
      </c>
      <c r="J736" s="19" t="s">
        <v>28</v>
      </c>
      <c r="K736" s="19" t="s">
        <v>5170</v>
      </c>
      <c r="L736" s="40"/>
    </row>
    <row r="737" ht="22.5" customHeight="1">
      <c r="C737" s="19" t="s">
        <v>9050</v>
      </c>
      <c r="D737" s="39" t="s">
        <v>8746</v>
      </c>
      <c r="E737" s="43" t="s">
        <v>9074</v>
      </c>
      <c r="F737" s="43" t="s">
        <v>9075</v>
      </c>
      <c r="G737" s="43" t="s">
        <v>5957</v>
      </c>
      <c r="H737" s="42" t="s">
        <v>9076</v>
      </c>
      <c r="I737" s="18">
        <f t="shared" si="3"/>
        <v>45972</v>
      </c>
      <c r="J737" s="19" t="s">
        <v>28</v>
      </c>
      <c r="K737" s="19" t="s">
        <v>5170</v>
      </c>
      <c r="L737" s="40"/>
    </row>
    <row r="738" ht="22.5" customHeight="1">
      <c r="C738" s="19" t="s">
        <v>9050</v>
      </c>
      <c r="D738" s="39" t="s">
        <v>8747</v>
      </c>
      <c r="E738" s="43" t="s">
        <v>9077</v>
      </c>
      <c r="F738" s="43" t="s">
        <v>5360</v>
      </c>
      <c r="G738" s="43" t="s">
        <v>5949</v>
      </c>
      <c r="H738" s="44">
        <v>9.172157757E9</v>
      </c>
      <c r="I738" s="18">
        <f t="shared" si="3"/>
        <v>45972</v>
      </c>
      <c r="J738" s="19" t="s">
        <v>28</v>
      </c>
      <c r="K738" s="19" t="s">
        <v>5170</v>
      </c>
      <c r="L738" s="40"/>
    </row>
    <row r="739" ht="22.5" customHeight="1">
      <c r="C739" s="19" t="s">
        <v>9050</v>
      </c>
      <c r="D739" s="39" t="s">
        <v>8749</v>
      </c>
      <c r="E739" s="43" t="s">
        <v>9078</v>
      </c>
      <c r="F739" s="43" t="s">
        <v>9079</v>
      </c>
      <c r="G739" s="43" t="s">
        <v>7060</v>
      </c>
      <c r="H739" s="44">
        <v>7.194644716E9</v>
      </c>
      <c r="I739" s="18">
        <f t="shared" si="3"/>
        <v>45972</v>
      </c>
      <c r="J739" s="19" t="s">
        <v>28</v>
      </c>
      <c r="K739" s="19" t="s">
        <v>5170</v>
      </c>
      <c r="L739" s="40"/>
    </row>
    <row r="740" ht="22.5" customHeight="1">
      <c r="C740" s="19" t="s">
        <v>9050</v>
      </c>
      <c r="D740" s="39" t="s">
        <v>8750</v>
      </c>
      <c r="E740" s="43" t="s">
        <v>9080</v>
      </c>
      <c r="F740" s="43" t="s">
        <v>9081</v>
      </c>
      <c r="G740" s="43" t="s">
        <v>5882</v>
      </c>
      <c r="H740" s="42" t="s">
        <v>9082</v>
      </c>
      <c r="I740" s="18">
        <f t="shared" si="3"/>
        <v>45972</v>
      </c>
      <c r="J740" s="19" t="s">
        <v>28</v>
      </c>
      <c r="K740" s="19" t="s">
        <v>5170</v>
      </c>
      <c r="L740" s="40"/>
    </row>
    <row r="741" ht="22.5" customHeight="1">
      <c r="C741" s="19" t="s">
        <v>9050</v>
      </c>
      <c r="D741" s="39" t="s">
        <v>8751</v>
      </c>
      <c r="E741" s="43" t="s">
        <v>9083</v>
      </c>
      <c r="F741" s="43" t="s">
        <v>9084</v>
      </c>
      <c r="G741" s="43" t="s">
        <v>6063</v>
      </c>
      <c r="H741" s="42" t="s">
        <v>9085</v>
      </c>
      <c r="I741" s="18">
        <f t="shared" si="3"/>
        <v>45972</v>
      </c>
      <c r="J741" s="19" t="s">
        <v>28</v>
      </c>
      <c r="K741" s="19" t="s">
        <v>5170</v>
      </c>
      <c r="L741" s="40"/>
    </row>
    <row r="742" ht="22.5" customHeight="1">
      <c r="C742" s="19" t="s">
        <v>9050</v>
      </c>
      <c r="D742" s="39" t="s">
        <v>8753</v>
      </c>
      <c r="E742" s="43" t="s">
        <v>9086</v>
      </c>
      <c r="F742" s="43" t="s">
        <v>9087</v>
      </c>
      <c r="G742" s="43" t="s">
        <v>5866</v>
      </c>
      <c r="H742" s="42" t="s">
        <v>9088</v>
      </c>
      <c r="I742" s="18">
        <f t="shared" si="3"/>
        <v>45972</v>
      </c>
      <c r="J742" s="19" t="s">
        <v>28</v>
      </c>
      <c r="K742" s="19" t="s">
        <v>5170</v>
      </c>
      <c r="L742" s="40"/>
    </row>
    <row r="743" ht="22.5" customHeight="1">
      <c r="C743" s="19" t="s">
        <v>9050</v>
      </c>
      <c r="D743" s="39" t="s">
        <v>8754</v>
      </c>
      <c r="E743" s="43" t="s">
        <v>9089</v>
      </c>
      <c r="F743" s="43" t="s">
        <v>9090</v>
      </c>
      <c r="G743" s="43" t="s">
        <v>6902</v>
      </c>
      <c r="H743" s="42" t="s">
        <v>9091</v>
      </c>
      <c r="I743" s="18">
        <f t="shared" si="3"/>
        <v>45972</v>
      </c>
      <c r="J743" s="19" t="s">
        <v>28</v>
      </c>
      <c r="K743" s="19" t="s">
        <v>5170</v>
      </c>
      <c r="L743" s="18"/>
    </row>
    <row r="744" ht="22.5" customHeight="1">
      <c r="C744" s="19" t="s">
        <v>9050</v>
      </c>
      <c r="D744" s="39" t="s">
        <v>8756</v>
      </c>
      <c r="E744" s="43" t="s">
        <v>9092</v>
      </c>
      <c r="F744" s="43" t="s">
        <v>9093</v>
      </c>
      <c r="G744" s="43" t="s">
        <v>8146</v>
      </c>
      <c r="H744" s="42" t="s">
        <v>9094</v>
      </c>
      <c r="I744" s="18">
        <f t="shared" si="3"/>
        <v>45972</v>
      </c>
      <c r="J744" s="19" t="s">
        <v>28</v>
      </c>
      <c r="K744" s="19" t="s">
        <v>5170</v>
      </c>
      <c r="L744" s="40"/>
    </row>
    <row r="745" ht="22.5" customHeight="1">
      <c r="C745" s="19" t="s">
        <v>9050</v>
      </c>
      <c r="D745" s="39" t="s">
        <v>8757</v>
      </c>
      <c r="E745" s="43" t="s">
        <v>9095</v>
      </c>
      <c r="F745" s="43" t="s">
        <v>182</v>
      </c>
      <c r="G745" s="43" t="s">
        <v>6113</v>
      </c>
      <c r="H745" s="44">
        <v>6.466378817E9</v>
      </c>
      <c r="I745" s="18">
        <f t="shared" si="3"/>
        <v>45972</v>
      </c>
      <c r="J745" s="19" t="s">
        <v>28</v>
      </c>
      <c r="K745" s="19" t="s">
        <v>5170</v>
      </c>
      <c r="L745" s="40"/>
    </row>
    <row r="746" ht="22.5" customHeight="1">
      <c r="C746" s="19" t="s">
        <v>9050</v>
      </c>
      <c r="D746" s="39" t="s">
        <v>8758</v>
      </c>
      <c r="E746" s="43" t="s">
        <v>9096</v>
      </c>
      <c r="F746" s="43" t="s">
        <v>9097</v>
      </c>
      <c r="G746" s="43" t="s">
        <v>6004</v>
      </c>
      <c r="H746" s="42" t="s">
        <v>9098</v>
      </c>
      <c r="I746" s="18">
        <f t="shared" si="3"/>
        <v>45972</v>
      </c>
      <c r="J746" s="19" t="s">
        <v>28</v>
      </c>
      <c r="K746" s="19" t="s">
        <v>5170</v>
      </c>
      <c r="L746" s="40"/>
    </row>
    <row r="747" ht="22.5" customHeight="1">
      <c r="C747" s="19" t="s">
        <v>9099</v>
      </c>
      <c r="D747" s="39" t="s">
        <v>9100</v>
      </c>
      <c r="E747" s="43" t="s">
        <v>9101</v>
      </c>
      <c r="F747" s="43" t="s">
        <v>9102</v>
      </c>
      <c r="G747" s="43" t="s">
        <v>6957</v>
      </c>
      <c r="H747" s="42" t="s">
        <v>9103</v>
      </c>
      <c r="I747" s="18">
        <f t="shared" si="3"/>
        <v>45972</v>
      </c>
      <c r="J747" s="19" t="s">
        <v>28</v>
      </c>
      <c r="K747" s="19" t="s">
        <v>5170</v>
      </c>
      <c r="L747" s="40"/>
    </row>
    <row r="748" ht="22.5" customHeight="1">
      <c r="C748" s="19" t="s">
        <v>9099</v>
      </c>
      <c r="D748" s="39" t="s">
        <v>9100</v>
      </c>
      <c r="E748" s="43" t="s">
        <v>9104</v>
      </c>
      <c r="F748" s="43" t="s">
        <v>182</v>
      </c>
      <c r="G748" s="43" t="s">
        <v>5949</v>
      </c>
      <c r="H748" s="42" t="s">
        <v>9105</v>
      </c>
      <c r="I748" s="18">
        <f t="shared" si="3"/>
        <v>45972</v>
      </c>
      <c r="J748" s="19" t="s">
        <v>28</v>
      </c>
      <c r="K748" s="19" t="s">
        <v>5170</v>
      </c>
      <c r="L748" s="40"/>
    </row>
    <row r="749" ht="22.5" customHeight="1">
      <c r="C749" s="19" t="s">
        <v>9099</v>
      </c>
      <c r="D749" s="39" t="s">
        <v>9100</v>
      </c>
      <c r="E749" s="43" t="s">
        <v>9106</v>
      </c>
      <c r="F749" s="43" t="s">
        <v>1419</v>
      </c>
      <c r="G749" s="43" t="s">
        <v>5878</v>
      </c>
      <c r="H749" s="44">
        <v>8.179965641E9</v>
      </c>
      <c r="I749" s="18">
        <f t="shared" si="3"/>
        <v>45972</v>
      </c>
      <c r="J749" s="19" t="s">
        <v>28</v>
      </c>
      <c r="K749" s="19" t="s">
        <v>5170</v>
      </c>
      <c r="L749" s="40"/>
    </row>
    <row r="750" ht="22.5" customHeight="1">
      <c r="C750" s="19" t="s">
        <v>9099</v>
      </c>
      <c r="D750" s="39" t="s">
        <v>9100</v>
      </c>
      <c r="E750" s="43" t="s">
        <v>9107</v>
      </c>
      <c r="F750" s="43" t="s">
        <v>3071</v>
      </c>
      <c r="G750" s="43" t="s">
        <v>5866</v>
      </c>
      <c r="H750" s="42" t="s">
        <v>9108</v>
      </c>
      <c r="I750" s="18">
        <f t="shared" si="3"/>
        <v>45972</v>
      </c>
      <c r="J750" s="19" t="s">
        <v>28</v>
      </c>
      <c r="K750" s="19" t="s">
        <v>5170</v>
      </c>
      <c r="L750" s="40"/>
    </row>
    <row r="751" ht="22.5" customHeight="1">
      <c r="C751" s="19" t="s">
        <v>9099</v>
      </c>
      <c r="D751" s="39" t="s">
        <v>9100</v>
      </c>
      <c r="E751" s="43" t="s">
        <v>9109</v>
      </c>
      <c r="F751" s="43" t="s">
        <v>9110</v>
      </c>
      <c r="G751" s="43" t="s">
        <v>6459</v>
      </c>
      <c r="H751" s="42" t="s">
        <v>9111</v>
      </c>
      <c r="I751" s="18">
        <f t="shared" si="3"/>
        <v>45972</v>
      </c>
      <c r="J751" s="19" t="s">
        <v>28</v>
      </c>
      <c r="K751" s="19" t="s">
        <v>5170</v>
      </c>
      <c r="L751" s="40"/>
    </row>
    <row r="752" ht="22.5" customHeight="1">
      <c r="C752" s="19" t="s">
        <v>9099</v>
      </c>
      <c r="D752" s="39" t="s">
        <v>9100</v>
      </c>
      <c r="E752" s="43" t="s">
        <v>9112</v>
      </c>
      <c r="F752" s="43" t="s">
        <v>9113</v>
      </c>
      <c r="G752" s="43" t="s">
        <v>5957</v>
      </c>
      <c r="H752" s="44">
        <v>9.173863071E9</v>
      </c>
      <c r="I752" s="18">
        <f t="shared" si="3"/>
        <v>45972</v>
      </c>
      <c r="J752" s="19" t="s">
        <v>28</v>
      </c>
      <c r="K752" s="19" t="s">
        <v>5170</v>
      </c>
      <c r="L752" s="4"/>
    </row>
    <row r="753" ht="22.5" customHeight="1">
      <c r="C753" s="19" t="s">
        <v>9099</v>
      </c>
      <c r="D753" s="39" t="s">
        <v>9100</v>
      </c>
      <c r="E753" s="43" t="s">
        <v>9114</v>
      </c>
      <c r="F753" s="43" t="s">
        <v>9115</v>
      </c>
      <c r="G753" s="43" t="s">
        <v>5882</v>
      </c>
      <c r="H753" s="42" t="s">
        <v>9116</v>
      </c>
      <c r="I753" s="18">
        <f t="shared" si="3"/>
        <v>45972</v>
      </c>
      <c r="J753" s="19" t="s">
        <v>28</v>
      </c>
      <c r="K753" s="19" t="s">
        <v>5170</v>
      </c>
      <c r="L753" s="40"/>
    </row>
    <row r="754" ht="22.5" customHeight="1">
      <c r="C754" s="19" t="s">
        <v>9099</v>
      </c>
      <c r="D754" s="39" t="s">
        <v>9100</v>
      </c>
      <c r="E754" s="43" t="s">
        <v>9117</v>
      </c>
      <c r="F754" s="43" t="s">
        <v>9118</v>
      </c>
      <c r="G754" s="43" t="s">
        <v>6004</v>
      </c>
      <c r="H754" s="44">
        <v>6.463254559E9</v>
      </c>
      <c r="I754" s="18">
        <f t="shared" si="3"/>
        <v>45972</v>
      </c>
      <c r="J754" s="19" t="s">
        <v>28</v>
      </c>
      <c r="K754" s="19" t="s">
        <v>5170</v>
      </c>
      <c r="L754" s="40"/>
    </row>
    <row r="755" ht="22.5" customHeight="1">
      <c r="C755" s="19" t="s">
        <v>9099</v>
      </c>
      <c r="D755" s="39" t="s">
        <v>9100</v>
      </c>
      <c r="E755" s="43" t="s">
        <v>9119</v>
      </c>
      <c r="F755" s="43" t="s">
        <v>5719</v>
      </c>
      <c r="G755" s="43" t="s">
        <v>5908</v>
      </c>
      <c r="H755" s="44">
        <v>9.294760048E9</v>
      </c>
      <c r="I755" s="18">
        <f t="shared" si="3"/>
        <v>45972</v>
      </c>
      <c r="J755" s="19" t="s">
        <v>28</v>
      </c>
      <c r="K755" s="19" t="s">
        <v>5170</v>
      </c>
      <c r="L755" s="40"/>
    </row>
    <row r="756" ht="22.5" customHeight="1">
      <c r="C756" s="19" t="s">
        <v>9099</v>
      </c>
      <c r="D756" s="39" t="s">
        <v>9100</v>
      </c>
      <c r="E756" s="43" t="s">
        <v>9120</v>
      </c>
      <c r="F756" s="43" t="s">
        <v>9121</v>
      </c>
      <c r="G756" s="43" t="s">
        <v>5834</v>
      </c>
      <c r="H756" s="42" t="s">
        <v>9122</v>
      </c>
      <c r="I756" s="18">
        <f t="shared" si="3"/>
        <v>45972</v>
      </c>
      <c r="J756" s="19" t="s">
        <v>28</v>
      </c>
      <c r="K756" s="19" t="s">
        <v>5170</v>
      </c>
      <c r="L756" s="40"/>
    </row>
    <row r="757" ht="22.5" customHeight="1">
      <c r="C757" s="19" t="s">
        <v>9099</v>
      </c>
      <c r="D757" s="39" t="s">
        <v>9100</v>
      </c>
      <c r="E757" s="43" t="s">
        <v>9123</v>
      </c>
      <c r="F757" s="43" t="s">
        <v>9124</v>
      </c>
      <c r="G757" s="43" t="s">
        <v>8752</v>
      </c>
      <c r="H757" s="44">
        <v>3.474703733E9</v>
      </c>
      <c r="I757" s="18">
        <f t="shared" si="3"/>
        <v>45972</v>
      </c>
      <c r="J757" s="19" t="s">
        <v>28</v>
      </c>
      <c r="K757" s="19" t="s">
        <v>5170</v>
      </c>
      <c r="L757" s="40"/>
    </row>
    <row r="758" ht="22.5" customHeight="1">
      <c r="C758" s="19" t="s">
        <v>9099</v>
      </c>
      <c r="D758" s="39" t="s">
        <v>9100</v>
      </c>
      <c r="E758" s="43" t="s">
        <v>9125</v>
      </c>
      <c r="F758" s="43" t="s">
        <v>9126</v>
      </c>
      <c r="G758" s="43" t="s">
        <v>6063</v>
      </c>
      <c r="H758" s="42" t="s">
        <v>9127</v>
      </c>
      <c r="I758" s="18">
        <f t="shared" si="3"/>
        <v>45972</v>
      </c>
      <c r="J758" s="19" t="s">
        <v>28</v>
      </c>
      <c r="K758" s="19" t="s">
        <v>5170</v>
      </c>
      <c r="L758" s="40"/>
    </row>
    <row r="759" ht="22.5" customHeight="1">
      <c r="C759" s="19" t="s">
        <v>9099</v>
      </c>
      <c r="D759" s="39" t="s">
        <v>9100</v>
      </c>
      <c r="E759" s="43" t="s">
        <v>9128</v>
      </c>
      <c r="F759" s="43" t="s">
        <v>9129</v>
      </c>
      <c r="G759" s="43" t="s">
        <v>5820</v>
      </c>
      <c r="H759" s="42" t="s">
        <v>9130</v>
      </c>
      <c r="I759" s="18">
        <f t="shared" si="3"/>
        <v>45972</v>
      </c>
      <c r="J759" s="19" t="s">
        <v>28</v>
      </c>
      <c r="K759" s="19" t="s">
        <v>5170</v>
      </c>
      <c r="L759" s="40"/>
    </row>
    <row r="760" ht="22.5" customHeight="1">
      <c r="C760" s="19" t="s">
        <v>9099</v>
      </c>
      <c r="D760" s="39" t="s">
        <v>9100</v>
      </c>
      <c r="E760" s="43" t="s">
        <v>9131</v>
      </c>
      <c r="F760" s="43" t="s">
        <v>9132</v>
      </c>
      <c r="G760" s="43" t="s">
        <v>5962</v>
      </c>
      <c r="H760" s="44">
        <v>5.165243121E9</v>
      </c>
      <c r="I760" s="18">
        <f t="shared" si="3"/>
        <v>45972</v>
      </c>
      <c r="J760" s="19" t="s">
        <v>28</v>
      </c>
      <c r="K760" s="19" t="s">
        <v>5170</v>
      </c>
      <c r="L760" s="40"/>
    </row>
    <row r="761" ht="22.5" customHeight="1">
      <c r="C761" s="19" t="s">
        <v>9099</v>
      </c>
      <c r="D761" s="39" t="s">
        <v>9100</v>
      </c>
      <c r="E761" s="43" t="s">
        <v>9133</v>
      </c>
      <c r="F761" s="43" t="s">
        <v>9134</v>
      </c>
      <c r="G761" s="43" t="s">
        <v>6118</v>
      </c>
      <c r="H761" s="44">
        <v>2.033054514E9</v>
      </c>
      <c r="I761" s="18">
        <f t="shared" si="3"/>
        <v>45972</v>
      </c>
      <c r="J761" s="19" t="s">
        <v>28</v>
      </c>
      <c r="K761" s="19" t="s">
        <v>5170</v>
      </c>
      <c r="L761" s="40"/>
    </row>
    <row r="762" ht="22.5" customHeight="1">
      <c r="C762" s="19" t="s">
        <v>9099</v>
      </c>
      <c r="D762" s="39" t="s">
        <v>9100</v>
      </c>
      <c r="E762" s="43" t="s">
        <v>9135</v>
      </c>
      <c r="F762" s="43" t="s">
        <v>9136</v>
      </c>
      <c r="G762" s="43" t="s">
        <v>6232</v>
      </c>
      <c r="H762" s="42" t="s">
        <v>9137</v>
      </c>
      <c r="I762" s="18">
        <f t="shared" si="3"/>
        <v>45972</v>
      </c>
      <c r="J762" s="19" t="s">
        <v>28</v>
      </c>
      <c r="K762" s="19" t="s">
        <v>5170</v>
      </c>
      <c r="L762" s="40"/>
    </row>
    <row r="763" ht="22.5" customHeight="1">
      <c r="C763" s="19" t="s">
        <v>9099</v>
      </c>
      <c r="D763" s="39" t="s">
        <v>9100</v>
      </c>
      <c r="E763" s="43" t="s">
        <v>9138</v>
      </c>
      <c r="F763" s="43" t="s">
        <v>9139</v>
      </c>
      <c r="G763" s="43" t="s">
        <v>6063</v>
      </c>
      <c r="H763" s="42" t="s">
        <v>9140</v>
      </c>
      <c r="I763" s="18">
        <f t="shared" si="3"/>
        <v>45972</v>
      </c>
      <c r="J763" s="19" t="s">
        <v>28</v>
      </c>
      <c r="K763" s="19" t="s">
        <v>5170</v>
      </c>
      <c r="L763" s="40"/>
    </row>
    <row r="764" ht="22.5" customHeight="1">
      <c r="C764" s="19" t="s">
        <v>9099</v>
      </c>
      <c r="D764" s="39" t="s">
        <v>9100</v>
      </c>
      <c r="E764" s="43" t="s">
        <v>9141</v>
      </c>
      <c r="F764" s="43" t="s">
        <v>9028</v>
      </c>
      <c r="G764" s="43" t="s">
        <v>5878</v>
      </c>
      <c r="H764" s="44">
        <v>9.173557172E9</v>
      </c>
      <c r="I764" s="18">
        <f t="shared" si="3"/>
        <v>45972</v>
      </c>
      <c r="J764" s="19" t="s">
        <v>28</v>
      </c>
      <c r="K764" s="19" t="s">
        <v>5170</v>
      </c>
      <c r="L764" s="40"/>
    </row>
    <row r="765" ht="22.5" customHeight="1">
      <c r="C765" s="19" t="s">
        <v>9099</v>
      </c>
      <c r="D765" s="39" t="s">
        <v>9100</v>
      </c>
      <c r="E765" s="43" t="s">
        <v>9142</v>
      </c>
      <c r="F765" s="43" t="s">
        <v>9143</v>
      </c>
      <c r="G765" s="43" t="s">
        <v>6985</v>
      </c>
      <c r="H765" s="44">
        <v>9.143938172E9</v>
      </c>
      <c r="I765" s="18">
        <f t="shared" si="3"/>
        <v>45972</v>
      </c>
      <c r="J765" s="19" t="s">
        <v>28</v>
      </c>
      <c r="K765" s="19" t="s">
        <v>5170</v>
      </c>
      <c r="L765" s="40"/>
    </row>
    <row r="766" ht="22.5" customHeight="1">
      <c r="C766" s="19" t="s">
        <v>9144</v>
      </c>
      <c r="D766" s="39" t="s">
        <v>9145</v>
      </c>
      <c r="E766" s="43" t="s">
        <v>9146</v>
      </c>
      <c r="F766" s="43" t="s">
        <v>3071</v>
      </c>
      <c r="G766" s="43" t="s">
        <v>5866</v>
      </c>
      <c r="H766" s="44">
        <v>3.47380342E8</v>
      </c>
      <c r="I766" s="18">
        <f t="shared" si="3"/>
        <v>45972</v>
      </c>
      <c r="J766" s="19" t="s">
        <v>28</v>
      </c>
      <c r="K766" s="19" t="s">
        <v>5170</v>
      </c>
      <c r="L766" s="40"/>
    </row>
    <row r="767" ht="22.5" customHeight="1">
      <c r="C767" s="19" t="s">
        <v>9144</v>
      </c>
      <c r="D767" s="39" t="s">
        <v>9145</v>
      </c>
      <c r="E767" s="43" t="s">
        <v>9147</v>
      </c>
      <c r="F767" s="43" t="s">
        <v>9148</v>
      </c>
      <c r="G767" s="43" t="s">
        <v>5939</v>
      </c>
      <c r="H767" s="44">
        <v>6.462809049E9</v>
      </c>
      <c r="I767" s="18">
        <f t="shared" si="3"/>
        <v>45972</v>
      </c>
      <c r="J767" s="19" t="s">
        <v>28</v>
      </c>
      <c r="K767" s="19" t="s">
        <v>5170</v>
      </c>
      <c r="L767" s="40"/>
    </row>
    <row r="768" ht="22.5" customHeight="1">
      <c r="C768" s="19" t="s">
        <v>9144</v>
      </c>
      <c r="D768" s="39" t="s">
        <v>9145</v>
      </c>
      <c r="E768" s="43" t="s">
        <v>9149</v>
      </c>
      <c r="F768" s="43" t="s">
        <v>9150</v>
      </c>
      <c r="G768" s="43" t="s">
        <v>5878</v>
      </c>
      <c r="H768" s="44">
        <v>9.175860263E9</v>
      </c>
      <c r="I768" s="18">
        <f t="shared" si="3"/>
        <v>45972</v>
      </c>
      <c r="J768" s="19" t="s">
        <v>28</v>
      </c>
      <c r="K768" s="19" t="s">
        <v>5170</v>
      </c>
      <c r="L768" s="40"/>
    </row>
    <row r="769" ht="22.5" customHeight="1">
      <c r="C769" s="19" t="s">
        <v>9144</v>
      </c>
      <c r="D769" s="39" t="s">
        <v>9145</v>
      </c>
      <c r="E769" s="43" t="s">
        <v>9151</v>
      </c>
      <c r="F769" s="43" t="s">
        <v>9152</v>
      </c>
      <c r="G769" s="43" t="s">
        <v>5973</v>
      </c>
      <c r="H769" s="44">
        <v>6.464811005E9</v>
      </c>
      <c r="I769" s="18">
        <f t="shared" si="3"/>
        <v>45972</v>
      </c>
      <c r="J769" s="19" t="s">
        <v>28</v>
      </c>
      <c r="K769" s="19" t="s">
        <v>5170</v>
      </c>
      <c r="L769" s="40"/>
    </row>
    <row r="770" ht="22.5" customHeight="1">
      <c r="C770" s="19" t="s">
        <v>9144</v>
      </c>
      <c r="D770" s="39" t="s">
        <v>9145</v>
      </c>
      <c r="E770" s="43" t="s">
        <v>8940</v>
      </c>
      <c r="F770" s="43" t="s">
        <v>9153</v>
      </c>
      <c r="G770" s="43" t="s">
        <v>5820</v>
      </c>
      <c r="H770" s="44">
        <v>7.327353222E9</v>
      </c>
      <c r="I770" s="18">
        <f t="shared" si="3"/>
        <v>45972</v>
      </c>
      <c r="J770" s="19" t="s">
        <v>28</v>
      </c>
      <c r="K770" s="19" t="s">
        <v>5170</v>
      </c>
      <c r="L770" s="40"/>
    </row>
    <row r="771" ht="22.5" customHeight="1">
      <c r="C771" s="19" t="s">
        <v>9144</v>
      </c>
      <c r="D771" s="39" t="s">
        <v>9145</v>
      </c>
      <c r="E771" s="43" t="s">
        <v>9154</v>
      </c>
      <c r="F771" s="43" t="s">
        <v>9155</v>
      </c>
      <c r="G771" s="43" t="s">
        <v>6063</v>
      </c>
      <c r="H771" s="44">
        <v>9.173449762E9</v>
      </c>
      <c r="I771" s="18">
        <f t="shared" si="3"/>
        <v>45972</v>
      </c>
      <c r="J771" s="19" t="s">
        <v>28</v>
      </c>
      <c r="K771" s="19" t="s">
        <v>5170</v>
      </c>
      <c r="L771" s="40"/>
    </row>
    <row r="772" ht="22.5" customHeight="1">
      <c r="C772" s="19" t="s">
        <v>9144</v>
      </c>
      <c r="D772" s="39" t="s">
        <v>9145</v>
      </c>
      <c r="E772" s="43" t="s">
        <v>9156</v>
      </c>
      <c r="F772" s="43" t="s">
        <v>9157</v>
      </c>
      <c r="G772" s="43" t="s">
        <v>6459</v>
      </c>
      <c r="H772" s="42" t="s">
        <v>9158</v>
      </c>
      <c r="I772" s="18">
        <f t="shared" si="3"/>
        <v>45972</v>
      </c>
      <c r="J772" s="19" t="s">
        <v>28</v>
      </c>
      <c r="K772" s="19" t="s">
        <v>5170</v>
      </c>
      <c r="L772" s="40"/>
    </row>
    <row r="773" ht="22.5" customHeight="1">
      <c r="C773" s="19" t="s">
        <v>9144</v>
      </c>
      <c r="D773" s="39" t="s">
        <v>9145</v>
      </c>
      <c r="E773" s="43" t="s">
        <v>9159</v>
      </c>
      <c r="F773" s="43" t="s">
        <v>9160</v>
      </c>
      <c r="G773" s="43" t="s">
        <v>5988</v>
      </c>
      <c r="H773" s="42" t="s">
        <v>9161</v>
      </c>
      <c r="I773" s="18">
        <f t="shared" si="3"/>
        <v>45972</v>
      </c>
      <c r="J773" s="19" t="s">
        <v>28</v>
      </c>
      <c r="K773" s="19" t="s">
        <v>5170</v>
      </c>
      <c r="L773" s="40"/>
    </row>
    <row r="774" ht="22.5" customHeight="1">
      <c r="C774" s="19" t="s">
        <v>9144</v>
      </c>
      <c r="D774" s="39" t="s">
        <v>9145</v>
      </c>
      <c r="E774" s="43" t="s">
        <v>9162</v>
      </c>
      <c r="F774" s="43" t="s">
        <v>9163</v>
      </c>
      <c r="G774" s="43" t="s">
        <v>5926</v>
      </c>
      <c r="H774" s="44">
        <v>5.167109325E9</v>
      </c>
      <c r="I774" s="18">
        <f t="shared" si="3"/>
        <v>45972</v>
      </c>
      <c r="J774" s="19" t="s">
        <v>28</v>
      </c>
      <c r="K774" s="19" t="s">
        <v>5170</v>
      </c>
      <c r="L774" s="40"/>
    </row>
    <row r="775" ht="22.5" customHeight="1">
      <c r="C775" s="19" t="s">
        <v>9144</v>
      </c>
      <c r="D775" s="39" t="s">
        <v>9145</v>
      </c>
      <c r="E775" s="43" t="s">
        <v>9164</v>
      </c>
      <c r="F775" s="43" t="s">
        <v>9165</v>
      </c>
      <c r="G775" s="43" t="s">
        <v>5953</v>
      </c>
      <c r="H775" s="44">
        <v>5.169746007E9</v>
      </c>
      <c r="I775" s="18">
        <f t="shared" si="3"/>
        <v>45972</v>
      </c>
      <c r="J775" s="19" t="s">
        <v>28</v>
      </c>
      <c r="K775" s="19" t="s">
        <v>5170</v>
      </c>
      <c r="L775" s="40"/>
    </row>
    <row r="776" ht="22.5" customHeight="1">
      <c r="C776" s="19" t="s">
        <v>9144</v>
      </c>
      <c r="D776" s="39" t="s">
        <v>9145</v>
      </c>
      <c r="E776" s="43" t="s">
        <v>9166</v>
      </c>
      <c r="F776" s="43" t="s">
        <v>9167</v>
      </c>
      <c r="G776" s="43" t="s">
        <v>5973</v>
      </c>
      <c r="H776" s="42" t="s">
        <v>182</v>
      </c>
      <c r="I776" s="18">
        <f t="shared" si="3"/>
        <v>45972</v>
      </c>
      <c r="J776" s="19" t="s">
        <v>28</v>
      </c>
      <c r="K776" s="19" t="s">
        <v>5170</v>
      </c>
      <c r="L776" s="40"/>
    </row>
    <row r="777" ht="22.5" customHeight="1">
      <c r="C777" s="19" t="s">
        <v>9144</v>
      </c>
      <c r="D777" s="39" t="s">
        <v>9145</v>
      </c>
      <c r="E777" s="43" t="s">
        <v>9168</v>
      </c>
      <c r="F777" s="43" t="s">
        <v>9169</v>
      </c>
      <c r="G777" s="43" t="s">
        <v>5949</v>
      </c>
      <c r="H777" s="42" t="s">
        <v>9170</v>
      </c>
      <c r="I777" s="18">
        <f t="shared" si="3"/>
        <v>45972</v>
      </c>
      <c r="J777" s="19" t="s">
        <v>28</v>
      </c>
      <c r="K777" s="19" t="s">
        <v>5170</v>
      </c>
      <c r="L777" s="40"/>
    </row>
    <row r="778" ht="22.5" customHeight="1">
      <c r="C778" s="19" t="s">
        <v>9144</v>
      </c>
      <c r="D778" s="39" t="s">
        <v>9145</v>
      </c>
      <c r="E778" s="43" t="s">
        <v>9171</v>
      </c>
      <c r="F778" s="43" t="s">
        <v>9172</v>
      </c>
      <c r="G778" s="43" t="s">
        <v>5900</v>
      </c>
      <c r="H778" s="44">
        <v>6.469922138E9</v>
      </c>
      <c r="I778" s="18">
        <f t="shared" si="3"/>
        <v>45972</v>
      </c>
      <c r="J778" s="19" t="s">
        <v>28</v>
      </c>
      <c r="K778" s="19" t="s">
        <v>5170</v>
      </c>
      <c r="L778" s="40"/>
    </row>
    <row r="779" ht="22.5" customHeight="1">
      <c r="C779" s="19" t="s">
        <v>9144</v>
      </c>
      <c r="D779" s="39" t="s">
        <v>9145</v>
      </c>
      <c r="E779" s="43" t="s">
        <v>9173</v>
      </c>
      <c r="F779" s="43" t="s">
        <v>9174</v>
      </c>
      <c r="G779" s="43" t="s">
        <v>9175</v>
      </c>
      <c r="H779" s="44">
        <v>6.785227051E9</v>
      </c>
      <c r="I779" s="18">
        <f t="shared" si="3"/>
        <v>45972</v>
      </c>
      <c r="J779" s="19" t="s">
        <v>28</v>
      </c>
      <c r="K779" s="19" t="s">
        <v>5170</v>
      </c>
      <c r="L779" s="40"/>
    </row>
    <row r="780" ht="22.5" customHeight="1">
      <c r="C780" s="19" t="s">
        <v>9144</v>
      </c>
      <c r="D780" s="39" t="s">
        <v>9145</v>
      </c>
      <c r="E780" s="43" t="s">
        <v>9176</v>
      </c>
      <c r="F780" s="43" t="s">
        <v>9177</v>
      </c>
      <c r="G780" s="43" t="s">
        <v>5908</v>
      </c>
      <c r="H780" s="42" t="s">
        <v>9178</v>
      </c>
      <c r="I780" s="18">
        <f t="shared" si="3"/>
        <v>45972</v>
      </c>
      <c r="J780" s="19" t="s">
        <v>28</v>
      </c>
      <c r="K780" s="19" t="s">
        <v>5170</v>
      </c>
      <c r="L780" s="40"/>
    </row>
    <row r="781" ht="22.5" customHeight="1">
      <c r="C781" s="19" t="s">
        <v>9144</v>
      </c>
      <c r="D781" s="39" t="s">
        <v>9145</v>
      </c>
      <c r="E781" s="43" t="s">
        <v>9179</v>
      </c>
      <c r="F781" s="43" t="s">
        <v>5730</v>
      </c>
      <c r="G781" s="43" t="s">
        <v>5878</v>
      </c>
      <c r="H781" s="42" t="s">
        <v>9180</v>
      </c>
      <c r="I781" s="18">
        <f t="shared" si="3"/>
        <v>45972</v>
      </c>
      <c r="J781" s="19" t="s">
        <v>28</v>
      </c>
      <c r="K781" s="19" t="s">
        <v>5170</v>
      </c>
      <c r="L781" s="40"/>
    </row>
    <row r="782" ht="22.5" customHeight="1">
      <c r="C782" s="19" t="s">
        <v>9144</v>
      </c>
      <c r="D782" s="39" t="s">
        <v>9145</v>
      </c>
      <c r="E782" s="43" t="s">
        <v>9181</v>
      </c>
      <c r="F782" s="43" t="s">
        <v>9182</v>
      </c>
      <c r="G782" s="43" t="s">
        <v>5929</v>
      </c>
      <c r="H782" s="42" t="s">
        <v>9183</v>
      </c>
      <c r="I782" s="18">
        <f t="shared" si="3"/>
        <v>45972</v>
      </c>
      <c r="J782" s="19" t="s">
        <v>28</v>
      </c>
      <c r="K782" s="19" t="s">
        <v>5170</v>
      </c>
      <c r="L782" s="40"/>
    </row>
    <row r="783" ht="22.5" customHeight="1">
      <c r="C783" s="19" t="s">
        <v>9184</v>
      </c>
      <c r="D783" s="39" t="s">
        <v>2339</v>
      </c>
      <c r="E783" s="45" t="s">
        <v>9185</v>
      </c>
      <c r="F783" s="45" t="s">
        <v>9186</v>
      </c>
      <c r="G783" s="45" t="s">
        <v>182</v>
      </c>
      <c r="H783" s="45" t="s">
        <v>182</v>
      </c>
      <c r="I783" s="18">
        <f t="shared" si="3"/>
        <v>45972</v>
      </c>
      <c r="J783" s="19" t="s">
        <v>28</v>
      </c>
      <c r="K783" s="19" t="s">
        <v>182</v>
      </c>
      <c r="L783" s="4" t="s">
        <v>148</v>
      </c>
    </row>
    <row r="784" ht="22.5" customHeight="1">
      <c r="C784" s="19" t="s">
        <v>182</v>
      </c>
      <c r="D784" s="39" t="s">
        <v>182</v>
      </c>
      <c r="E784" s="45" t="s">
        <v>9187</v>
      </c>
      <c r="F784" s="45" t="s">
        <v>182</v>
      </c>
      <c r="G784" s="45" t="s">
        <v>9188</v>
      </c>
      <c r="H784" s="46" t="s">
        <v>182</v>
      </c>
      <c r="I784" s="18">
        <f>DATE(2025, 11, 12)</f>
        <v>45973</v>
      </c>
      <c r="J784" s="19" t="s">
        <v>28</v>
      </c>
      <c r="K784" s="19" t="s">
        <v>182</v>
      </c>
      <c r="L784" s="4" t="s">
        <v>148</v>
      </c>
    </row>
    <row r="785" ht="22.5" customHeight="1">
      <c r="C785" s="19" t="s">
        <v>9189</v>
      </c>
      <c r="D785" s="39" t="s">
        <v>9190</v>
      </c>
      <c r="E785" s="43" t="s">
        <v>9191</v>
      </c>
      <c r="F785" s="43" t="s">
        <v>8694</v>
      </c>
      <c r="G785" s="43" t="s">
        <v>126</v>
      </c>
      <c r="H785" s="44">
        <v>2.123615045E9</v>
      </c>
      <c r="I785" s="18">
        <f t="shared" ref="I785:I845" si="4">DATE(2025, 11, 17)</f>
        <v>45978</v>
      </c>
      <c r="J785" s="19" t="s">
        <v>28</v>
      </c>
      <c r="K785" s="19" t="s">
        <v>325</v>
      </c>
      <c r="L785" s="40"/>
    </row>
    <row r="786" ht="22.5" customHeight="1">
      <c r="C786" s="19" t="s">
        <v>9189</v>
      </c>
      <c r="D786" s="39" t="s">
        <v>9192</v>
      </c>
      <c r="E786" s="43" t="s">
        <v>9193</v>
      </c>
      <c r="F786" s="43" t="s">
        <v>9194</v>
      </c>
      <c r="G786" s="43" t="s">
        <v>170</v>
      </c>
      <c r="H786" s="44">
        <v>3.472813165E9</v>
      </c>
      <c r="I786" s="18">
        <f t="shared" si="4"/>
        <v>45978</v>
      </c>
      <c r="J786" s="19" t="s">
        <v>28</v>
      </c>
      <c r="K786" s="19" t="s">
        <v>325</v>
      </c>
      <c r="L786" s="40"/>
    </row>
    <row r="787" ht="22.5" customHeight="1">
      <c r="C787" s="19" t="s">
        <v>9189</v>
      </c>
      <c r="D787" s="39" t="s">
        <v>9195</v>
      </c>
      <c r="E787" s="43" t="s">
        <v>9196</v>
      </c>
      <c r="F787" s="43" t="s">
        <v>9197</v>
      </c>
      <c r="G787" s="43" t="s">
        <v>9198</v>
      </c>
      <c r="H787" s="42" t="s">
        <v>9199</v>
      </c>
      <c r="I787" s="18">
        <f t="shared" si="4"/>
        <v>45978</v>
      </c>
      <c r="J787" s="19" t="s">
        <v>28</v>
      </c>
      <c r="K787" s="19" t="s">
        <v>325</v>
      </c>
      <c r="L787" s="40"/>
    </row>
    <row r="788" ht="22.5" customHeight="1">
      <c r="C788" s="19" t="s">
        <v>9189</v>
      </c>
      <c r="D788" s="39" t="s">
        <v>9200</v>
      </c>
      <c r="E788" s="43" t="s">
        <v>9201</v>
      </c>
      <c r="F788" s="43" t="s">
        <v>684</v>
      </c>
      <c r="G788" s="43" t="s">
        <v>77</v>
      </c>
      <c r="H788" s="42" t="s">
        <v>9202</v>
      </c>
      <c r="I788" s="18">
        <f t="shared" si="4"/>
        <v>45978</v>
      </c>
      <c r="J788" s="19" t="s">
        <v>28</v>
      </c>
      <c r="K788" s="19" t="s">
        <v>325</v>
      </c>
      <c r="L788" s="40"/>
    </row>
    <row r="789" ht="22.5" customHeight="1">
      <c r="C789" s="19" t="s">
        <v>9189</v>
      </c>
      <c r="D789" s="39" t="s">
        <v>9203</v>
      </c>
      <c r="E789" s="43" t="s">
        <v>9204</v>
      </c>
      <c r="F789" s="43" t="s">
        <v>9205</v>
      </c>
      <c r="G789" s="43" t="s">
        <v>42</v>
      </c>
      <c r="H789" s="44">
        <v>3.476874892E9</v>
      </c>
      <c r="I789" s="18">
        <f t="shared" si="4"/>
        <v>45978</v>
      </c>
      <c r="J789" s="19" t="s">
        <v>28</v>
      </c>
      <c r="K789" s="19" t="s">
        <v>325</v>
      </c>
      <c r="L789" s="40"/>
    </row>
    <row r="790" ht="22.5" customHeight="1">
      <c r="C790" s="19" t="s">
        <v>9189</v>
      </c>
      <c r="D790" s="39" t="s">
        <v>9206</v>
      </c>
      <c r="E790" s="43" t="s">
        <v>9207</v>
      </c>
      <c r="F790" s="43" t="s">
        <v>9208</v>
      </c>
      <c r="G790" s="43" t="s">
        <v>57</v>
      </c>
      <c r="H790" s="44">
        <v>6.46661618E9</v>
      </c>
      <c r="I790" s="18">
        <f t="shared" si="4"/>
        <v>45978</v>
      </c>
      <c r="J790" s="19" t="s">
        <v>28</v>
      </c>
      <c r="K790" s="19" t="s">
        <v>325</v>
      </c>
      <c r="L790" s="40"/>
    </row>
    <row r="791" ht="22.5" customHeight="1">
      <c r="C791" s="19" t="s">
        <v>9189</v>
      </c>
      <c r="D791" s="39" t="s">
        <v>9209</v>
      </c>
      <c r="E791" s="43" t="s">
        <v>9210</v>
      </c>
      <c r="F791" s="43" t="s">
        <v>9211</v>
      </c>
      <c r="G791" s="43" t="s">
        <v>355</v>
      </c>
      <c r="H791" s="42" t="s">
        <v>9212</v>
      </c>
      <c r="I791" s="18">
        <f t="shared" si="4"/>
        <v>45978</v>
      </c>
      <c r="J791" s="19" t="s">
        <v>28</v>
      </c>
      <c r="K791" s="19" t="s">
        <v>325</v>
      </c>
      <c r="L791" s="40"/>
    </row>
    <row r="792" ht="22.5" customHeight="1">
      <c r="C792" s="19" t="s">
        <v>9189</v>
      </c>
      <c r="D792" s="39" t="s">
        <v>9213</v>
      </c>
      <c r="E792" s="43" t="s">
        <v>9214</v>
      </c>
      <c r="F792" s="43" t="s">
        <v>9215</v>
      </c>
      <c r="G792" s="43" t="s">
        <v>67</v>
      </c>
      <c r="H792" s="42" t="s">
        <v>9216</v>
      </c>
      <c r="I792" s="18">
        <f t="shared" si="4"/>
        <v>45978</v>
      </c>
      <c r="J792" s="19" t="s">
        <v>28</v>
      </c>
      <c r="K792" s="19" t="s">
        <v>325</v>
      </c>
      <c r="L792" s="40"/>
    </row>
    <row r="793" ht="22.5" customHeight="1">
      <c r="C793" s="19" t="s">
        <v>9189</v>
      </c>
      <c r="D793" s="39" t="s">
        <v>9217</v>
      </c>
      <c r="E793" s="43" t="s">
        <v>9218</v>
      </c>
      <c r="F793" s="43" t="s">
        <v>9219</v>
      </c>
      <c r="G793" s="43" t="s">
        <v>108</v>
      </c>
      <c r="H793" s="42" t="s">
        <v>9220</v>
      </c>
      <c r="I793" s="18">
        <f t="shared" si="4"/>
        <v>45978</v>
      </c>
      <c r="J793" s="19" t="s">
        <v>28</v>
      </c>
      <c r="K793" s="19" t="s">
        <v>325</v>
      </c>
      <c r="L793" s="4"/>
    </row>
    <row r="794" ht="22.5" customHeight="1">
      <c r="C794" s="19" t="s">
        <v>9189</v>
      </c>
      <c r="D794" s="39" t="s">
        <v>9221</v>
      </c>
      <c r="E794" s="43" t="s">
        <v>9222</v>
      </c>
      <c r="F794" s="43" t="s">
        <v>9223</v>
      </c>
      <c r="G794" s="43" t="s">
        <v>26</v>
      </c>
      <c r="H794" s="42" t="s">
        <v>9224</v>
      </c>
      <c r="I794" s="18">
        <f t="shared" si="4"/>
        <v>45978</v>
      </c>
      <c r="J794" s="19" t="s">
        <v>28</v>
      </c>
      <c r="K794" s="19" t="s">
        <v>325</v>
      </c>
      <c r="L794" s="40"/>
    </row>
    <row r="795" ht="22.5" customHeight="1">
      <c r="C795" s="19" t="s">
        <v>9189</v>
      </c>
      <c r="D795" s="39" t="s">
        <v>9225</v>
      </c>
      <c r="E795" s="43" t="s">
        <v>9226</v>
      </c>
      <c r="F795" s="48" t="s">
        <v>9227</v>
      </c>
      <c r="G795" s="43" t="s">
        <v>1773</v>
      </c>
      <c r="H795" s="42" t="s">
        <v>9228</v>
      </c>
      <c r="I795" s="18">
        <f t="shared" si="4"/>
        <v>45978</v>
      </c>
      <c r="J795" s="19" t="s">
        <v>28</v>
      </c>
      <c r="K795" s="19" t="s">
        <v>325</v>
      </c>
      <c r="L795" s="40"/>
    </row>
    <row r="796" ht="22.5" customHeight="1">
      <c r="C796" s="19" t="s">
        <v>9189</v>
      </c>
      <c r="D796" s="39" t="s">
        <v>9229</v>
      </c>
      <c r="E796" s="43" t="s">
        <v>9230</v>
      </c>
      <c r="F796" s="43" t="s">
        <v>8616</v>
      </c>
      <c r="G796" s="43" t="s">
        <v>152</v>
      </c>
      <c r="H796" s="42" t="s">
        <v>9231</v>
      </c>
      <c r="I796" s="18">
        <f t="shared" si="4"/>
        <v>45978</v>
      </c>
      <c r="J796" s="19" t="s">
        <v>28</v>
      </c>
      <c r="K796" s="19" t="s">
        <v>325</v>
      </c>
      <c r="L796" s="40"/>
    </row>
    <row r="797" ht="22.5" customHeight="1">
      <c r="C797" s="19" t="s">
        <v>9189</v>
      </c>
      <c r="D797" s="39" t="s">
        <v>9232</v>
      </c>
      <c r="E797" s="43" t="s">
        <v>9233</v>
      </c>
      <c r="F797" s="43" t="s">
        <v>9234</v>
      </c>
      <c r="G797" s="43" t="s">
        <v>1781</v>
      </c>
      <c r="H797" s="42" t="s">
        <v>9235</v>
      </c>
      <c r="I797" s="18">
        <f t="shared" si="4"/>
        <v>45978</v>
      </c>
      <c r="J797" s="19" t="s">
        <v>28</v>
      </c>
      <c r="K797" s="19" t="s">
        <v>325</v>
      </c>
      <c r="L797" s="40"/>
    </row>
    <row r="798" ht="22.5" customHeight="1">
      <c r="C798" s="19" t="s">
        <v>9189</v>
      </c>
      <c r="D798" s="39" t="s">
        <v>9236</v>
      </c>
      <c r="E798" s="43" t="s">
        <v>9237</v>
      </c>
      <c r="F798" s="43" t="s">
        <v>9238</v>
      </c>
      <c r="G798" s="43" t="s">
        <v>279</v>
      </c>
      <c r="H798" s="44">
        <v>9.174101522E9</v>
      </c>
      <c r="I798" s="18">
        <f t="shared" si="4"/>
        <v>45978</v>
      </c>
      <c r="J798" s="19" t="s">
        <v>28</v>
      </c>
      <c r="K798" s="19" t="s">
        <v>325</v>
      </c>
      <c r="L798" s="40"/>
    </row>
    <row r="799" ht="22.5" customHeight="1">
      <c r="C799" s="19" t="s">
        <v>9189</v>
      </c>
      <c r="D799" s="39" t="s">
        <v>9239</v>
      </c>
      <c r="E799" s="43" t="s">
        <v>9240</v>
      </c>
      <c r="F799" s="43" t="s">
        <v>9241</v>
      </c>
      <c r="G799" s="43" t="s">
        <v>1172</v>
      </c>
      <c r="H799" s="44">
        <v>7.186827574E9</v>
      </c>
      <c r="I799" s="18">
        <f t="shared" si="4"/>
        <v>45978</v>
      </c>
      <c r="J799" s="19" t="s">
        <v>28</v>
      </c>
      <c r="K799" s="19" t="s">
        <v>325</v>
      </c>
      <c r="L799" s="40"/>
    </row>
    <row r="800" ht="22.5" customHeight="1">
      <c r="C800" s="19" t="s">
        <v>9189</v>
      </c>
      <c r="D800" s="39" t="s">
        <v>9242</v>
      </c>
      <c r="E800" s="43" t="s">
        <v>9243</v>
      </c>
      <c r="F800" s="43" t="s">
        <v>9244</v>
      </c>
      <c r="G800" s="43" t="s">
        <v>72</v>
      </c>
      <c r="H800" s="42" t="s">
        <v>9245</v>
      </c>
      <c r="I800" s="18">
        <f t="shared" si="4"/>
        <v>45978</v>
      </c>
      <c r="J800" s="19" t="s">
        <v>28</v>
      </c>
      <c r="K800" s="19" t="s">
        <v>325</v>
      </c>
      <c r="L800" s="40"/>
    </row>
    <row r="801" ht="22.5" customHeight="1">
      <c r="C801" s="19" t="s">
        <v>9189</v>
      </c>
      <c r="D801" s="39" t="s">
        <v>9246</v>
      </c>
      <c r="E801" s="43" t="s">
        <v>9247</v>
      </c>
      <c r="F801" s="43" t="s">
        <v>9248</v>
      </c>
      <c r="G801" s="43" t="s">
        <v>636</v>
      </c>
      <c r="H801" s="44">
        <v>6.468721391E9</v>
      </c>
      <c r="I801" s="18">
        <f t="shared" si="4"/>
        <v>45978</v>
      </c>
      <c r="J801" s="19" t="s">
        <v>28</v>
      </c>
      <c r="K801" s="19" t="s">
        <v>325</v>
      </c>
      <c r="L801" s="40"/>
    </row>
    <row r="802" ht="22.5" customHeight="1">
      <c r="C802" s="19" t="s">
        <v>9189</v>
      </c>
      <c r="D802" s="39" t="s">
        <v>9249</v>
      </c>
      <c r="E802" s="43" t="s">
        <v>9250</v>
      </c>
      <c r="F802" s="43" t="s">
        <v>1871</v>
      </c>
      <c r="G802" s="43" t="s">
        <v>269</v>
      </c>
      <c r="H802" s="42" t="s">
        <v>9251</v>
      </c>
      <c r="I802" s="18">
        <f t="shared" si="4"/>
        <v>45978</v>
      </c>
      <c r="J802" s="19" t="s">
        <v>28</v>
      </c>
      <c r="K802" s="19" t="s">
        <v>325</v>
      </c>
      <c r="L802" s="4"/>
    </row>
    <row r="803" ht="22.5" customHeight="1">
      <c r="C803" s="19" t="s">
        <v>9189</v>
      </c>
      <c r="D803" s="39" t="s">
        <v>9252</v>
      </c>
      <c r="E803" s="43" t="s">
        <v>9253</v>
      </c>
      <c r="F803" s="43" t="s">
        <v>9254</v>
      </c>
      <c r="G803" s="43" t="s">
        <v>118</v>
      </c>
      <c r="H803" s="42" t="s">
        <v>9255</v>
      </c>
      <c r="I803" s="18">
        <f t="shared" si="4"/>
        <v>45978</v>
      </c>
      <c r="J803" s="19" t="s">
        <v>28</v>
      </c>
      <c r="K803" s="19" t="s">
        <v>325</v>
      </c>
      <c r="L803" s="40"/>
    </row>
    <row r="804" ht="22.5" customHeight="1">
      <c r="C804" s="19" t="s">
        <v>9256</v>
      </c>
      <c r="D804" s="39" t="s">
        <v>9257</v>
      </c>
      <c r="E804" s="43" t="s">
        <v>9258</v>
      </c>
      <c r="F804" s="43" t="s">
        <v>9259</v>
      </c>
      <c r="G804" s="43" t="s">
        <v>9260</v>
      </c>
      <c r="H804" s="42" t="s">
        <v>9261</v>
      </c>
      <c r="I804" s="18">
        <f t="shared" si="4"/>
        <v>45978</v>
      </c>
      <c r="J804" s="19" t="s">
        <v>28</v>
      </c>
      <c r="K804" s="19" t="s">
        <v>325</v>
      </c>
      <c r="L804" s="40"/>
    </row>
    <row r="805" ht="22.5" customHeight="1">
      <c r="C805" s="19" t="s">
        <v>9256</v>
      </c>
      <c r="D805" s="39" t="s">
        <v>9262</v>
      </c>
      <c r="E805" s="43" t="s">
        <v>9263</v>
      </c>
      <c r="F805" s="43" t="s">
        <v>9264</v>
      </c>
      <c r="G805" s="43" t="s">
        <v>9265</v>
      </c>
      <c r="H805" s="42" t="s">
        <v>9266</v>
      </c>
      <c r="I805" s="18">
        <f t="shared" si="4"/>
        <v>45978</v>
      </c>
      <c r="J805" s="19" t="s">
        <v>28</v>
      </c>
      <c r="K805" s="19" t="s">
        <v>325</v>
      </c>
      <c r="L805" s="40"/>
    </row>
    <row r="806" ht="22.5" customHeight="1">
      <c r="C806" s="19" t="s">
        <v>9256</v>
      </c>
      <c r="D806" s="39" t="s">
        <v>9267</v>
      </c>
      <c r="E806" s="43" t="s">
        <v>9268</v>
      </c>
      <c r="F806" s="43" t="s">
        <v>9269</v>
      </c>
      <c r="G806" s="43" t="s">
        <v>6068</v>
      </c>
      <c r="H806" s="44">
        <v>2.014976512E9</v>
      </c>
      <c r="I806" s="18">
        <f t="shared" si="4"/>
        <v>45978</v>
      </c>
      <c r="J806" s="19" t="s">
        <v>28</v>
      </c>
      <c r="K806" s="19" t="s">
        <v>325</v>
      </c>
      <c r="L806" s="40"/>
    </row>
    <row r="807" ht="22.5" customHeight="1">
      <c r="C807" s="19" t="s">
        <v>9256</v>
      </c>
      <c r="D807" s="39" t="s">
        <v>9270</v>
      </c>
      <c r="E807" s="43" t="s">
        <v>9271</v>
      </c>
      <c r="F807" s="43" t="s">
        <v>9028</v>
      </c>
      <c r="G807" s="43" t="s">
        <v>5878</v>
      </c>
      <c r="H807" s="42" t="s">
        <v>9272</v>
      </c>
      <c r="I807" s="18">
        <f t="shared" si="4"/>
        <v>45978</v>
      </c>
      <c r="J807" s="19" t="s">
        <v>28</v>
      </c>
      <c r="K807" s="19" t="s">
        <v>325</v>
      </c>
      <c r="L807" s="40"/>
    </row>
    <row r="808" ht="22.5" customHeight="1">
      <c r="C808" s="19" t="s">
        <v>9256</v>
      </c>
      <c r="D808" s="39" t="s">
        <v>9273</v>
      </c>
      <c r="E808" s="43" t="s">
        <v>9274</v>
      </c>
      <c r="F808" s="43" t="s">
        <v>9275</v>
      </c>
      <c r="G808" s="43" t="s">
        <v>5862</v>
      </c>
      <c r="H808" s="44">
        <v>2.123741425E9</v>
      </c>
      <c r="I808" s="18">
        <f t="shared" si="4"/>
        <v>45978</v>
      </c>
      <c r="J808" s="19" t="s">
        <v>28</v>
      </c>
      <c r="K808" s="19" t="s">
        <v>325</v>
      </c>
      <c r="L808" s="40"/>
    </row>
    <row r="809" ht="22.5" customHeight="1">
      <c r="C809" s="19" t="s">
        <v>9256</v>
      </c>
      <c r="D809" s="39" t="s">
        <v>9276</v>
      </c>
      <c r="E809" s="43" t="s">
        <v>9277</v>
      </c>
      <c r="F809" s="43" t="s">
        <v>9278</v>
      </c>
      <c r="G809" s="43" t="s">
        <v>7039</v>
      </c>
      <c r="H809" s="42" t="s">
        <v>9279</v>
      </c>
      <c r="I809" s="18">
        <f t="shared" si="4"/>
        <v>45978</v>
      </c>
      <c r="J809" s="19" t="s">
        <v>28</v>
      </c>
      <c r="K809" s="19" t="s">
        <v>325</v>
      </c>
      <c r="L809" s="40"/>
    </row>
    <row r="810" ht="22.5" customHeight="1">
      <c r="C810" s="19" t="s">
        <v>9256</v>
      </c>
      <c r="D810" s="39" t="s">
        <v>9280</v>
      </c>
      <c r="E810" s="43" t="s">
        <v>9281</v>
      </c>
      <c r="F810" s="43" t="s">
        <v>9282</v>
      </c>
      <c r="G810" s="43" t="s">
        <v>9283</v>
      </c>
      <c r="H810" s="42" t="s">
        <v>9284</v>
      </c>
      <c r="I810" s="18">
        <f t="shared" si="4"/>
        <v>45978</v>
      </c>
      <c r="J810" s="19" t="s">
        <v>28</v>
      </c>
      <c r="K810" s="19" t="s">
        <v>325</v>
      </c>
      <c r="L810" s="40"/>
    </row>
    <row r="811" ht="22.5" customHeight="1">
      <c r="C811" s="19" t="s">
        <v>9256</v>
      </c>
      <c r="D811" s="39" t="s">
        <v>9285</v>
      </c>
      <c r="E811" s="43" t="s">
        <v>9286</v>
      </c>
      <c r="F811" s="43" t="s">
        <v>9287</v>
      </c>
      <c r="G811" s="43" t="s">
        <v>5953</v>
      </c>
      <c r="H811" s="44">
        <v>7.188131322E9</v>
      </c>
      <c r="I811" s="18">
        <f t="shared" si="4"/>
        <v>45978</v>
      </c>
      <c r="J811" s="19" t="s">
        <v>28</v>
      </c>
      <c r="K811" s="19" t="s">
        <v>325</v>
      </c>
      <c r="L811" s="40"/>
    </row>
    <row r="812" ht="22.5" customHeight="1">
      <c r="C812" s="19" t="s">
        <v>9256</v>
      </c>
      <c r="D812" s="39" t="s">
        <v>9288</v>
      </c>
      <c r="E812" s="43" t="s">
        <v>9289</v>
      </c>
      <c r="F812" s="43" t="s">
        <v>9290</v>
      </c>
      <c r="G812" s="43" t="s">
        <v>7508</v>
      </c>
      <c r="H812" s="42" t="s">
        <v>9291</v>
      </c>
      <c r="I812" s="18">
        <f t="shared" si="4"/>
        <v>45978</v>
      </c>
      <c r="J812" s="19" t="s">
        <v>28</v>
      </c>
      <c r="K812" s="19" t="s">
        <v>325</v>
      </c>
      <c r="L812" s="40"/>
    </row>
    <row r="813" ht="22.5" customHeight="1">
      <c r="C813" s="19" t="s">
        <v>9256</v>
      </c>
      <c r="D813" s="39" t="s">
        <v>9292</v>
      </c>
      <c r="E813" s="43" t="s">
        <v>9293</v>
      </c>
      <c r="F813" s="43" t="s">
        <v>9294</v>
      </c>
      <c r="G813" s="43" t="s">
        <v>5957</v>
      </c>
      <c r="H813" s="44">
        <v>2.1274227E9</v>
      </c>
      <c r="I813" s="18">
        <f t="shared" si="4"/>
        <v>45978</v>
      </c>
      <c r="J813" s="19" t="s">
        <v>28</v>
      </c>
      <c r="K813" s="19" t="s">
        <v>325</v>
      </c>
      <c r="L813" s="40"/>
    </row>
    <row r="814" ht="22.5" customHeight="1">
      <c r="C814" s="19" t="s">
        <v>9256</v>
      </c>
      <c r="D814" s="39" t="s">
        <v>9295</v>
      </c>
      <c r="E814" s="43" t="s">
        <v>9296</v>
      </c>
      <c r="F814" s="43" t="s">
        <v>9297</v>
      </c>
      <c r="G814" s="43" t="s">
        <v>5878</v>
      </c>
      <c r="H814" s="44">
        <v>9.086019603E9</v>
      </c>
      <c r="I814" s="18">
        <f t="shared" si="4"/>
        <v>45978</v>
      </c>
      <c r="J814" s="19" t="s">
        <v>28</v>
      </c>
      <c r="K814" s="19" t="s">
        <v>325</v>
      </c>
      <c r="L814" s="40"/>
    </row>
    <row r="815" ht="22.5" customHeight="1">
      <c r="C815" s="19" t="s">
        <v>9256</v>
      </c>
      <c r="D815" s="39" t="s">
        <v>9298</v>
      </c>
      <c r="E815" s="43" t="s">
        <v>9299</v>
      </c>
      <c r="F815" s="43" t="s">
        <v>9300</v>
      </c>
      <c r="G815" s="43" t="s">
        <v>6902</v>
      </c>
      <c r="H815" s="42" t="s">
        <v>9301</v>
      </c>
      <c r="I815" s="18">
        <f t="shared" si="4"/>
        <v>45978</v>
      </c>
      <c r="J815" s="19" t="s">
        <v>28</v>
      </c>
      <c r="K815" s="19" t="s">
        <v>325</v>
      </c>
      <c r="L815" s="40"/>
    </row>
    <row r="816" ht="22.5" customHeight="1">
      <c r="C816" s="19" t="s">
        <v>9256</v>
      </c>
      <c r="D816" s="39" t="s">
        <v>9302</v>
      </c>
      <c r="E816" s="43" t="s">
        <v>9303</v>
      </c>
      <c r="F816" s="43" t="s">
        <v>9304</v>
      </c>
      <c r="G816" s="43" t="s">
        <v>5908</v>
      </c>
      <c r="H816" s="42" t="s">
        <v>9305</v>
      </c>
      <c r="I816" s="18">
        <f t="shared" si="4"/>
        <v>45978</v>
      </c>
      <c r="J816" s="19" t="s">
        <v>28</v>
      </c>
      <c r="K816" s="19" t="s">
        <v>325</v>
      </c>
      <c r="L816" s="40"/>
    </row>
    <row r="817" ht="22.5" customHeight="1">
      <c r="C817" s="19" t="s">
        <v>9256</v>
      </c>
      <c r="D817" s="39" t="s">
        <v>9306</v>
      </c>
      <c r="E817" s="43" t="s">
        <v>9307</v>
      </c>
      <c r="F817" s="43" t="s">
        <v>9307</v>
      </c>
      <c r="G817" s="43" t="s">
        <v>6459</v>
      </c>
      <c r="H817" s="42" t="s">
        <v>9308</v>
      </c>
      <c r="I817" s="18">
        <f t="shared" si="4"/>
        <v>45978</v>
      </c>
      <c r="J817" s="19" t="s">
        <v>28</v>
      </c>
      <c r="K817" s="19" t="s">
        <v>325</v>
      </c>
      <c r="L817" s="18"/>
    </row>
    <row r="818" ht="22.5" customHeight="1">
      <c r="C818" s="19" t="s">
        <v>9256</v>
      </c>
      <c r="D818" s="39" t="s">
        <v>9309</v>
      </c>
      <c r="E818" s="43" t="s">
        <v>9310</v>
      </c>
      <c r="F818" s="43" t="s">
        <v>9311</v>
      </c>
      <c r="G818" s="43" t="s">
        <v>6063</v>
      </c>
      <c r="H818" s="44">
        <v>2.124396132E9</v>
      </c>
      <c r="I818" s="18">
        <f t="shared" si="4"/>
        <v>45978</v>
      </c>
      <c r="J818" s="19" t="s">
        <v>28</v>
      </c>
      <c r="K818" s="19" t="s">
        <v>325</v>
      </c>
      <c r="L818" s="40"/>
    </row>
    <row r="819" ht="22.5" customHeight="1">
      <c r="C819" s="19" t="s">
        <v>9256</v>
      </c>
      <c r="D819" s="39" t="s">
        <v>9312</v>
      </c>
      <c r="E819" s="43" t="s">
        <v>9313</v>
      </c>
      <c r="F819" s="43" t="s">
        <v>9314</v>
      </c>
      <c r="G819" s="43" t="s">
        <v>6076</v>
      </c>
      <c r="H819" s="44">
        <v>6.468957107E9</v>
      </c>
      <c r="I819" s="18">
        <f t="shared" si="4"/>
        <v>45978</v>
      </c>
      <c r="J819" s="19" t="s">
        <v>28</v>
      </c>
      <c r="K819" s="19" t="s">
        <v>325</v>
      </c>
      <c r="L819" s="40"/>
    </row>
    <row r="820" ht="22.5" customHeight="1">
      <c r="C820" s="19" t="s">
        <v>9256</v>
      </c>
      <c r="D820" s="39" t="s">
        <v>9315</v>
      </c>
      <c r="E820" s="43" t="s">
        <v>9316</v>
      </c>
      <c r="F820" s="43" t="s">
        <v>9317</v>
      </c>
      <c r="G820" s="43" t="s">
        <v>5866</v>
      </c>
      <c r="H820" s="44">
        <v>2.128496571E9</v>
      </c>
      <c r="I820" s="18">
        <f t="shared" si="4"/>
        <v>45978</v>
      </c>
      <c r="J820" s="19" t="s">
        <v>28</v>
      </c>
      <c r="K820" s="19" t="s">
        <v>325</v>
      </c>
      <c r="L820" s="40"/>
    </row>
    <row r="821" ht="22.5" customHeight="1">
      <c r="C821" s="19" t="s">
        <v>9256</v>
      </c>
      <c r="D821" s="39" t="s">
        <v>9318</v>
      </c>
      <c r="E821" s="43" t="s">
        <v>9319</v>
      </c>
      <c r="F821" s="43" t="s">
        <v>9320</v>
      </c>
      <c r="G821" s="43" t="s">
        <v>5895</v>
      </c>
      <c r="H821" s="44">
        <v>2.127687422E9</v>
      </c>
      <c r="I821" s="18">
        <f t="shared" si="4"/>
        <v>45978</v>
      </c>
      <c r="J821" s="19" t="s">
        <v>28</v>
      </c>
      <c r="K821" s="19" t="s">
        <v>325</v>
      </c>
      <c r="L821" s="40"/>
    </row>
    <row r="822" ht="22.5" customHeight="1">
      <c r="C822" s="19" t="s">
        <v>9256</v>
      </c>
      <c r="D822" s="39" t="s">
        <v>9321</v>
      </c>
      <c r="E822" s="43" t="s">
        <v>9322</v>
      </c>
      <c r="F822" s="43" t="s">
        <v>9323</v>
      </c>
      <c r="G822" s="43" t="s">
        <v>5953</v>
      </c>
      <c r="H822" s="44">
        <v>6.466768603E9</v>
      </c>
      <c r="I822" s="18">
        <f t="shared" si="4"/>
        <v>45978</v>
      </c>
      <c r="J822" s="19" t="s">
        <v>28</v>
      </c>
      <c r="K822" s="19" t="s">
        <v>325</v>
      </c>
      <c r="L822" s="40"/>
    </row>
    <row r="823" ht="22.5" customHeight="1">
      <c r="C823" s="19" t="s">
        <v>9256</v>
      </c>
      <c r="D823" s="39" t="s">
        <v>9324</v>
      </c>
      <c r="E823" s="43" t="s">
        <v>9325</v>
      </c>
      <c r="F823" s="43" t="s">
        <v>1419</v>
      </c>
      <c r="G823" s="43" t="s">
        <v>5878</v>
      </c>
      <c r="H823" s="42" t="s">
        <v>9326</v>
      </c>
      <c r="I823" s="18">
        <f t="shared" si="4"/>
        <v>45978</v>
      </c>
      <c r="J823" s="19" t="s">
        <v>28</v>
      </c>
      <c r="K823" s="19" t="s">
        <v>325</v>
      </c>
      <c r="L823" s="40"/>
    </row>
    <row r="824" ht="22.5" customHeight="1">
      <c r="C824" s="19" t="s">
        <v>9256</v>
      </c>
      <c r="D824" s="39" t="s">
        <v>9327</v>
      </c>
      <c r="E824" s="43" t="s">
        <v>9328</v>
      </c>
      <c r="F824" s="43" t="s">
        <v>9329</v>
      </c>
      <c r="G824" s="43" t="s">
        <v>7060</v>
      </c>
      <c r="H824" s="44">
        <v>6.46287619E9</v>
      </c>
      <c r="I824" s="18">
        <f t="shared" si="4"/>
        <v>45978</v>
      </c>
      <c r="J824" s="19" t="s">
        <v>28</v>
      </c>
      <c r="K824" s="19" t="s">
        <v>325</v>
      </c>
      <c r="L824" s="4"/>
    </row>
    <row r="825" ht="22.5" customHeight="1">
      <c r="C825" s="19" t="s">
        <v>9256</v>
      </c>
      <c r="D825" s="39" t="s">
        <v>9330</v>
      </c>
      <c r="E825" s="43" t="s">
        <v>9331</v>
      </c>
      <c r="F825" s="43" t="s">
        <v>9332</v>
      </c>
      <c r="G825" s="43" t="s">
        <v>6118</v>
      </c>
      <c r="H825" s="44">
        <v>6.463064827E9</v>
      </c>
      <c r="I825" s="18">
        <f t="shared" si="4"/>
        <v>45978</v>
      </c>
      <c r="J825" s="19" t="s">
        <v>28</v>
      </c>
      <c r="K825" s="19" t="s">
        <v>325</v>
      </c>
      <c r="L825" s="40"/>
    </row>
    <row r="826" ht="22.5" customHeight="1">
      <c r="C826" s="19" t="s">
        <v>9256</v>
      </c>
      <c r="D826" s="39" t="s">
        <v>9333</v>
      </c>
      <c r="E826" s="43" t="s">
        <v>9334</v>
      </c>
      <c r="F826" s="43" t="s">
        <v>9335</v>
      </c>
      <c r="G826" s="43" t="s">
        <v>9336</v>
      </c>
      <c r="H826" s="44">
        <v>7.327665932E9</v>
      </c>
      <c r="I826" s="18">
        <f t="shared" si="4"/>
        <v>45978</v>
      </c>
      <c r="J826" s="19" t="s">
        <v>28</v>
      </c>
      <c r="K826" s="19" t="s">
        <v>325</v>
      </c>
      <c r="L826" s="40"/>
    </row>
    <row r="827" ht="22.5" customHeight="1">
      <c r="C827" s="19" t="s">
        <v>9256</v>
      </c>
      <c r="D827" s="39" t="s">
        <v>9337</v>
      </c>
      <c r="E827" s="43" t="s">
        <v>9338</v>
      </c>
      <c r="F827" s="43" t="s">
        <v>9339</v>
      </c>
      <c r="G827" s="43" t="s">
        <v>7148</v>
      </c>
      <c r="H827" s="42" t="s">
        <v>9340</v>
      </c>
      <c r="I827" s="18">
        <f t="shared" si="4"/>
        <v>45978</v>
      </c>
      <c r="J827" s="19" t="s">
        <v>28</v>
      </c>
      <c r="K827" s="19" t="s">
        <v>325</v>
      </c>
      <c r="L827" s="40"/>
    </row>
    <row r="828" ht="22.5" customHeight="1">
      <c r="C828" s="19" t="s">
        <v>9256</v>
      </c>
      <c r="D828" s="39" t="s">
        <v>9341</v>
      </c>
      <c r="E828" s="43" t="s">
        <v>9342</v>
      </c>
      <c r="F828" s="43" t="s">
        <v>9343</v>
      </c>
      <c r="G828" s="43" t="s">
        <v>9344</v>
      </c>
      <c r="H828" s="42" t="s">
        <v>9345</v>
      </c>
      <c r="I828" s="18">
        <f t="shared" si="4"/>
        <v>45978</v>
      </c>
      <c r="J828" s="19" t="s">
        <v>28</v>
      </c>
      <c r="K828" s="19" t="s">
        <v>325</v>
      </c>
      <c r="L828" s="40"/>
    </row>
    <row r="829" ht="22.5" customHeight="1">
      <c r="C829" s="19" t="s">
        <v>9256</v>
      </c>
      <c r="D829" s="39" t="s">
        <v>9346</v>
      </c>
      <c r="E829" s="43" t="s">
        <v>9347</v>
      </c>
      <c r="F829" s="43" t="s">
        <v>9126</v>
      </c>
      <c r="G829" s="43" t="s">
        <v>5834</v>
      </c>
      <c r="H829" s="42" t="s">
        <v>9348</v>
      </c>
      <c r="I829" s="18">
        <f t="shared" si="4"/>
        <v>45978</v>
      </c>
      <c r="J829" s="19" t="s">
        <v>28</v>
      </c>
      <c r="K829" s="19" t="s">
        <v>325</v>
      </c>
      <c r="L829" s="4"/>
    </row>
    <row r="830" ht="22.5" customHeight="1">
      <c r="C830" s="19" t="s">
        <v>9256</v>
      </c>
      <c r="D830" s="39" t="s">
        <v>9349</v>
      </c>
      <c r="E830" s="43" t="s">
        <v>9350</v>
      </c>
      <c r="F830" s="43" t="s">
        <v>9351</v>
      </c>
      <c r="G830" s="43" t="s">
        <v>5900</v>
      </c>
      <c r="H830" s="44">
        <v>2.12972704E9</v>
      </c>
      <c r="I830" s="18">
        <f t="shared" si="4"/>
        <v>45978</v>
      </c>
      <c r="J830" s="19" t="s">
        <v>28</v>
      </c>
      <c r="K830" s="19" t="s">
        <v>325</v>
      </c>
      <c r="L830" s="40"/>
    </row>
    <row r="831" ht="22.5" customHeight="1">
      <c r="C831" s="19" t="s">
        <v>9256</v>
      </c>
      <c r="D831" s="39" t="s">
        <v>9352</v>
      </c>
      <c r="E831" s="43" t="s">
        <v>9353</v>
      </c>
      <c r="F831" s="48" t="s">
        <v>9354</v>
      </c>
      <c r="G831" s="43" t="s">
        <v>9355</v>
      </c>
      <c r="H831" s="42" t="s">
        <v>9356</v>
      </c>
      <c r="I831" s="18">
        <f t="shared" si="4"/>
        <v>45978</v>
      </c>
      <c r="J831" s="19" t="s">
        <v>28</v>
      </c>
      <c r="K831" s="19" t="s">
        <v>325</v>
      </c>
      <c r="L831" s="4"/>
    </row>
    <row r="832" ht="22.5" customHeight="1">
      <c r="C832" s="19" t="s">
        <v>9256</v>
      </c>
      <c r="D832" s="39" t="s">
        <v>9357</v>
      </c>
      <c r="E832" s="43" t="s">
        <v>9358</v>
      </c>
      <c r="F832" s="43" t="s">
        <v>9359</v>
      </c>
      <c r="G832" s="43" t="s">
        <v>5874</v>
      </c>
      <c r="H832" s="44">
        <v>2.123801333E9</v>
      </c>
      <c r="I832" s="18">
        <f t="shared" si="4"/>
        <v>45978</v>
      </c>
      <c r="J832" s="19" t="s">
        <v>28</v>
      </c>
      <c r="K832" s="19" t="s">
        <v>325</v>
      </c>
      <c r="L832" s="40"/>
    </row>
    <row r="833" ht="22.5" customHeight="1">
      <c r="C833" s="19" t="s">
        <v>9256</v>
      </c>
      <c r="D833" s="39" t="s">
        <v>9360</v>
      </c>
      <c r="E833" s="43" t="s">
        <v>9361</v>
      </c>
      <c r="F833" s="43" t="s">
        <v>9362</v>
      </c>
      <c r="G833" s="43" t="s">
        <v>8343</v>
      </c>
      <c r="H833" s="44">
        <v>7.32547555E9</v>
      </c>
      <c r="I833" s="18">
        <f t="shared" si="4"/>
        <v>45978</v>
      </c>
      <c r="J833" s="19" t="s">
        <v>28</v>
      </c>
      <c r="K833" s="19" t="s">
        <v>325</v>
      </c>
      <c r="L833" s="40"/>
    </row>
    <row r="834" ht="22.5" customHeight="1">
      <c r="C834" s="19" t="s">
        <v>9256</v>
      </c>
      <c r="D834" s="39" t="s">
        <v>9363</v>
      </c>
      <c r="E834" s="43" t="s">
        <v>9364</v>
      </c>
      <c r="F834" s="43" t="s">
        <v>9365</v>
      </c>
      <c r="G834" s="43" t="s">
        <v>6581</v>
      </c>
      <c r="H834" s="44">
        <v>9.735302178E9</v>
      </c>
      <c r="I834" s="18">
        <f t="shared" si="4"/>
        <v>45978</v>
      </c>
      <c r="J834" s="19" t="s">
        <v>28</v>
      </c>
      <c r="K834" s="19" t="s">
        <v>325</v>
      </c>
      <c r="L834" s="40"/>
    </row>
    <row r="835" ht="22.5" customHeight="1">
      <c r="C835" s="19" t="s">
        <v>9256</v>
      </c>
      <c r="D835" s="39" t="s">
        <v>9366</v>
      </c>
      <c r="E835" s="43" t="s">
        <v>9367</v>
      </c>
      <c r="F835" s="43" t="s">
        <v>9368</v>
      </c>
      <c r="G835" s="43" t="s">
        <v>5850</v>
      </c>
      <c r="H835" s="44">
        <v>9.179746651E9</v>
      </c>
      <c r="I835" s="18">
        <f t="shared" si="4"/>
        <v>45978</v>
      </c>
      <c r="J835" s="19" t="s">
        <v>28</v>
      </c>
      <c r="K835" s="19" t="s">
        <v>325</v>
      </c>
      <c r="L835" s="40"/>
    </row>
    <row r="836" ht="22.5" customHeight="1">
      <c r="C836" s="19" t="s">
        <v>9256</v>
      </c>
      <c r="D836" s="39" t="s">
        <v>9369</v>
      </c>
      <c r="E836" s="43" t="s">
        <v>9370</v>
      </c>
      <c r="F836" s="43" t="s">
        <v>9371</v>
      </c>
      <c r="G836" s="43" t="s">
        <v>6721</v>
      </c>
      <c r="H836" s="44">
        <v>7.18389915E9</v>
      </c>
      <c r="I836" s="18">
        <f t="shared" si="4"/>
        <v>45978</v>
      </c>
      <c r="J836" s="19" t="s">
        <v>28</v>
      </c>
      <c r="K836" s="19" t="s">
        <v>325</v>
      </c>
      <c r="L836" s="40"/>
    </row>
    <row r="837" ht="22.5" customHeight="1">
      <c r="C837" s="19" t="s">
        <v>9256</v>
      </c>
      <c r="D837" s="39" t="s">
        <v>9372</v>
      </c>
      <c r="E837" s="43" t="s">
        <v>9373</v>
      </c>
      <c r="F837" s="43" t="s">
        <v>9374</v>
      </c>
      <c r="G837" s="43" t="s">
        <v>6004</v>
      </c>
      <c r="H837" s="42" t="s">
        <v>9375</v>
      </c>
      <c r="I837" s="18">
        <f t="shared" si="4"/>
        <v>45978</v>
      </c>
      <c r="J837" s="19" t="s">
        <v>28</v>
      </c>
      <c r="K837" s="19" t="s">
        <v>325</v>
      </c>
      <c r="L837" s="40"/>
    </row>
    <row r="838" ht="22.5" customHeight="1">
      <c r="C838" s="19" t="s">
        <v>9256</v>
      </c>
      <c r="D838" s="39" t="s">
        <v>9376</v>
      </c>
      <c r="E838" s="43" t="s">
        <v>9377</v>
      </c>
      <c r="F838" s="48" t="s">
        <v>9378</v>
      </c>
      <c r="G838" s="43" t="s">
        <v>9379</v>
      </c>
      <c r="H838" s="44">
        <v>9.174952505E9</v>
      </c>
      <c r="I838" s="18">
        <f t="shared" si="4"/>
        <v>45978</v>
      </c>
      <c r="J838" s="19" t="s">
        <v>28</v>
      </c>
      <c r="K838" s="19" t="s">
        <v>325</v>
      </c>
      <c r="L838" s="4"/>
    </row>
    <row r="839" ht="22.5" customHeight="1">
      <c r="C839" s="19" t="s">
        <v>9256</v>
      </c>
      <c r="D839" s="39" t="s">
        <v>9380</v>
      </c>
      <c r="E839" s="43" t="s">
        <v>9381</v>
      </c>
      <c r="F839" s="43" t="s">
        <v>9382</v>
      </c>
      <c r="G839" s="43" t="s">
        <v>7328</v>
      </c>
      <c r="H839" s="42" t="s">
        <v>182</v>
      </c>
      <c r="I839" s="18">
        <f t="shared" si="4"/>
        <v>45978</v>
      </c>
      <c r="J839" s="19" t="s">
        <v>28</v>
      </c>
      <c r="K839" s="19" t="s">
        <v>325</v>
      </c>
      <c r="L839" s="4"/>
    </row>
    <row r="840" ht="22.5" customHeight="1">
      <c r="C840" s="19" t="s">
        <v>9256</v>
      </c>
      <c r="D840" s="39" t="s">
        <v>9383</v>
      </c>
      <c r="E840" s="43" t="s">
        <v>9384</v>
      </c>
      <c r="F840" s="43" t="s">
        <v>9385</v>
      </c>
      <c r="G840" s="43" t="s">
        <v>5882</v>
      </c>
      <c r="H840" s="42" t="s">
        <v>9386</v>
      </c>
      <c r="I840" s="18">
        <f t="shared" si="4"/>
        <v>45978</v>
      </c>
      <c r="J840" s="19" t="s">
        <v>28</v>
      </c>
      <c r="K840" s="19" t="s">
        <v>325</v>
      </c>
      <c r="L840" s="40"/>
    </row>
    <row r="841" ht="22.5" customHeight="1">
      <c r="C841" s="19" t="s">
        <v>9256</v>
      </c>
      <c r="D841" s="39" t="s">
        <v>9387</v>
      </c>
      <c r="E841" s="43" t="s">
        <v>9388</v>
      </c>
      <c r="F841" s="43" t="s">
        <v>9389</v>
      </c>
      <c r="G841" s="43" t="s">
        <v>5891</v>
      </c>
      <c r="H841" s="44">
        <v>9.293275878E9</v>
      </c>
      <c r="I841" s="18">
        <f t="shared" si="4"/>
        <v>45978</v>
      </c>
      <c r="J841" s="19" t="s">
        <v>28</v>
      </c>
      <c r="K841" s="19" t="s">
        <v>325</v>
      </c>
      <c r="L841" s="40"/>
    </row>
    <row r="842" ht="22.5" customHeight="1">
      <c r="C842" s="19" t="s">
        <v>9256</v>
      </c>
      <c r="D842" s="39" t="s">
        <v>9390</v>
      </c>
      <c r="E842" s="43" t="s">
        <v>9391</v>
      </c>
      <c r="F842" s="43" t="s">
        <v>9392</v>
      </c>
      <c r="G842" s="43" t="s">
        <v>5820</v>
      </c>
      <c r="H842" s="44">
        <v>6.462595024E9</v>
      </c>
      <c r="I842" s="18">
        <f t="shared" si="4"/>
        <v>45978</v>
      </c>
      <c r="J842" s="19" t="s">
        <v>28</v>
      </c>
      <c r="K842" s="19" t="s">
        <v>325</v>
      </c>
      <c r="L842" s="40"/>
    </row>
    <row r="843" ht="22.5" customHeight="1">
      <c r="C843" s="19" t="s">
        <v>9256</v>
      </c>
      <c r="D843" s="39" t="s">
        <v>9393</v>
      </c>
      <c r="E843" s="43" t="s">
        <v>9394</v>
      </c>
      <c r="F843" s="43" t="s">
        <v>9395</v>
      </c>
      <c r="G843" s="43" t="s">
        <v>8752</v>
      </c>
      <c r="H843" s="44">
        <v>3.028937249E9</v>
      </c>
      <c r="I843" s="18">
        <f t="shared" si="4"/>
        <v>45978</v>
      </c>
      <c r="J843" s="19" t="s">
        <v>28</v>
      </c>
      <c r="K843" s="19" t="s">
        <v>325</v>
      </c>
      <c r="L843" s="40"/>
    </row>
    <row r="844" ht="22.5" customHeight="1">
      <c r="C844" s="19" t="s">
        <v>9256</v>
      </c>
      <c r="D844" s="39" t="s">
        <v>9396</v>
      </c>
      <c r="E844" s="43" t="s">
        <v>9397</v>
      </c>
      <c r="F844" s="43" t="s">
        <v>9398</v>
      </c>
      <c r="G844" s="43" t="s">
        <v>9399</v>
      </c>
      <c r="H844" s="42" t="s">
        <v>9400</v>
      </c>
      <c r="I844" s="18">
        <f t="shared" si="4"/>
        <v>45978</v>
      </c>
      <c r="J844" s="19" t="s">
        <v>28</v>
      </c>
      <c r="K844" s="19" t="s">
        <v>325</v>
      </c>
      <c r="L844" s="40"/>
    </row>
    <row r="845" ht="22.5" customHeight="1">
      <c r="C845" s="19" t="s">
        <v>9256</v>
      </c>
      <c r="D845" s="39" t="s">
        <v>9401</v>
      </c>
      <c r="E845" s="43" t="s">
        <v>9402</v>
      </c>
      <c r="F845" s="43" t="s">
        <v>8623</v>
      </c>
      <c r="G845" s="43" t="s">
        <v>5929</v>
      </c>
      <c r="H845" s="42" t="s">
        <v>9403</v>
      </c>
      <c r="I845" s="18">
        <f t="shared" si="4"/>
        <v>45978</v>
      </c>
      <c r="J845" s="19" t="s">
        <v>28</v>
      </c>
      <c r="K845" s="19" t="s">
        <v>325</v>
      </c>
      <c r="L845" s="40"/>
    </row>
    <row r="846" ht="22.5" customHeight="1">
      <c r="C846" s="19" t="s">
        <v>9404</v>
      </c>
      <c r="D846" s="39" t="s">
        <v>9405</v>
      </c>
      <c r="E846" s="43" t="s">
        <v>9406</v>
      </c>
      <c r="F846" s="43" t="s">
        <v>9058</v>
      </c>
      <c r="G846" s="43" t="s">
        <v>5913</v>
      </c>
      <c r="H846" s="42" t="s">
        <v>9059</v>
      </c>
      <c r="I846" s="18">
        <f t="shared" ref="I846:I1023" si="5">DATE(2025, 11, 18)</f>
        <v>45979</v>
      </c>
      <c r="J846" s="19" t="s">
        <v>28</v>
      </c>
      <c r="K846" s="19" t="s">
        <v>5170</v>
      </c>
      <c r="L846" s="40"/>
    </row>
    <row r="847" ht="22.5" customHeight="1">
      <c r="C847" s="19" t="s">
        <v>9404</v>
      </c>
      <c r="D847" s="39" t="s">
        <v>9407</v>
      </c>
      <c r="E847" s="43" t="s">
        <v>9408</v>
      </c>
      <c r="F847" s="43" t="s">
        <v>9409</v>
      </c>
      <c r="G847" s="43" t="s">
        <v>5882</v>
      </c>
      <c r="H847" s="42" t="s">
        <v>9410</v>
      </c>
      <c r="I847" s="18">
        <f t="shared" si="5"/>
        <v>45979</v>
      </c>
      <c r="J847" s="19" t="s">
        <v>28</v>
      </c>
      <c r="K847" s="19" t="s">
        <v>5170</v>
      </c>
      <c r="L847" s="40"/>
    </row>
    <row r="848" ht="22.5" customHeight="1">
      <c r="C848" s="19" t="s">
        <v>9404</v>
      </c>
      <c r="D848" s="39" t="s">
        <v>9411</v>
      </c>
      <c r="E848" s="43" t="s">
        <v>9412</v>
      </c>
      <c r="F848" s="43" t="s">
        <v>5717</v>
      </c>
      <c r="G848" s="43" t="s">
        <v>5949</v>
      </c>
      <c r="H848" s="42" t="s">
        <v>9413</v>
      </c>
      <c r="I848" s="18">
        <f t="shared" si="5"/>
        <v>45979</v>
      </c>
      <c r="J848" s="19" t="s">
        <v>28</v>
      </c>
      <c r="K848" s="19" t="s">
        <v>5170</v>
      </c>
      <c r="L848" s="40"/>
    </row>
    <row r="849" ht="22.5" customHeight="1">
      <c r="C849" s="19" t="s">
        <v>9404</v>
      </c>
      <c r="D849" s="39" t="s">
        <v>9414</v>
      </c>
      <c r="E849" s="43" t="s">
        <v>9415</v>
      </c>
      <c r="F849" s="43" t="s">
        <v>9416</v>
      </c>
      <c r="G849" s="43" t="s">
        <v>7030</v>
      </c>
      <c r="H849" s="44">
        <v>2.032988754E9</v>
      </c>
      <c r="I849" s="18">
        <f t="shared" si="5"/>
        <v>45979</v>
      </c>
      <c r="J849" s="19" t="s">
        <v>28</v>
      </c>
      <c r="K849" s="19" t="s">
        <v>5170</v>
      </c>
      <c r="L849" s="40"/>
    </row>
    <row r="850" ht="22.5" customHeight="1">
      <c r="C850" s="19" t="s">
        <v>9404</v>
      </c>
      <c r="D850" s="39" t="s">
        <v>9417</v>
      </c>
      <c r="E850" s="43" t="s">
        <v>9418</v>
      </c>
      <c r="F850" s="43" t="s">
        <v>9419</v>
      </c>
      <c r="G850" s="43" t="s">
        <v>5973</v>
      </c>
      <c r="H850" s="42" t="s">
        <v>9420</v>
      </c>
      <c r="I850" s="18">
        <f t="shared" si="5"/>
        <v>45979</v>
      </c>
      <c r="J850" s="19" t="s">
        <v>28</v>
      </c>
      <c r="K850" s="19" t="s">
        <v>5170</v>
      </c>
      <c r="L850" s="40"/>
    </row>
    <row r="851" ht="22.5" customHeight="1">
      <c r="C851" s="19" t="s">
        <v>9404</v>
      </c>
      <c r="D851" s="39" t="s">
        <v>9421</v>
      </c>
      <c r="E851" s="43" t="s">
        <v>9422</v>
      </c>
      <c r="F851" s="43" t="s">
        <v>9423</v>
      </c>
      <c r="G851" s="43" t="s">
        <v>5957</v>
      </c>
      <c r="H851" s="44">
        <v>2.125242899E9</v>
      </c>
      <c r="I851" s="18">
        <f t="shared" si="5"/>
        <v>45979</v>
      </c>
      <c r="J851" s="19" t="s">
        <v>28</v>
      </c>
      <c r="K851" s="19" t="s">
        <v>5170</v>
      </c>
      <c r="L851" s="40"/>
    </row>
    <row r="852" ht="22.5" customHeight="1">
      <c r="C852" s="19" t="s">
        <v>9404</v>
      </c>
      <c r="D852" s="39" t="s">
        <v>9424</v>
      </c>
      <c r="E852" s="43" t="s">
        <v>9425</v>
      </c>
      <c r="F852" s="43" t="s">
        <v>9426</v>
      </c>
      <c r="G852" s="43" t="s">
        <v>5939</v>
      </c>
      <c r="H852" s="42" t="s">
        <v>9427</v>
      </c>
      <c r="I852" s="18">
        <f t="shared" si="5"/>
        <v>45979</v>
      </c>
      <c r="J852" s="19" t="s">
        <v>28</v>
      </c>
      <c r="K852" s="19" t="s">
        <v>5170</v>
      </c>
      <c r="L852" s="4"/>
    </row>
    <row r="853" ht="22.5" customHeight="1">
      <c r="C853" s="19" t="s">
        <v>9404</v>
      </c>
      <c r="D853" s="39" t="s">
        <v>9428</v>
      </c>
      <c r="E853" s="43" t="s">
        <v>9429</v>
      </c>
      <c r="F853" s="43" t="s">
        <v>9430</v>
      </c>
      <c r="G853" s="43" t="s">
        <v>7398</v>
      </c>
      <c r="H853" s="42" t="s">
        <v>9431</v>
      </c>
      <c r="I853" s="18">
        <f t="shared" si="5"/>
        <v>45979</v>
      </c>
      <c r="J853" s="19" t="s">
        <v>28</v>
      </c>
      <c r="K853" s="19" t="s">
        <v>5170</v>
      </c>
      <c r="L853" s="40"/>
    </row>
    <row r="854" ht="22.5" customHeight="1">
      <c r="C854" s="19" t="s">
        <v>9404</v>
      </c>
      <c r="D854" s="39" t="s">
        <v>9432</v>
      </c>
      <c r="E854" s="43" t="s">
        <v>9433</v>
      </c>
      <c r="F854" s="43" t="s">
        <v>9434</v>
      </c>
      <c r="G854" s="43" t="s">
        <v>5878</v>
      </c>
      <c r="H854" s="42" t="s">
        <v>9435</v>
      </c>
      <c r="I854" s="18">
        <f t="shared" si="5"/>
        <v>45979</v>
      </c>
      <c r="J854" s="19" t="s">
        <v>28</v>
      </c>
      <c r="K854" s="19" t="s">
        <v>5170</v>
      </c>
      <c r="L854" s="40"/>
    </row>
    <row r="855" ht="22.5" customHeight="1">
      <c r="C855" s="19" t="s">
        <v>9404</v>
      </c>
      <c r="D855" s="39" t="s">
        <v>9436</v>
      </c>
      <c r="E855" s="43" t="s">
        <v>9437</v>
      </c>
      <c r="F855" s="43" t="s">
        <v>1419</v>
      </c>
      <c r="G855" s="43" t="s">
        <v>5878</v>
      </c>
      <c r="H855" s="44">
        <v>6.468317113E9</v>
      </c>
      <c r="I855" s="18">
        <f t="shared" si="5"/>
        <v>45979</v>
      </c>
      <c r="J855" s="19" t="s">
        <v>28</v>
      </c>
      <c r="K855" s="19" t="s">
        <v>5170</v>
      </c>
      <c r="L855" s="40"/>
    </row>
    <row r="856" ht="22.5" customHeight="1">
      <c r="C856" s="19" t="s">
        <v>9404</v>
      </c>
      <c r="D856" s="39" t="s">
        <v>9438</v>
      </c>
      <c r="E856" s="43" t="s">
        <v>9439</v>
      </c>
      <c r="F856" s="43" t="s">
        <v>9440</v>
      </c>
      <c r="G856" s="43" t="s">
        <v>6004</v>
      </c>
      <c r="H856" s="44">
        <v>7.32829012E9</v>
      </c>
      <c r="I856" s="18">
        <f t="shared" si="5"/>
        <v>45979</v>
      </c>
      <c r="J856" s="19" t="s">
        <v>28</v>
      </c>
      <c r="K856" s="19" t="s">
        <v>5170</v>
      </c>
      <c r="L856" s="40"/>
    </row>
    <row r="857" ht="22.5" customHeight="1">
      <c r="C857" s="19" t="s">
        <v>9404</v>
      </c>
      <c r="D857" s="39" t="s">
        <v>9441</v>
      </c>
      <c r="E857" s="43" t="s">
        <v>9442</v>
      </c>
      <c r="F857" s="43" t="s">
        <v>9416</v>
      </c>
      <c r="G857" s="43" t="s">
        <v>5866</v>
      </c>
      <c r="H857" s="42" t="s">
        <v>9443</v>
      </c>
      <c r="I857" s="18">
        <f t="shared" si="5"/>
        <v>45979</v>
      </c>
      <c r="J857" s="19" t="s">
        <v>28</v>
      </c>
      <c r="K857" s="19" t="s">
        <v>5170</v>
      </c>
      <c r="L857" s="40"/>
    </row>
    <row r="858" ht="22.5" customHeight="1">
      <c r="C858" s="19" t="s">
        <v>9404</v>
      </c>
      <c r="D858" s="39" t="s">
        <v>9444</v>
      </c>
      <c r="E858" s="43" t="s">
        <v>9445</v>
      </c>
      <c r="F858" s="43" t="s">
        <v>9446</v>
      </c>
      <c r="G858" s="43" t="s">
        <v>6063</v>
      </c>
      <c r="H858" s="42" t="s">
        <v>9447</v>
      </c>
      <c r="I858" s="18">
        <f t="shared" si="5"/>
        <v>45979</v>
      </c>
      <c r="J858" s="19" t="s">
        <v>28</v>
      </c>
      <c r="K858" s="19" t="s">
        <v>5170</v>
      </c>
      <c r="L858" s="40"/>
    </row>
    <row r="859" ht="22.5" customHeight="1">
      <c r="C859" s="19" t="s">
        <v>9448</v>
      </c>
      <c r="D859" s="39" t="s">
        <v>9449</v>
      </c>
      <c r="E859" s="43" t="s">
        <v>9450</v>
      </c>
      <c r="F859" s="43" t="s">
        <v>182</v>
      </c>
      <c r="G859" s="43" t="s">
        <v>8146</v>
      </c>
      <c r="H859" s="44">
        <v>1.646642337E10</v>
      </c>
      <c r="I859" s="18">
        <f t="shared" si="5"/>
        <v>45979</v>
      </c>
      <c r="J859" s="19" t="s">
        <v>28</v>
      </c>
      <c r="K859" s="19" t="s">
        <v>5170</v>
      </c>
      <c r="L859" s="40"/>
    </row>
    <row r="860" ht="22.5" customHeight="1">
      <c r="C860" s="19" t="s">
        <v>9448</v>
      </c>
      <c r="D860" s="39" t="s">
        <v>9449</v>
      </c>
      <c r="E860" s="43" t="s">
        <v>9451</v>
      </c>
      <c r="F860" s="43" t="s">
        <v>9452</v>
      </c>
      <c r="G860" s="43" t="s">
        <v>5939</v>
      </c>
      <c r="H860" s="42" t="s">
        <v>9453</v>
      </c>
      <c r="I860" s="18">
        <f t="shared" si="5"/>
        <v>45979</v>
      </c>
      <c r="J860" s="19" t="s">
        <v>28</v>
      </c>
      <c r="K860" s="19" t="s">
        <v>5170</v>
      </c>
      <c r="L860" s="40"/>
    </row>
    <row r="861" ht="22.5" customHeight="1">
      <c r="C861" s="19" t="s">
        <v>9448</v>
      </c>
      <c r="D861" s="39" t="s">
        <v>9449</v>
      </c>
      <c r="E861" s="43" t="s">
        <v>9454</v>
      </c>
      <c r="F861" s="43" t="s">
        <v>1419</v>
      </c>
      <c r="G861" s="43" t="s">
        <v>5878</v>
      </c>
      <c r="H861" s="42" t="s">
        <v>9455</v>
      </c>
      <c r="I861" s="18">
        <f t="shared" si="5"/>
        <v>45979</v>
      </c>
      <c r="J861" s="19" t="s">
        <v>28</v>
      </c>
      <c r="K861" s="19" t="s">
        <v>5170</v>
      </c>
      <c r="L861" s="40"/>
    </row>
    <row r="862" ht="22.5" customHeight="1">
      <c r="C862" s="19" t="s">
        <v>9448</v>
      </c>
      <c r="D862" s="39" t="s">
        <v>9449</v>
      </c>
      <c r="E862" s="43" t="s">
        <v>9456</v>
      </c>
      <c r="F862" s="43" t="s">
        <v>5717</v>
      </c>
      <c r="G862" s="43" t="s">
        <v>5949</v>
      </c>
      <c r="H862" s="42" t="s">
        <v>9457</v>
      </c>
      <c r="I862" s="18">
        <f t="shared" si="5"/>
        <v>45979</v>
      </c>
      <c r="J862" s="19" t="s">
        <v>28</v>
      </c>
      <c r="K862" s="19" t="s">
        <v>5170</v>
      </c>
      <c r="L862" s="40"/>
    </row>
    <row r="863" ht="22.5" customHeight="1">
      <c r="C863" s="19" t="s">
        <v>9448</v>
      </c>
      <c r="D863" s="39" t="s">
        <v>9449</v>
      </c>
      <c r="E863" s="43" t="s">
        <v>9458</v>
      </c>
      <c r="F863" s="43" t="s">
        <v>9459</v>
      </c>
      <c r="G863" s="43" t="s">
        <v>6004</v>
      </c>
      <c r="H863" s="42" t="s">
        <v>9460</v>
      </c>
      <c r="I863" s="18">
        <f t="shared" si="5"/>
        <v>45979</v>
      </c>
      <c r="J863" s="19" t="s">
        <v>28</v>
      </c>
      <c r="K863" s="19" t="s">
        <v>5170</v>
      </c>
      <c r="L863" s="40"/>
    </row>
    <row r="864" ht="22.5" customHeight="1">
      <c r="C864" s="19" t="s">
        <v>9448</v>
      </c>
      <c r="D864" s="39" t="s">
        <v>9449</v>
      </c>
      <c r="E864" s="43" t="s">
        <v>9461</v>
      </c>
      <c r="F864" s="43" t="s">
        <v>1419</v>
      </c>
      <c r="G864" s="43" t="s">
        <v>5878</v>
      </c>
      <c r="H864" s="42" t="s">
        <v>9462</v>
      </c>
      <c r="I864" s="18">
        <f t="shared" si="5"/>
        <v>45979</v>
      </c>
      <c r="J864" s="19" t="s">
        <v>28</v>
      </c>
      <c r="K864" s="19" t="s">
        <v>5170</v>
      </c>
      <c r="L864" s="40"/>
    </row>
    <row r="865" ht="22.5" customHeight="1">
      <c r="C865" s="19" t="s">
        <v>9448</v>
      </c>
      <c r="D865" s="39" t="s">
        <v>9449</v>
      </c>
      <c r="E865" s="43" t="s">
        <v>9463</v>
      </c>
      <c r="F865" s="43" t="s">
        <v>9464</v>
      </c>
      <c r="G865" s="43" t="s">
        <v>7030</v>
      </c>
      <c r="H865" s="42" t="s">
        <v>9465</v>
      </c>
      <c r="I865" s="18">
        <f t="shared" si="5"/>
        <v>45979</v>
      </c>
      <c r="J865" s="19" t="s">
        <v>28</v>
      </c>
      <c r="K865" s="19" t="s">
        <v>5170</v>
      </c>
      <c r="L865" s="40"/>
    </row>
    <row r="866" ht="22.5" customHeight="1">
      <c r="C866" s="19" t="s">
        <v>9448</v>
      </c>
      <c r="D866" s="39" t="s">
        <v>9449</v>
      </c>
      <c r="E866" s="43" t="s">
        <v>9466</v>
      </c>
      <c r="F866" s="43" t="s">
        <v>9467</v>
      </c>
      <c r="G866" s="43" t="s">
        <v>6063</v>
      </c>
      <c r="H866" s="44">
        <v>2.12594941E9</v>
      </c>
      <c r="I866" s="18">
        <f t="shared" si="5"/>
        <v>45979</v>
      </c>
      <c r="J866" s="19" t="s">
        <v>28</v>
      </c>
      <c r="K866" s="19" t="s">
        <v>5170</v>
      </c>
      <c r="L866" s="40"/>
    </row>
    <row r="867" ht="22.5" customHeight="1">
      <c r="C867" s="19" t="s">
        <v>9448</v>
      </c>
      <c r="D867" s="39" t="s">
        <v>9449</v>
      </c>
      <c r="E867" s="43" t="s">
        <v>9468</v>
      </c>
      <c r="F867" s="43" t="s">
        <v>9469</v>
      </c>
      <c r="G867" s="43" t="s">
        <v>6902</v>
      </c>
      <c r="H867" s="44">
        <v>1.0</v>
      </c>
      <c r="I867" s="18">
        <f t="shared" si="5"/>
        <v>45979</v>
      </c>
      <c r="J867" s="19" t="s">
        <v>28</v>
      </c>
      <c r="K867" s="19" t="s">
        <v>5170</v>
      </c>
      <c r="L867" s="40"/>
    </row>
    <row r="868" ht="22.5" customHeight="1">
      <c r="C868" s="19" t="s">
        <v>9448</v>
      </c>
      <c r="D868" s="39" t="s">
        <v>9449</v>
      </c>
      <c r="E868" s="43" t="s">
        <v>9470</v>
      </c>
      <c r="F868" s="43" t="s">
        <v>9471</v>
      </c>
      <c r="G868" s="43" t="s">
        <v>5929</v>
      </c>
      <c r="H868" s="44">
        <v>9.176991823E9</v>
      </c>
      <c r="I868" s="18">
        <f t="shared" si="5"/>
        <v>45979</v>
      </c>
      <c r="J868" s="19" t="s">
        <v>28</v>
      </c>
      <c r="K868" s="19" t="s">
        <v>5170</v>
      </c>
      <c r="L868" s="40"/>
    </row>
    <row r="869" ht="22.5" customHeight="1">
      <c r="C869" s="19" t="s">
        <v>9448</v>
      </c>
      <c r="D869" s="39" t="s">
        <v>9449</v>
      </c>
      <c r="E869" s="43" t="s">
        <v>9472</v>
      </c>
      <c r="F869" s="43" t="s">
        <v>9473</v>
      </c>
      <c r="G869" s="43" t="s">
        <v>7039</v>
      </c>
      <c r="H869" s="42" t="s">
        <v>9474</v>
      </c>
      <c r="I869" s="18">
        <f t="shared" si="5"/>
        <v>45979</v>
      </c>
      <c r="J869" s="19" t="s">
        <v>28</v>
      </c>
      <c r="K869" s="19" t="s">
        <v>5170</v>
      </c>
      <c r="L869" s="40"/>
    </row>
    <row r="870" ht="22.5" customHeight="1">
      <c r="C870" s="19" t="s">
        <v>9448</v>
      </c>
      <c r="D870" s="39" t="s">
        <v>9449</v>
      </c>
      <c r="E870" s="43" t="s">
        <v>9475</v>
      </c>
      <c r="F870" s="43" t="s">
        <v>6929</v>
      </c>
      <c r="G870" s="43" t="s">
        <v>5866</v>
      </c>
      <c r="H870" s="42" t="s">
        <v>9476</v>
      </c>
      <c r="I870" s="18">
        <f t="shared" si="5"/>
        <v>45979</v>
      </c>
      <c r="J870" s="19" t="s">
        <v>28</v>
      </c>
      <c r="K870" s="19" t="s">
        <v>5170</v>
      </c>
      <c r="L870" s="4"/>
    </row>
    <row r="871" ht="22.5" customHeight="1">
      <c r="C871" s="19" t="s">
        <v>9477</v>
      </c>
      <c r="D871" s="39" t="s">
        <v>9478</v>
      </c>
      <c r="E871" s="43" t="s">
        <v>9479</v>
      </c>
      <c r="F871" s="43" t="s">
        <v>9480</v>
      </c>
      <c r="G871" s="43" t="s">
        <v>5834</v>
      </c>
      <c r="H871" s="42" t="s">
        <v>9481</v>
      </c>
      <c r="I871" s="18">
        <f t="shared" si="5"/>
        <v>45979</v>
      </c>
      <c r="J871" s="19" t="s">
        <v>28</v>
      </c>
      <c r="K871" s="19" t="s">
        <v>5170</v>
      </c>
      <c r="L871" s="40"/>
    </row>
    <row r="872" ht="22.5" customHeight="1">
      <c r="C872" s="19" t="s">
        <v>9477</v>
      </c>
      <c r="D872" s="39" t="s">
        <v>9482</v>
      </c>
      <c r="E872" s="43" t="s">
        <v>9483</v>
      </c>
      <c r="F872" s="43" t="s">
        <v>872</v>
      </c>
      <c r="G872" s="43" t="s">
        <v>5929</v>
      </c>
      <c r="H872" s="42" t="s">
        <v>9484</v>
      </c>
      <c r="I872" s="18">
        <f t="shared" si="5"/>
        <v>45979</v>
      </c>
      <c r="J872" s="19" t="s">
        <v>28</v>
      </c>
      <c r="K872" s="19" t="s">
        <v>5170</v>
      </c>
      <c r="L872" s="40"/>
    </row>
    <row r="873" ht="22.5" customHeight="1">
      <c r="C873" s="19" t="s">
        <v>9477</v>
      </c>
      <c r="D873" s="39" t="s">
        <v>9485</v>
      </c>
      <c r="E873" s="43" t="s">
        <v>9486</v>
      </c>
      <c r="F873" s="43" t="s">
        <v>9487</v>
      </c>
      <c r="G873" s="43" t="s">
        <v>6459</v>
      </c>
      <c r="H873" s="42" t="s">
        <v>9488</v>
      </c>
      <c r="I873" s="18">
        <f t="shared" si="5"/>
        <v>45979</v>
      </c>
      <c r="J873" s="19" t="s">
        <v>28</v>
      </c>
      <c r="K873" s="19" t="s">
        <v>5170</v>
      </c>
      <c r="L873" s="40"/>
    </row>
    <row r="874" ht="22.5" customHeight="1">
      <c r="C874" s="19" t="s">
        <v>9477</v>
      </c>
      <c r="D874" s="39" t="s">
        <v>9489</v>
      </c>
      <c r="E874" s="43" t="s">
        <v>9490</v>
      </c>
      <c r="F874" s="43" t="s">
        <v>9491</v>
      </c>
      <c r="G874" s="43" t="s">
        <v>6063</v>
      </c>
      <c r="H874" s="42" t="s">
        <v>9492</v>
      </c>
      <c r="I874" s="18">
        <f t="shared" si="5"/>
        <v>45979</v>
      </c>
      <c r="J874" s="19" t="s">
        <v>28</v>
      </c>
      <c r="K874" s="19" t="s">
        <v>5170</v>
      </c>
      <c r="L874" s="40"/>
    </row>
    <row r="875" ht="22.5" customHeight="1">
      <c r="C875" s="19" t="s">
        <v>9477</v>
      </c>
      <c r="D875" s="39" t="s">
        <v>9493</v>
      </c>
      <c r="E875" s="43" t="s">
        <v>9494</v>
      </c>
      <c r="F875" s="43" t="s">
        <v>9495</v>
      </c>
      <c r="G875" s="43" t="s">
        <v>6043</v>
      </c>
      <c r="H875" s="44">
        <v>6.463063812E9</v>
      </c>
      <c r="I875" s="18">
        <f t="shared" si="5"/>
        <v>45979</v>
      </c>
      <c r="J875" s="19" t="s">
        <v>28</v>
      </c>
      <c r="K875" s="19" t="s">
        <v>5170</v>
      </c>
      <c r="L875" s="40"/>
    </row>
    <row r="876" ht="22.5" customHeight="1">
      <c r="C876" s="19" t="s">
        <v>9477</v>
      </c>
      <c r="D876" s="39" t="s">
        <v>9496</v>
      </c>
      <c r="E876" s="43" t="s">
        <v>9497</v>
      </c>
      <c r="F876" s="43" t="s">
        <v>9498</v>
      </c>
      <c r="G876" s="43" t="s">
        <v>8096</v>
      </c>
      <c r="H876" s="42" t="s">
        <v>9499</v>
      </c>
      <c r="I876" s="18">
        <f t="shared" si="5"/>
        <v>45979</v>
      </c>
      <c r="J876" s="19" t="s">
        <v>28</v>
      </c>
      <c r="K876" s="19" t="s">
        <v>5170</v>
      </c>
      <c r="L876" s="40"/>
    </row>
    <row r="877" ht="22.5" customHeight="1">
      <c r="C877" s="19" t="s">
        <v>9477</v>
      </c>
      <c r="D877" s="39" t="s">
        <v>9500</v>
      </c>
      <c r="E877" s="43" t="s">
        <v>9501</v>
      </c>
      <c r="F877" s="43" t="s">
        <v>9502</v>
      </c>
      <c r="G877" s="43" t="s">
        <v>6098</v>
      </c>
      <c r="H877" s="44">
        <v>2.016887533E9</v>
      </c>
      <c r="I877" s="18">
        <f t="shared" si="5"/>
        <v>45979</v>
      </c>
      <c r="J877" s="19" t="s">
        <v>28</v>
      </c>
      <c r="K877" s="19" t="s">
        <v>5170</v>
      </c>
      <c r="L877" s="40"/>
    </row>
    <row r="878" ht="22.5" customHeight="1">
      <c r="C878" s="19" t="s">
        <v>9477</v>
      </c>
      <c r="D878" s="39" t="s">
        <v>9503</v>
      </c>
      <c r="E878" s="43" t="s">
        <v>9504</v>
      </c>
      <c r="F878" s="43" t="s">
        <v>9505</v>
      </c>
      <c r="G878" s="43" t="s">
        <v>5957</v>
      </c>
      <c r="H878" s="44">
        <v>2.124818679E9</v>
      </c>
      <c r="I878" s="18">
        <f t="shared" si="5"/>
        <v>45979</v>
      </c>
      <c r="J878" s="19" t="s">
        <v>28</v>
      </c>
      <c r="K878" s="19" t="s">
        <v>5170</v>
      </c>
      <c r="L878" s="40"/>
    </row>
    <row r="879" ht="22.5" customHeight="1">
      <c r="C879" s="19" t="s">
        <v>9477</v>
      </c>
      <c r="D879" s="39" t="s">
        <v>9506</v>
      </c>
      <c r="E879" s="43" t="s">
        <v>9507</v>
      </c>
      <c r="F879" s="43" t="s">
        <v>9508</v>
      </c>
      <c r="G879" s="43" t="s">
        <v>5949</v>
      </c>
      <c r="H879" s="44">
        <v>9.173247147E9</v>
      </c>
      <c r="I879" s="18">
        <f t="shared" si="5"/>
        <v>45979</v>
      </c>
      <c r="J879" s="19" t="s">
        <v>28</v>
      </c>
      <c r="K879" s="19" t="s">
        <v>5170</v>
      </c>
      <c r="L879" s="4"/>
    </row>
    <row r="880" ht="22.5" customHeight="1">
      <c r="C880" s="19" t="s">
        <v>9477</v>
      </c>
      <c r="D880" s="39" t="s">
        <v>9509</v>
      </c>
      <c r="E880" s="43" t="s">
        <v>9510</v>
      </c>
      <c r="F880" s="43" t="s">
        <v>9511</v>
      </c>
      <c r="G880" s="43" t="s">
        <v>6721</v>
      </c>
      <c r="H880" s="42" t="s">
        <v>9512</v>
      </c>
      <c r="I880" s="18">
        <f t="shared" si="5"/>
        <v>45979</v>
      </c>
      <c r="J880" s="19" t="s">
        <v>28</v>
      </c>
      <c r="K880" s="19" t="s">
        <v>5170</v>
      </c>
      <c r="L880" s="40"/>
    </row>
    <row r="881" ht="22.5" customHeight="1">
      <c r="C881" s="19" t="s">
        <v>9477</v>
      </c>
      <c r="D881" s="39" t="s">
        <v>9513</v>
      </c>
      <c r="E881" s="43" t="s">
        <v>9514</v>
      </c>
      <c r="F881" s="43" t="s">
        <v>9515</v>
      </c>
      <c r="G881" s="43" t="s">
        <v>6004</v>
      </c>
      <c r="H881" s="42" t="s">
        <v>9516</v>
      </c>
      <c r="I881" s="18">
        <f t="shared" si="5"/>
        <v>45979</v>
      </c>
      <c r="J881" s="19" t="s">
        <v>28</v>
      </c>
      <c r="K881" s="19" t="s">
        <v>5170</v>
      </c>
      <c r="L881" s="40"/>
    </row>
    <row r="882" ht="22.5" customHeight="1">
      <c r="C882" s="19" t="s">
        <v>9477</v>
      </c>
      <c r="D882" s="39" t="s">
        <v>9517</v>
      </c>
      <c r="E882" s="43" t="s">
        <v>9518</v>
      </c>
      <c r="F882" s="43" t="s">
        <v>1419</v>
      </c>
      <c r="G882" s="43" t="s">
        <v>5878</v>
      </c>
      <c r="H882" s="42" t="s">
        <v>9519</v>
      </c>
      <c r="I882" s="18">
        <f t="shared" si="5"/>
        <v>45979</v>
      </c>
      <c r="J882" s="19" t="s">
        <v>28</v>
      </c>
      <c r="K882" s="19" t="s">
        <v>5170</v>
      </c>
      <c r="L882" s="40"/>
    </row>
    <row r="883" ht="22.5" customHeight="1">
      <c r="C883" s="19" t="s">
        <v>9477</v>
      </c>
      <c r="D883" s="39" t="s">
        <v>9520</v>
      </c>
      <c r="E883" s="43" t="s">
        <v>9521</v>
      </c>
      <c r="F883" s="43" t="s">
        <v>9522</v>
      </c>
      <c r="G883" s="43" t="s">
        <v>5820</v>
      </c>
      <c r="H883" s="42" t="s">
        <v>9523</v>
      </c>
      <c r="I883" s="18">
        <f t="shared" si="5"/>
        <v>45979</v>
      </c>
      <c r="J883" s="19" t="s">
        <v>28</v>
      </c>
      <c r="K883" s="19" t="s">
        <v>5170</v>
      </c>
      <c r="L883" s="40"/>
    </row>
    <row r="884" ht="22.5" customHeight="1">
      <c r="C884" s="19" t="s">
        <v>9477</v>
      </c>
      <c r="D884" s="39" t="s">
        <v>9524</v>
      </c>
      <c r="E884" s="43" t="s">
        <v>9525</v>
      </c>
      <c r="F884" s="43" t="s">
        <v>8637</v>
      </c>
      <c r="G884" s="43" t="s">
        <v>6063</v>
      </c>
      <c r="H884" s="42" t="s">
        <v>9526</v>
      </c>
      <c r="I884" s="18">
        <f t="shared" si="5"/>
        <v>45979</v>
      </c>
      <c r="J884" s="19" t="s">
        <v>28</v>
      </c>
      <c r="K884" s="19" t="s">
        <v>5170</v>
      </c>
      <c r="L884" s="40"/>
    </row>
    <row r="885" ht="22.5" customHeight="1">
      <c r="C885" s="19" t="s">
        <v>9477</v>
      </c>
      <c r="D885" s="39" t="s">
        <v>9527</v>
      </c>
      <c r="E885" s="43" t="s">
        <v>9528</v>
      </c>
      <c r="F885" s="43" t="s">
        <v>9529</v>
      </c>
      <c r="G885" s="43" t="s">
        <v>7030</v>
      </c>
      <c r="H885" s="44">
        <v>5.162224942E9</v>
      </c>
      <c r="I885" s="18">
        <f t="shared" si="5"/>
        <v>45979</v>
      </c>
      <c r="J885" s="19" t="s">
        <v>28</v>
      </c>
      <c r="K885" s="19" t="s">
        <v>5170</v>
      </c>
      <c r="L885" s="40"/>
    </row>
    <row r="886" ht="22.5" customHeight="1">
      <c r="C886" s="19" t="s">
        <v>9477</v>
      </c>
      <c r="D886" s="39" t="s">
        <v>9530</v>
      </c>
      <c r="E886" s="43" t="s">
        <v>9531</v>
      </c>
      <c r="F886" s="43" t="s">
        <v>6929</v>
      </c>
      <c r="G886" s="43" t="s">
        <v>5866</v>
      </c>
      <c r="H886" s="42" t="s">
        <v>9532</v>
      </c>
      <c r="I886" s="18">
        <f t="shared" si="5"/>
        <v>45979</v>
      </c>
      <c r="J886" s="19" t="s">
        <v>28</v>
      </c>
      <c r="K886" s="19" t="s">
        <v>5170</v>
      </c>
      <c r="L886" s="40"/>
    </row>
    <row r="887" ht="22.5" customHeight="1">
      <c r="C887" s="19" t="s">
        <v>9533</v>
      </c>
      <c r="D887" s="39" t="s">
        <v>9534</v>
      </c>
      <c r="E887" s="43" t="s">
        <v>9535</v>
      </c>
      <c r="F887" s="43" t="s">
        <v>9536</v>
      </c>
      <c r="G887" s="43" t="s">
        <v>5825</v>
      </c>
      <c r="H887" s="44">
        <v>2.016436733E9</v>
      </c>
      <c r="I887" s="18">
        <f t="shared" si="5"/>
        <v>45979</v>
      </c>
      <c r="J887" s="19" t="s">
        <v>28</v>
      </c>
      <c r="K887" s="19" t="s">
        <v>5170</v>
      </c>
      <c r="L887" s="40"/>
    </row>
    <row r="888" ht="22.5" customHeight="1">
      <c r="C888" s="19" t="s">
        <v>9533</v>
      </c>
      <c r="D888" s="39" t="s">
        <v>9537</v>
      </c>
      <c r="E888" s="43" t="s">
        <v>9538</v>
      </c>
      <c r="F888" s="43" t="s">
        <v>9539</v>
      </c>
      <c r="G888" s="43" t="s">
        <v>5834</v>
      </c>
      <c r="H888" s="44">
        <v>3.47684226E9</v>
      </c>
      <c r="I888" s="18">
        <f t="shared" si="5"/>
        <v>45979</v>
      </c>
      <c r="J888" s="19" t="s">
        <v>28</v>
      </c>
      <c r="K888" s="19" t="s">
        <v>5170</v>
      </c>
      <c r="L888" s="4"/>
    </row>
    <row r="889" ht="22.5" customHeight="1">
      <c r="C889" s="19" t="s">
        <v>9533</v>
      </c>
      <c r="D889" s="39" t="s">
        <v>9540</v>
      </c>
      <c r="E889" s="43" t="s">
        <v>9541</v>
      </c>
      <c r="F889" s="43" t="s">
        <v>2951</v>
      </c>
      <c r="G889" s="43" t="s">
        <v>5866</v>
      </c>
      <c r="H889" s="42" t="s">
        <v>9542</v>
      </c>
      <c r="I889" s="18">
        <f t="shared" si="5"/>
        <v>45979</v>
      </c>
      <c r="J889" s="19" t="s">
        <v>28</v>
      </c>
      <c r="K889" s="19" t="s">
        <v>5170</v>
      </c>
      <c r="L889" s="40"/>
    </row>
    <row r="890" ht="22.5" customHeight="1">
      <c r="C890" s="19" t="s">
        <v>9533</v>
      </c>
      <c r="D890" s="39" t="s">
        <v>9543</v>
      </c>
      <c r="E890" s="43" t="s">
        <v>9544</v>
      </c>
      <c r="F890" s="43" t="s">
        <v>9545</v>
      </c>
      <c r="G890" s="43" t="s">
        <v>7130</v>
      </c>
      <c r="H890" s="42" t="s">
        <v>9546</v>
      </c>
      <c r="I890" s="18">
        <f t="shared" si="5"/>
        <v>45979</v>
      </c>
      <c r="J890" s="19" t="s">
        <v>28</v>
      </c>
      <c r="K890" s="19" t="s">
        <v>5170</v>
      </c>
      <c r="L890" s="40"/>
    </row>
    <row r="891" ht="22.5" customHeight="1">
      <c r="C891" s="19" t="s">
        <v>9533</v>
      </c>
      <c r="D891" s="39" t="s">
        <v>9547</v>
      </c>
      <c r="E891" s="43" t="s">
        <v>9548</v>
      </c>
      <c r="F891" s="43" t="s">
        <v>9549</v>
      </c>
      <c r="G891" s="43" t="s">
        <v>5820</v>
      </c>
      <c r="H891" s="42" t="s">
        <v>9550</v>
      </c>
      <c r="I891" s="18">
        <f t="shared" si="5"/>
        <v>45979</v>
      </c>
      <c r="J891" s="19" t="s">
        <v>28</v>
      </c>
      <c r="K891" s="19" t="s">
        <v>5170</v>
      </c>
      <c r="L891" s="40"/>
    </row>
    <row r="892" ht="22.5" customHeight="1">
      <c r="C892" s="19" t="s">
        <v>9533</v>
      </c>
      <c r="D892" s="39" t="s">
        <v>9551</v>
      </c>
      <c r="E892" s="43" t="s">
        <v>9552</v>
      </c>
      <c r="F892" s="43" t="s">
        <v>8164</v>
      </c>
      <c r="G892" s="43" t="s">
        <v>5988</v>
      </c>
      <c r="H892" s="42" t="s">
        <v>9553</v>
      </c>
      <c r="I892" s="18">
        <f t="shared" si="5"/>
        <v>45979</v>
      </c>
      <c r="J892" s="19" t="s">
        <v>28</v>
      </c>
      <c r="K892" s="19" t="s">
        <v>5170</v>
      </c>
      <c r="L892" s="40"/>
    </row>
    <row r="893" ht="22.5" customHeight="1">
      <c r="C893" s="19" t="s">
        <v>9533</v>
      </c>
      <c r="D893" s="39" t="s">
        <v>9554</v>
      </c>
      <c r="E893" s="43" t="s">
        <v>9555</v>
      </c>
      <c r="F893" s="43" t="s">
        <v>9556</v>
      </c>
      <c r="G893" s="43" t="s">
        <v>5882</v>
      </c>
      <c r="H893" s="42" t="s">
        <v>9557</v>
      </c>
      <c r="I893" s="18">
        <f t="shared" si="5"/>
        <v>45979</v>
      </c>
      <c r="J893" s="19" t="s">
        <v>28</v>
      </c>
      <c r="K893" s="19" t="s">
        <v>5170</v>
      </c>
      <c r="L893" s="40"/>
    </row>
    <row r="894" ht="22.5" customHeight="1">
      <c r="C894" s="19" t="s">
        <v>9533</v>
      </c>
      <c r="D894" s="39" t="s">
        <v>9558</v>
      </c>
      <c r="E894" s="43" t="s">
        <v>9559</v>
      </c>
      <c r="F894" s="43" t="s">
        <v>9560</v>
      </c>
      <c r="G894" s="43" t="s">
        <v>7388</v>
      </c>
      <c r="H894" s="44">
        <v>6.467532407E9</v>
      </c>
      <c r="I894" s="18">
        <f t="shared" si="5"/>
        <v>45979</v>
      </c>
      <c r="J894" s="19" t="s">
        <v>28</v>
      </c>
      <c r="K894" s="19" t="s">
        <v>5170</v>
      </c>
      <c r="L894" s="40"/>
    </row>
    <row r="895" ht="22.5" customHeight="1">
      <c r="C895" s="19" t="s">
        <v>9533</v>
      </c>
      <c r="D895" s="39" t="s">
        <v>9561</v>
      </c>
      <c r="E895" s="43" t="s">
        <v>9562</v>
      </c>
      <c r="F895" s="43" t="s">
        <v>9563</v>
      </c>
      <c r="G895" s="43" t="s">
        <v>5929</v>
      </c>
      <c r="H895" s="44">
        <v>2.122571654E9</v>
      </c>
      <c r="I895" s="18">
        <f t="shared" si="5"/>
        <v>45979</v>
      </c>
      <c r="J895" s="19" t="s">
        <v>28</v>
      </c>
      <c r="K895" s="19" t="s">
        <v>5170</v>
      </c>
      <c r="L895" s="40"/>
    </row>
    <row r="896" ht="22.5" customHeight="1">
      <c r="C896" s="19" t="s">
        <v>9533</v>
      </c>
      <c r="D896" s="39" t="s">
        <v>9564</v>
      </c>
      <c r="E896" s="43" t="s">
        <v>9565</v>
      </c>
      <c r="F896" s="43" t="s">
        <v>9566</v>
      </c>
      <c r="G896" s="43" t="s">
        <v>7404</v>
      </c>
      <c r="H896" s="44">
        <v>2.018153809E9</v>
      </c>
      <c r="I896" s="18">
        <f t="shared" si="5"/>
        <v>45979</v>
      </c>
      <c r="J896" s="19" t="s">
        <v>28</v>
      </c>
      <c r="K896" s="19" t="s">
        <v>5170</v>
      </c>
      <c r="L896" s="40"/>
    </row>
    <row r="897" ht="22.5" customHeight="1">
      <c r="C897" s="19" t="s">
        <v>9533</v>
      </c>
      <c r="D897" s="39" t="s">
        <v>9567</v>
      </c>
      <c r="E897" s="43" t="s">
        <v>9568</v>
      </c>
      <c r="F897" s="43" t="s">
        <v>5360</v>
      </c>
      <c r="G897" s="43" t="s">
        <v>5949</v>
      </c>
      <c r="H897" s="42" t="s">
        <v>182</v>
      </c>
      <c r="I897" s="18">
        <f t="shared" si="5"/>
        <v>45979</v>
      </c>
      <c r="J897" s="19" t="s">
        <v>28</v>
      </c>
      <c r="K897" s="19" t="s">
        <v>5170</v>
      </c>
      <c r="L897" s="40"/>
    </row>
    <row r="898" ht="22.5" customHeight="1">
      <c r="C898" s="19" t="s">
        <v>9533</v>
      </c>
      <c r="D898" s="39" t="s">
        <v>9569</v>
      </c>
      <c r="E898" s="43" t="s">
        <v>9570</v>
      </c>
      <c r="F898" s="43" t="s">
        <v>9571</v>
      </c>
      <c r="G898" s="43" t="s">
        <v>5962</v>
      </c>
      <c r="H898" s="42" t="s">
        <v>9572</v>
      </c>
      <c r="I898" s="18">
        <f t="shared" si="5"/>
        <v>45979</v>
      </c>
      <c r="J898" s="19" t="s">
        <v>28</v>
      </c>
      <c r="K898" s="19" t="s">
        <v>5170</v>
      </c>
      <c r="L898" s="40"/>
    </row>
    <row r="899" ht="22.5" customHeight="1">
      <c r="C899" s="19" t="s">
        <v>9533</v>
      </c>
      <c r="D899" s="39" t="s">
        <v>9573</v>
      </c>
      <c r="E899" s="43" t="s">
        <v>9574</v>
      </c>
      <c r="F899" s="43" t="s">
        <v>9575</v>
      </c>
      <c r="G899" s="43" t="s">
        <v>5953</v>
      </c>
      <c r="H899" s="42" t="s">
        <v>9576</v>
      </c>
      <c r="I899" s="18">
        <f t="shared" si="5"/>
        <v>45979</v>
      </c>
      <c r="J899" s="19" t="s">
        <v>28</v>
      </c>
      <c r="K899" s="19" t="s">
        <v>5170</v>
      </c>
      <c r="L899" s="40"/>
    </row>
    <row r="900" ht="22.5" customHeight="1">
      <c r="C900" s="19" t="s">
        <v>9533</v>
      </c>
      <c r="D900" s="39" t="s">
        <v>9577</v>
      </c>
      <c r="E900" s="43" t="s">
        <v>9578</v>
      </c>
      <c r="F900" s="43" t="s">
        <v>9579</v>
      </c>
      <c r="G900" s="43" t="s">
        <v>6192</v>
      </c>
      <c r="H900" s="42" t="s">
        <v>9580</v>
      </c>
      <c r="I900" s="18">
        <f t="shared" si="5"/>
        <v>45979</v>
      </c>
      <c r="J900" s="19" t="s">
        <v>28</v>
      </c>
      <c r="K900" s="19" t="s">
        <v>5170</v>
      </c>
      <c r="L900" s="40"/>
    </row>
    <row r="901" ht="22.5" customHeight="1">
      <c r="C901" s="19" t="s">
        <v>9533</v>
      </c>
      <c r="D901" s="39" t="s">
        <v>9581</v>
      </c>
      <c r="E901" s="43" t="s">
        <v>9582</v>
      </c>
      <c r="F901" s="43" t="s">
        <v>9583</v>
      </c>
      <c r="G901" s="43" t="s">
        <v>5908</v>
      </c>
      <c r="H901" s="44">
        <v>9.177196406E9</v>
      </c>
      <c r="I901" s="18">
        <f t="shared" si="5"/>
        <v>45979</v>
      </c>
      <c r="J901" s="19" t="s">
        <v>28</v>
      </c>
      <c r="K901" s="19" t="s">
        <v>5170</v>
      </c>
      <c r="L901" s="40"/>
    </row>
    <row r="902" ht="22.5" customHeight="1">
      <c r="C902" s="19" t="s">
        <v>9533</v>
      </c>
      <c r="D902" s="39" t="s">
        <v>9584</v>
      </c>
      <c r="E902" s="43" t="s">
        <v>9585</v>
      </c>
      <c r="F902" s="43" t="s">
        <v>9586</v>
      </c>
      <c r="G902" s="43" t="s">
        <v>5939</v>
      </c>
      <c r="H902" s="42" t="s">
        <v>9587</v>
      </c>
      <c r="I902" s="18">
        <f t="shared" si="5"/>
        <v>45979</v>
      </c>
      <c r="J902" s="19" t="s">
        <v>28</v>
      </c>
      <c r="K902" s="19" t="s">
        <v>5170</v>
      </c>
      <c r="L902" s="40"/>
    </row>
    <row r="903" ht="22.5" customHeight="1">
      <c r="C903" s="19" t="s">
        <v>9533</v>
      </c>
      <c r="D903" s="39" t="s">
        <v>9588</v>
      </c>
      <c r="E903" s="43" t="s">
        <v>9589</v>
      </c>
      <c r="F903" s="43" t="s">
        <v>9590</v>
      </c>
      <c r="G903" s="43" t="s">
        <v>5850</v>
      </c>
      <c r="H903" s="42" t="s">
        <v>9591</v>
      </c>
      <c r="I903" s="18">
        <f t="shared" si="5"/>
        <v>45979</v>
      </c>
      <c r="J903" s="19" t="s">
        <v>28</v>
      </c>
      <c r="K903" s="19" t="s">
        <v>5170</v>
      </c>
      <c r="L903" s="40"/>
    </row>
    <row r="904" ht="22.5" customHeight="1">
      <c r="C904" s="19" t="s">
        <v>9533</v>
      </c>
      <c r="D904" s="39" t="s">
        <v>9592</v>
      </c>
      <c r="E904" s="43" t="s">
        <v>9593</v>
      </c>
      <c r="F904" s="43" t="s">
        <v>9593</v>
      </c>
      <c r="G904" s="43" t="s">
        <v>6098</v>
      </c>
      <c r="H904" s="42" t="s">
        <v>9594</v>
      </c>
      <c r="I904" s="18">
        <f t="shared" si="5"/>
        <v>45979</v>
      </c>
      <c r="J904" s="19" t="s">
        <v>28</v>
      </c>
      <c r="K904" s="19" t="s">
        <v>5170</v>
      </c>
      <c r="L904" s="40"/>
    </row>
    <row r="905" ht="22.5" customHeight="1">
      <c r="C905" s="19" t="s">
        <v>9533</v>
      </c>
      <c r="D905" s="39" t="s">
        <v>9595</v>
      </c>
      <c r="E905" s="43" t="s">
        <v>9596</v>
      </c>
      <c r="F905" s="43" t="s">
        <v>9597</v>
      </c>
      <c r="G905" s="43" t="s">
        <v>6160</v>
      </c>
      <c r="H905" s="42" t="s">
        <v>9598</v>
      </c>
      <c r="I905" s="18">
        <f t="shared" si="5"/>
        <v>45979</v>
      </c>
      <c r="J905" s="19" t="s">
        <v>28</v>
      </c>
      <c r="K905" s="19" t="s">
        <v>5170</v>
      </c>
      <c r="L905" s="40"/>
    </row>
    <row r="906" ht="22.5" customHeight="1">
      <c r="C906" s="19" t="s">
        <v>9533</v>
      </c>
      <c r="D906" s="39" t="s">
        <v>9599</v>
      </c>
      <c r="E906" s="43" t="s">
        <v>9600</v>
      </c>
      <c r="F906" s="43" t="s">
        <v>9601</v>
      </c>
      <c r="G906" s="43" t="s">
        <v>5957</v>
      </c>
      <c r="H906" s="42" t="s">
        <v>9602</v>
      </c>
      <c r="I906" s="18">
        <f t="shared" si="5"/>
        <v>45979</v>
      </c>
      <c r="J906" s="19" t="s">
        <v>28</v>
      </c>
      <c r="K906" s="19" t="s">
        <v>5170</v>
      </c>
      <c r="L906" s="40"/>
    </row>
    <row r="907" ht="22.5" customHeight="1">
      <c r="C907" s="19" t="s">
        <v>9603</v>
      </c>
      <c r="D907" s="39" t="s">
        <v>9534</v>
      </c>
      <c r="E907" s="43" t="s">
        <v>9604</v>
      </c>
      <c r="F907" s="43" t="s">
        <v>767</v>
      </c>
      <c r="G907" s="43" t="s">
        <v>5988</v>
      </c>
      <c r="H907" s="42" t="s">
        <v>9605</v>
      </c>
      <c r="I907" s="18">
        <f t="shared" si="5"/>
        <v>45979</v>
      </c>
      <c r="J907" s="19" t="s">
        <v>28</v>
      </c>
      <c r="K907" s="19" t="s">
        <v>5170</v>
      </c>
      <c r="L907" s="40"/>
    </row>
    <row r="908" ht="22.5" customHeight="1">
      <c r="C908" s="19" t="s">
        <v>9603</v>
      </c>
      <c r="D908" s="39" t="s">
        <v>9537</v>
      </c>
      <c r="E908" s="43" t="s">
        <v>9606</v>
      </c>
      <c r="F908" s="43" t="s">
        <v>8556</v>
      </c>
      <c r="G908" s="43" t="s">
        <v>7398</v>
      </c>
      <c r="H908" s="42" t="s">
        <v>9607</v>
      </c>
      <c r="I908" s="18">
        <f t="shared" si="5"/>
        <v>45979</v>
      </c>
      <c r="J908" s="19" t="s">
        <v>28</v>
      </c>
      <c r="K908" s="19" t="s">
        <v>5170</v>
      </c>
      <c r="L908" s="40"/>
    </row>
    <row r="909" ht="22.5" customHeight="1">
      <c r="C909" s="19" t="s">
        <v>9603</v>
      </c>
      <c r="D909" s="39" t="s">
        <v>9540</v>
      </c>
      <c r="E909" s="43" t="s">
        <v>9608</v>
      </c>
      <c r="F909" s="43" t="s">
        <v>8901</v>
      </c>
      <c r="G909" s="43" t="s">
        <v>5878</v>
      </c>
      <c r="H909" s="44">
        <v>6.464087785E9</v>
      </c>
      <c r="I909" s="18">
        <f t="shared" si="5"/>
        <v>45979</v>
      </c>
      <c r="J909" s="19" t="s">
        <v>28</v>
      </c>
      <c r="K909" s="19" t="s">
        <v>5170</v>
      </c>
      <c r="L909" s="40"/>
    </row>
    <row r="910" ht="22.5" customHeight="1">
      <c r="C910" s="19" t="s">
        <v>9603</v>
      </c>
      <c r="D910" s="39" t="s">
        <v>9543</v>
      </c>
      <c r="E910" s="43" t="s">
        <v>9609</v>
      </c>
      <c r="F910" s="43" t="s">
        <v>9610</v>
      </c>
      <c r="G910" s="43" t="s">
        <v>5904</v>
      </c>
      <c r="H910" s="42" t="s">
        <v>9611</v>
      </c>
      <c r="I910" s="18">
        <f t="shared" si="5"/>
        <v>45979</v>
      </c>
      <c r="J910" s="19" t="s">
        <v>28</v>
      </c>
      <c r="K910" s="19" t="s">
        <v>5170</v>
      </c>
      <c r="L910" s="4"/>
    </row>
    <row r="911" ht="22.5" customHeight="1">
      <c r="C911" s="19" t="s">
        <v>9603</v>
      </c>
      <c r="D911" s="39" t="s">
        <v>9547</v>
      </c>
      <c r="E911" s="43" t="s">
        <v>9612</v>
      </c>
      <c r="F911" s="43" t="s">
        <v>274</v>
      </c>
      <c r="G911" s="43" t="s">
        <v>5929</v>
      </c>
      <c r="H911" s="44">
        <v>2.127595637E9</v>
      </c>
      <c r="I911" s="18">
        <f t="shared" si="5"/>
        <v>45979</v>
      </c>
      <c r="J911" s="19" t="s">
        <v>28</v>
      </c>
      <c r="K911" s="19" t="s">
        <v>5170</v>
      </c>
      <c r="L911" s="40"/>
    </row>
    <row r="912" ht="22.5" customHeight="1">
      <c r="C912" s="19" t="s">
        <v>9603</v>
      </c>
      <c r="D912" s="39" t="s">
        <v>9551</v>
      </c>
      <c r="E912" s="43" t="s">
        <v>9613</v>
      </c>
      <c r="F912" s="43" t="s">
        <v>9614</v>
      </c>
      <c r="G912" s="43" t="s">
        <v>6892</v>
      </c>
      <c r="H912" s="42" t="s">
        <v>9615</v>
      </c>
      <c r="I912" s="18">
        <f t="shared" si="5"/>
        <v>45979</v>
      </c>
      <c r="J912" s="19" t="s">
        <v>28</v>
      </c>
      <c r="K912" s="19" t="s">
        <v>5170</v>
      </c>
      <c r="L912" s="40"/>
    </row>
    <row r="913" ht="22.5" customHeight="1">
      <c r="C913" s="19" t="s">
        <v>9603</v>
      </c>
      <c r="D913" s="39" t="s">
        <v>9554</v>
      </c>
      <c r="E913" s="43" t="s">
        <v>9616</v>
      </c>
      <c r="F913" s="43" t="s">
        <v>9617</v>
      </c>
      <c r="G913" s="43" t="s">
        <v>5949</v>
      </c>
      <c r="H913" s="42" t="s">
        <v>9618</v>
      </c>
      <c r="I913" s="18">
        <f t="shared" si="5"/>
        <v>45979</v>
      </c>
      <c r="J913" s="19" t="s">
        <v>28</v>
      </c>
      <c r="K913" s="19" t="s">
        <v>5170</v>
      </c>
      <c r="L913" s="4"/>
    </row>
    <row r="914" ht="22.5" customHeight="1">
      <c r="C914" s="19" t="s">
        <v>9603</v>
      </c>
      <c r="D914" s="39" t="s">
        <v>9558</v>
      </c>
      <c r="E914" s="43" t="s">
        <v>9619</v>
      </c>
      <c r="F914" s="43" t="s">
        <v>9620</v>
      </c>
      <c r="G914" s="43" t="s">
        <v>5908</v>
      </c>
      <c r="H914" s="42" t="s">
        <v>9621</v>
      </c>
      <c r="I914" s="18">
        <f t="shared" si="5"/>
        <v>45979</v>
      </c>
      <c r="J914" s="19" t="s">
        <v>28</v>
      </c>
      <c r="K914" s="19" t="s">
        <v>5170</v>
      </c>
      <c r="L914" s="4"/>
    </row>
    <row r="915" ht="22.5" customHeight="1">
      <c r="C915" s="19" t="s">
        <v>9603</v>
      </c>
      <c r="D915" s="39" t="s">
        <v>9561</v>
      </c>
      <c r="E915" s="43" t="s">
        <v>9622</v>
      </c>
      <c r="F915" s="43" t="s">
        <v>9623</v>
      </c>
      <c r="G915" s="43" t="s">
        <v>6204</v>
      </c>
      <c r="H915" s="42" t="s">
        <v>9624</v>
      </c>
      <c r="I915" s="18">
        <f t="shared" si="5"/>
        <v>45979</v>
      </c>
      <c r="J915" s="19" t="s">
        <v>28</v>
      </c>
      <c r="K915" s="19" t="s">
        <v>5170</v>
      </c>
      <c r="L915" s="40"/>
    </row>
    <row r="916" ht="22.5" customHeight="1">
      <c r="C916" s="19" t="s">
        <v>9603</v>
      </c>
      <c r="D916" s="39" t="s">
        <v>9564</v>
      </c>
      <c r="E916" s="43" t="s">
        <v>9625</v>
      </c>
      <c r="F916" s="43" t="s">
        <v>9626</v>
      </c>
      <c r="G916" s="43" t="s">
        <v>5862</v>
      </c>
      <c r="H916" s="42" t="s">
        <v>9627</v>
      </c>
      <c r="I916" s="18">
        <f t="shared" si="5"/>
        <v>45979</v>
      </c>
      <c r="J916" s="19" t="s">
        <v>28</v>
      </c>
      <c r="K916" s="19" t="s">
        <v>5170</v>
      </c>
      <c r="L916" s="40"/>
    </row>
    <row r="917" ht="22.5" customHeight="1">
      <c r="C917" s="19" t="s">
        <v>9603</v>
      </c>
      <c r="D917" s="39" t="s">
        <v>9567</v>
      </c>
      <c r="E917" s="43" t="s">
        <v>9628</v>
      </c>
      <c r="F917" s="43" t="s">
        <v>9629</v>
      </c>
      <c r="G917" s="43" t="s">
        <v>9630</v>
      </c>
      <c r="H917" s="42" t="s">
        <v>9631</v>
      </c>
      <c r="I917" s="18">
        <f t="shared" si="5"/>
        <v>45979</v>
      </c>
      <c r="J917" s="19" t="s">
        <v>28</v>
      </c>
      <c r="K917" s="19" t="s">
        <v>5170</v>
      </c>
      <c r="L917" s="40"/>
    </row>
    <row r="918" ht="22.5" customHeight="1">
      <c r="C918" s="19" t="s">
        <v>9603</v>
      </c>
      <c r="D918" s="39" t="s">
        <v>9569</v>
      </c>
      <c r="E918" s="43" t="s">
        <v>9632</v>
      </c>
      <c r="F918" s="43" t="s">
        <v>9633</v>
      </c>
      <c r="G918" s="43" t="s">
        <v>8343</v>
      </c>
      <c r="H918" s="42" t="s">
        <v>9634</v>
      </c>
      <c r="I918" s="18">
        <f t="shared" si="5"/>
        <v>45979</v>
      </c>
      <c r="J918" s="19" t="s">
        <v>28</v>
      </c>
      <c r="K918" s="19" t="s">
        <v>5170</v>
      </c>
      <c r="L918" s="40"/>
    </row>
    <row r="919" ht="22.5" customHeight="1">
      <c r="C919" s="19" t="s">
        <v>9603</v>
      </c>
      <c r="D919" s="39" t="s">
        <v>9573</v>
      </c>
      <c r="E919" s="43" t="s">
        <v>9635</v>
      </c>
      <c r="F919" s="43" t="s">
        <v>9636</v>
      </c>
      <c r="G919" s="43" t="s">
        <v>5962</v>
      </c>
      <c r="H919" s="42" t="s">
        <v>9637</v>
      </c>
      <c r="I919" s="18">
        <f t="shared" si="5"/>
        <v>45979</v>
      </c>
      <c r="J919" s="19" t="s">
        <v>28</v>
      </c>
      <c r="K919" s="19" t="s">
        <v>5170</v>
      </c>
      <c r="L919" s="40"/>
    </row>
    <row r="920" ht="22.5" customHeight="1">
      <c r="C920" s="19" t="s">
        <v>9603</v>
      </c>
      <c r="D920" s="39" t="s">
        <v>9577</v>
      </c>
      <c r="E920" s="43" t="s">
        <v>9638</v>
      </c>
      <c r="F920" s="43" t="s">
        <v>9639</v>
      </c>
      <c r="G920" s="43" t="s">
        <v>6563</v>
      </c>
      <c r="H920" s="44">
        <v>6.315632E9</v>
      </c>
      <c r="I920" s="18">
        <f t="shared" si="5"/>
        <v>45979</v>
      </c>
      <c r="J920" s="19" t="s">
        <v>28</v>
      </c>
      <c r="K920" s="19" t="s">
        <v>5170</v>
      </c>
      <c r="L920" s="40"/>
    </row>
    <row r="921" ht="22.5" customHeight="1">
      <c r="C921" s="19" t="s">
        <v>9603</v>
      </c>
      <c r="D921" s="39" t="s">
        <v>9581</v>
      </c>
      <c r="E921" s="43" t="s">
        <v>9640</v>
      </c>
      <c r="F921" s="43" t="s">
        <v>9641</v>
      </c>
      <c r="G921" s="43" t="s">
        <v>7431</v>
      </c>
      <c r="H921" s="42" t="s">
        <v>9642</v>
      </c>
      <c r="I921" s="18">
        <f t="shared" si="5"/>
        <v>45979</v>
      </c>
      <c r="J921" s="19" t="s">
        <v>28</v>
      </c>
      <c r="K921" s="19" t="s">
        <v>5170</v>
      </c>
      <c r="L921" s="40"/>
    </row>
    <row r="922" ht="22.5" customHeight="1">
      <c r="C922" s="19" t="s">
        <v>9603</v>
      </c>
      <c r="D922" s="39" t="s">
        <v>9584</v>
      </c>
      <c r="E922" s="43" t="s">
        <v>9643</v>
      </c>
      <c r="F922" s="43" t="s">
        <v>9644</v>
      </c>
      <c r="G922" s="43" t="s">
        <v>6452</v>
      </c>
      <c r="H922" s="44">
        <v>2.892031198E9</v>
      </c>
      <c r="I922" s="18">
        <f t="shared" si="5"/>
        <v>45979</v>
      </c>
      <c r="J922" s="19" t="s">
        <v>28</v>
      </c>
      <c r="K922" s="19" t="s">
        <v>5170</v>
      </c>
      <c r="L922" s="40"/>
    </row>
    <row r="923" ht="22.5" customHeight="1">
      <c r="C923" s="19" t="s">
        <v>9603</v>
      </c>
      <c r="D923" s="39" t="s">
        <v>9588</v>
      </c>
      <c r="E923" s="43" t="s">
        <v>9645</v>
      </c>
      <c r="F923" s="43" t="s">
        <v>9646</v>
      </c>
      <c r="G923" s="43" t="s">
        <v>5957</v>
      </c>
      <c r="H923" s="44">
        <v>2.1269691E9</v>
      </c>
      <c r="I923" s="18">
        <f t="shared" si="5"/>
        <v>45979</v>
      </c>
      <c r="J923" s="19" t="s">
        <v>28</v>
      </c>
      <c r="K923" s="19" t="s">
        <v>5170</v>
      </c>
      <c r="L923" s="40"/>
    </row>
    <row r="924" ht="22.5" customHeight="1">
      <c r="C924" s="19" t="s">
        <v>9603</v>
      </c>
      <c r="D924" s="39" t="s">
        <v>9592</v>
      </c>
      <c r="E924" s="43" t="s">
        <v>9647</v>
      </c>
      <c r="F924" s="43" t="s">
        <v>9648</v>
      </c>
      <c r="G924" s="43" t="s">
        <v>8146</v>
      </c>
      <c r="H924" s="42" t="s">
        <v>9649</v>
      </c>
      <c r="I924" s="18">
        <f t="shared" si="5"/>
        <v>45979</v>
      </c>
      <c r="J924" s="19" t="s">
        <v>28</v>
      </c>
      <c r="K924" s="19" t="s">
        <v>5170</v>
      </c>
      <c r="L924" s="40"/>
    </row>
    <row r="925" ht="22.5" customHeight="1">
      <c r="C925" s="19" t="s">
        <v>9603</v>
      </c>
      <c r="D925" s="39" t="s">
        <v>9595</v>
      </c>
      <c r="E925" s="43" t="s">
        <v>9650</v>
      </c>
      <c r="F925" s="43" t="s">
        <v>9651</v>
      </c>
      <c r="G925" s="43" t="s">
        <v>6063</v>
      </c>
      <c r="H925" s="42" t="s">
        <v>9652</v>
      </c>
      <c r="I925" s="18">
        <f t="shared" si="5"/>
        <v>45979</v>
      </c>
      <c r="J925" s="19" t="s">
        <v>28</v>
      </c>
      <c r="K925" s="19" t="s">
        <v>5170</v>
      </c>
      <c r="L925" s="40"/>
    </row>
    <row r="926" ht="22.5" customHeight="1">
      <c r="C926" s="19" t="s">
        <v>9603</v>
      </c>
      <c r="D926" s="39" t="s">
        <v>9599</v>
      </c>
      <c r="E926" s="43" t="s">
        <v>9653</v>
      </c>
      <c r="F926" s="43" t="s">
        <v>9654</v>
      </c>
      <c r="G926" s="43" t="s">
        <v>6548</v>
      </c>
      <c r="H926" s="42" t="s">
        <v>9655</v>
      </c>
      <c r="I926" s="18">
        <f t="shared" si="5"/>
        <v>45979</v>
      </c>
      <c r="J926" s="19" t="s">
        <v>28</v>
      </c>
      <c r="K926" s="19" t="s">
        <v>5170</v>
      </c>
      <c r="L926" s="40"/>
    </row>
    <row r="927" ht="22.5" customHeight="1">
      <c r="C927" s="19" t="s">
        <v>9603</v>
      </c>
      <c r="D927" s="39" t="s">
        <v>9656</v>
      </c>
      <c r="E927" s="43" t="s">
        <v>9657</v>
      </c>
      <c r="F927" s="43" t="s">
        <v>9658</v>
      </c>
      <c r="G927" s="43" t="s">
        <v>6288</v>
      </c>
      <c r="H927" s="42" t="s">
        <v>9659</v>
      </c>
      <c r="I927" s="18">
        <f t="shared" si="5"/>
        <v>45979</v>
      </c>
      <c r="J927" s="19" t="s">
        <v>28</v>
      </c>
      <c r="K927" s="19" t="s">
        <v>5170</v>
      </c>
      <c r="L927" s="40"/>
    </row>
    <row r="928" ht="22.5" customHeight="1">
      <c r="C928" s="19" t="s">
        <v>9603</v>
      </c>
      <c r="D928" s="39" t="s">
        <v>9660</v>
      </c>
      <c r="E928" s="43" t="s">
        <v>9661</v>
      </c>
      <c r="F928" s="43" t="s">
        <v>9662</v>
      </c>
      <c r="G928" s="43" t="s">
        <v>6902</v>
      </c>
      <c r="H928" s="42" t="s">
        <v>9663</v>
      </c>
      <c r="I928" s="18">
        <f t="shared" si="5"/>
        <v>45979</v>
      </c>
      <c r="J928" s="19" t="s">
        <v>28</v>
      </c>
      <c r="K928" s="19" t="s">
        <v>5170</v>
      </c>
      <c r="L928" s="40"/>
    </row>
    <row r="929" ht="22.5" customHeight="1">
      <c r="C929" s="19" t="s">
        <v>9603</v>
      </c>
      <c r="D929" s="39" t="s">
        <v>9664</v>
      </c>
      <c r="E929" s="43" t="s">
        <v>9665</v>
      </c>
      <c r="F929" s="43" t="s">
        <v>9666</v>
      </c>
      <c r="G929" s="43" t="s">
        <v>6581</v>
      </c>
      <c r="H929" s="42" t="s">
        <v>9667</v>
      </c>
      <c r="I929" s="18">
        <f t="shared" si="5"/>
        <v>45979</v>
      </c>
      <c r="J929" s="19" t="s">
        <v>28</v>
      </c>
      <c r="K929" s="19" t="s">
        <v>5170</v>
      </c>
      <c r="L929" s="40"/>
    </row>
    <row r="930" ht="22.5" customHeight="1">
      <c r="C930" s="19" t="s">
        <v>9603</v>
      </c>
      <c r="D930" s="39" t="s">
        <v>9668</v>
      </c>
      <c r="E930" s="43" t="s">
        <v>9669</v>
      </c>
      <c r="F930" s="43" t="s">
        <v>9670</v>
      </c>
      <c r="G930" s="43" t="s">
        <v>5939</v>
      </c>
      <c r="H930" s="42" t="s">
        <v>9671</v>
      </c>
      <c r="I930" s="18">
        <f t="shared" si="5"/>
        <v>45979</v>
      </c>
      <c r="J930" s="19" t="s">
        <v>28</v>
      </c>
      <c r="K930" s="19" t="s">
        <v>5170</v>
      </c>
      <c r="L930" s="40"/>
    </row>
    <row r="931" ht="22.5" customHeight="1">
      <c r="C931" s="19" t="s">
        <v>9603</v>
      </c>
      <c r="D931" s="39" t="s">
        <v>9672</v>
      </c>
      <c r="E931" s="43" t="s">
        <v>9673</v>
      </c>
      <c r="F931" s="43" t="s">
        <v>9674</v>
      </c>
      <c r="G931" s="43" t="s">
        <v>5820</v>
      </c>
      <c r="H931" s="42" t="s">
        <v>9675</v>
      </c>
      <c r="I931" s="18">
        <f t="shared" si="5"/>
        <v>45979</v>
      </c>
      <c r="J931" s="19" t="s">
        <v>28</v>
      </c>
      <c r="K931" s="19" t="s">
        <v>5170</v>
      </c>
      <c r="L931" s="40"/>
    </row>
    <row r="932" ht="22.5" customHeight="1">
      <c r="C932" s="19" t="s">
        <v>9603</v>
      </c>
      <c r="D932" s="39" t="s">
        <v>9676</v>
      </c>
      <c r="E932" s="43" t="s">
        <v>9677</v>
      </c>
      <c r="F932" s="43" t="s">
        <v>9678</v>
      </c>
      <c r="G932" s="43" t="s">
        <v>8316</v>
      </c>
      <c r="H932" s="44">
        <v>9.17690548E9</v>
      </c>
      <c r="I932" s="18">
        <f t="shared" si="5"/>
        <v>45979</v>
      </c>
      <c r="J932" s="19" t="s">
        <v>28</v>
      </c>
      <c r="K932" s="19" t="s">
        <v>5170</v>
      </c>
      <c r="L932" s="40"/>
    </row>
    <row r="933" ht="22.5" customHeight="1">
      <c r="C933" s="19" t="s">
        <v>9603</v>
      </c>
      <c r="D933" s="39" t="s">
        <v>9679</v>
      </c>
      <c r="E933" s="43" t="s">
        <v>9680</v>
      </c>
      <c r="F933" s="43" t="s">
        <v>1492</v>
      </c>
      <c r="G933" s="43" t="s">
        <v>6874</v>
      </c>
      <c r="H933" s="44">
        <v>9.174722685E9</v>
      </c>
      <c r="I933" s="18">
        <f t="shared" si="5"/>
        <v>45979</v>
      </c>
      <c r="J933" s="19" t="s">
        <v>28</v>
      </c>
      <c r="K933" s="19" t="s">
        <v>5170</v>
      </c>
      <c r="L933" s="40"/>
    </row>
    <row r="934" ht="22.5" customHeight="1">
      <c r="C934" s="19" t="s">
        <v>9603</v>
      </c>
      <c r="D934" s="39" t="s">
        <v>9681</v>
      </c>
      <c r="E934" s="43" t="s">
        <v>9682</v>
      </c>
      <c r="F934" s="43" t="s">
        <v>9683</v>
      </c>
      <c r="G934" s="43" t="s">
        <v>9684</v>
      </c>
      <c r="H934" s="44">
        <v>9.173361482E9</v>
      </c>
      <c r="I934" s="18">
        <f t="shared" si="5"/>
        <v>45979</v>
      </c>
      <c r="J934" s="19" t="s">
        <v>28</v>
      </c>
      <c r="K934" s="19" t="s">
        <v>5170</v>
      </c>
      <c r="L934" s="40"/>
    </row>
    <row r="935" ht="22.5" customHeight="1">
      <c r="C935" s="19" t="s">
        <v>9603</v>
      </c>
      <c r="D935" s="39" t="s">
        <v>9685</v>
      </c>
      <c r="E935" s="43" t="s">
        <v>9686</v>
      </c>
      <c r="F935" s="48" t="s">
        <v>9687</v>
      </c>
      <c r="G935" s="43" t="s">
        <v>5874</v>
      </c>
      <c r="H935" s="42" t="s">
        <v>9688</v>
      </c>
      <c r="I935" s="18">
        <f t="shared" si="5"/>
        <v>45979</v>
      </c>
      <c r="J935" s="19" t="s">
        <v>28</v>
      </c>
      <c r="K935" s="19" t="s">
        <v>5170</v>
      </c>
      <c r="L935" s="40"/>
    </row>
    <row r="936" ht="22.5" customHeight="1">
      <c r="C936" s="19" t="s">
        <v>9603</v>
      </c>
      <c r="D936" s="39" t="s">
        <v>9689</v>
      </c>
      <c r="E936" s="43" t="s">
        <v>9690</v>
      </c>
      <c r="F936" s="43" t="s">
        <v>9691</v>
      </c>
      <c r="G936" s="43" t="s">
        <v>6284</v>
      </c>
      <c r="H936" s="42" t="s">
        <v>9692</v>
      </c>
      <c r="I936" s="18">
        <f t="shared" si="5"/>
        <v>45979</v>
      </c>
      <c r="J936" s="19" t="s">
        <v>28</v>
      </c>
      <c r="K936" s="19" t="s">
        <v>5170</v>
      </c>
      <c r="L936" s="40"/>
    </row>
    <row r="937" ht="22.5" customHeight="1">
      <c r="C937" s="19" t="s">
        <v>9603</v>
      </c>
      <c r="D937" s="39" t="s">
        <v>9693</v>
      </c>
      <c r="E937" s="43" t="s">
        <v>9694</v>
      </c>
      <c r="F937" s="43" t="s">
        <v>2452</v>
      </c>
      <c r="G937" s="43" t="s">
        <v>7030</v>
      </c>
      <c r="H937" s="44">
        <v>5.162206924E9</v>
      </c>
      <c r="I937" s="18">
        <f t="shared" si="5"/>
        <v>45979</v>
      </c>
      <c r="J937" s="19" t="s">
        <v>28</v>
      </c>
      <c r="K937" s="19" t="s">
        <v>5170</v>
      </c>
      <c r="L937" s="40"/>
    </row>
    <row r="938" ht="22.5" customHeight="1">
      <c r="C938" s="19" t="s">
        <v>9603</v>
      </c>
      <c r="D938" s="39" t="s">
        <v>9695</v>
      </c>
      <c r="E938" s="43" t="s">
        <v>9696</v>
      </c>
      <c r="F938" s="43" t="s">
        <v>9697</v>
      </c>
      <c r="G938" s="43" t="s">
        <v>6459</v>
      </c>
      <c r="H938" s="42" t="s">
        <v>9698</v>
      </c>
      <c r="I938" s="18">
        <f t="shared" si="5"/>
        <v>45979</v>
      </c>
      <c r="J938" s="19" t="s">
        <v>28</v>
      </c>
      <c r="K938" s="19" t="s">
        <v>5170</v>
      </c>
      <c r="L938" s="40"/>
    </row>
    <row r="939" ht="22.5" customHeight="1">
      <c r="C939" s="19" t="s">
        <v>9603</v>
      </c>
      <c r="D939" s="39" t="s">
        <v>9699</v>
      </c>
      <c r="E939" s="43" t="s">
        <v>9700</v>
      </c>
      <c r="F939" s="43" t="s">
        <v>1055</v>
      </c>
      <c r="G939" s="43" t="s">
        <v>5953</v>
      </c>
      <c r="H939" s="42" t="s">
        <v>9701</v>
      </c>
      <c r="I939" s="18">
        <f t="shared" si="5"/>
        <v>45979</v>
      </c>
      <c r="J939" s="19" t="s">
        <v>28</v>
      </c>
      <c r="K939" s="19" t="s">
        <v>5170</v>
      </c>
      <c r="L939" s="40"/>
    </row>
    <row r="940" ht="22.5" customHeight="1">
      <c r="C940" s="19" t="s">
        <v>9603</v>
      </c>
      <c r="D940" s="39" t="s">
        <v>9702</v>
      </c>
      <c r="E940" s="43" t="s">
        <v>9703</v>
      </c>
      <c r="F940" s="43" t="s">
        <v>182</v>
      </c>
      <c r="G940" s="43" t="s">
        <v>6004</v>
      </c>
      <c r="H940" s="42" t="s">
        <v>9704</v>
      </c>
      <c r="I940" s="18">
        <f t="shared" si="5"/>
        <v>45979</v>
      </c>
      <c r="J940" s="19" t="s">
        <v>28</v>
      </c>
      <c r="K940" s="19" t="s">
        <v>5170</v>
      </c>
      <c r="L940" s="40"/>
    </row>
    <row r="941" ht="22.5" customHeight="1">
      <c r="C941" s="19" t="s">
        <v>9705</v>
      </c>
      <c r="D941" s="39" t="s">
        <v>9534</v>
      </c>
      <c r="E941" s="43" t="s">
        <v>9706</v>
      </c>
      <c r="F941" s="43" t="s">
        <v>9707</v>
      </c>
      <c r="G941" s="43" t="s">
        <v>5900</v>
      </c>
      <c r="H941" s="42" t="s">
        <v>9708</v>
      </c>
      <c r="I941" s="18">
        <f t="shared" si="5"/>
        <v>45979</v>
      </c>
      <c r="J941" s="19" t="s">
        <v>28</v>
      </c>
      <c r="K941" s="19" t="s">
        <v>5170</v>
      </c>
      <c r="L941" s="40"/>
    </row>
    <row r="942" ht="22.5" customHeight="1">
      <c r="C942" s="19" t="s">
        <v>9705</v>
      </c>
      <c r="D942" s="39" t="s">
        <v>9537</v>
      </c>
      <c r="E942" s="43" t="s">
        <v>9709</v>
      </c>
      <c r="F942" s="43" t="s">
        <v>9710</v>
      </c>
      <c r="G942" s="43" t="s">
        <v>5908</v>
      </c>
      <c r="H942" s="42" t="s">
        <v>9711</v>
      </c>
      <c r="I942" s="18">
        <f t="shared" si="5"/>
        <v>45979</v>
      </c>
      <c r="J942" s="19" t="s">
        <v>28</v>
      </c>
      <c r="K942" s="19" t="s">
        <v>5170</v>
      </c>
      <c r="L942" s="40"/>
    </row>
    <row r="943" ht="22.5" customHeight="1">
      <c r="C943" s="19" t="s">
        <v>9705</v>
      </c>
      <c r="D943" s="39" t="s">
        <v>9540</v>
      </c>
      <c r="E943" s="43" t="s">
        <v>9712</v>
      </c>
      <c r="F943" s="43" t="s">
        <v>6415</v>
      </c>
      <c r="G943" s="43" t="s">
        <v>5953</v>
      </c>
      <c r="H943" s="42" t="s">
        <v>9713</v>
      </c>
      <c r="I943" s="18">
        <f t="shared" si="5"/>
        <v>45979</v>
      </c>
      <c r="J943" s="19" t="s">
        <v>28</v>
      </c>
      <c r="K943" s="19" t="s">
        <v>5170</v>
      </c>
      <c r="L943" s="40"/>
    </row>
    <row r="944" ht="22.5" customHeight="1">
      <c r="C944" s="19" t="s">
        <v>9705</v>
      </c>
      <c r="D944" s="39" t="s">
        <v>9543</v>
      </c>
      <c r="E944" s="43" t="s">
        <v>9714</v>
      </c>
      <c r="F944" s="43" t="s">
        <v>9715</v>
      </c>
      <c r="G944" s="43" t="s">
        <v>6063</v>
      </c>
      <c r="H944" s="42" t="s">
        <v>9716</v>
      </c>
      <c r="I944" s="18">
        <f t="shared" si="5"/>
        <v>45979</v>
      </c>
      <c r="J944" s="19" t="s">
        <v>28</v>
      </c>
      <c r="K944" s="19" t="s">
        <v>5170</v>
      </c>
      <c r="L944" s="40"/>
    </row>
    <row r="945" ht="22.5" customHeight="1">
      <c r="C945" s="19" t="s">
        <v>9705</v>
      </c>
      <c r="D945" s="39" t="s">
        <v>9547</v>
      </c>
      <c r="E945" s="43" t="s">
        <v>9717</v>
      </c>
      <c r="F945" s="43" t="s">
        <v>9718</v>
      </c>
      <c r="G945" s="43" t="s">
        <v>5882</v>
      </c>
      <c r="H945" s="42" t="s">
        <v>9719</v>
      </c>
      <c r="I945" s="18">
        <f t="shared" si="5"/>
        <v>45979</v>
      </c>
      <c r="J945" s="19" t="s">
        <v>28</v>
      </c>
      <c r="K945" s="19" t="s">
        <v>5170</v>
      </c>
      <c r="L945" s="40"/>
    </row>
    <row r="946" ht="22.5" customHeight="1">
      <c r="C946" s="19" t="s">
        <v>9705</v>
      </c>
      <c r="D946" s="39" t="s">
        <v>9551</v>
      </c>
      <c r="E946" s="43" t="s">
        <v>9720</v>
      </c>
      <c r="F946" s="43" t="s">
        <v>9721</v>
      </c>
      <c r="G946" s="43" t="s">
        <v>5878</v>
      </c>
      <c r="H946" s="44">
        <v>9.144177727E9</v>
      </c>
      <c r="I946" s="18">
        <f t="shared" si="5"/>
        <v>45979</v>
      </c>
      <c r="J946" s="19" t="s">
        <v>28</v>
      </c>
      <c r="K946" s="19" t="s">
        <v>5170</v>
      </c>
      <c r="L946" s="40"/>
    </row>
    <row r="947" ht="22.5" customHeight="1">
      <c r="C947" s="19" t="s">
        <v>9705</v>
      </c>
      <c r="D947" s="39" t="s">
        <v>9554</v>
      </c>
      <c r="E947" s="43" t="s">
        <v>9722</v>
      </c>
      <c r="F947" s="43" t="s">
        <v>9723</v>
      </c>
      <c r="G947" s="43" t="s">
        <v>8679</v>
      </c>
      <c r="H947" s="42" t="s">
        <v>9724</v>
      </c>
      <c r="I947" s="18">
        <f t="shared" si="5"/>
        <v>45979</v>
      </c>
      <c r="J947" s="19" t="s">
        <v>28</v>
      </c>
      <c r="K947" s="19" t="s">
        <v>5170</v>
      </c>
      <c r="L947" s="40"/>
    </row>
    <row r="948" ht="22.5" customHeight="1">
      <c r="C948" s="19" t="s">
        <v>9705</v>
      </c>
      <c r="D948" s="39" t="s">
        <v>9558</v>
      </c>
      <c r="E948" s="43" t="s">
        <v>9725</v>
      </c>
      <c r="F948" s="43" t="s">
        <v>1871</v>
      </c>
      <c r="G948" s="43" t="s">
        <v>5929</v>
      </c>
      <c r="H948" s="44">
        <v>2.1281918E9</v>
      </c>
      <c r="I948" s="18">
        <f t="shared" si="5"/>
        <v>45979</v>
      </c>
      <c r="J948" s="19" t="s">
        <v>28</v>
      </c>
      <c r="K948" s="19" t="s">
        <v>5170</v>
      </c>
      <c r="L948" s="40"/>
    </row>
    <row r="949" ht="22.5" customHeight="1">
      <c r="C949" s="19" t="s">
        <v>9705</v>
      </c>
      <c r="D949" s="39" t="s">
        <v>9561</v>
      </c>
      <c r="E949" s="43" t="s">
        <v>9726</v>
      </c>
      <c r="F949" s="43" t="s">
        <v>9727</v>
      </c>
      <c r="G949" s="43" t="s">
        <v>6204</v>
      </c>
      <c r="H949" s="42" t="s">
        <v>9728</v>
      </c>
      <c r="I949" s="18">
        <f t="shared" si="5"/>
        <v>45979</v>
      </c>
      <c r="J949" s="19" t="s">
        <v>28</v>
      </c>
      <c r="K949" s="19" t="s">
        <v>5170</v>
      </c>
      <c r="L949" s="40"/>
    </row>
    <row r="950" ht="22.5" customHeight="1">
      <c r="C950" s="19" t="s">
        <v>9705</v>
      </c>
      <c r="D950" s="39" t="s">
        <v>9564</v>
      </c>
      <c r="E950" s="43" t="s">
        <v>9729</v>
      </c>
      <c r="F950" s="43" t="s">
        <v>9730</v>
      </c>
      <c r="G950" s="43" t="s">
        <v>6004</v>
      </c>
      <c r="H950" s="42" t="s">
        <v>9731</v>
      </c>
      <c r="I950" s="18">
        <f t="shared" si="5"/>
        <v>45979</v>
      </c>
      <c r="J950" s="19" t="s">
        <v>28</v>
      </c>
      <c r="K950" s="19" t="s">
        <v>5170</v>
      </c>
      <c r="L950" s="40"/>
    </row>
    <row r="951" ht="22.5" customHeight="1">
      <c r="C951" s="19" t="s">
        <v>9705</v>
      </c>
      <c r="D951" s="39" t="s">
        <v>9567</v>
      </c>
      <c r="E951" s="43" t="s">
        <v>9732</v>
      </c>
      <c r="F951" s="43" t="s">
        <v>9733</v>
      </c>
      <c r="G951" s="43" t="s">
        <v>5939</v>
      </c>
      <c r="H951" s="42" t="s">
        <v>9734</v>
      </c>
      <c r="I951" s="18">
        <f t="shared" si="5"/>
        <v>45979</v>
      </c>
      <c r="J951" s="19" t="s">
        <v>28</v>
      </c>
      <c r="K951" s="19" t="s">
        <v>5170</v>
      </c>
      <c r="L951" s="40"/>
    </row>
    <row r="952" ht="22.5" customHeight="1">
      <c r="C952" s="19" t="s">
        <v>9705</v>
      </c>
      <c r="D952" s="39" t="s">
        <v>9569</v>
      </c>
      <c r="E952" s="43" t="s">
        <v>9735</v>
      </c>
      <c r="F952" s="43" t="s">
        <v>5360</v>
      </c>
      <c r="G952" s="43" t="s">
        <v>5949</v>
      </c>
      <c r="H952" s="42" t="s">
        <v>9736</v>
      </c>
      <c r="I952" s="18">
        <f t="shared" si="5"/>
        <v>45979</v>
      </c>
      <c r="J952" s="19" t="s">
        <v>28</v>
      </c>
      <c r="K952" s="19" t="s">
        <v>5170</v>
      </c>
      <c r="L952" s="40"/>
    </row>
    <row r="953" ht="22.5" customHeight="1">
      <c r="C953" s="19" t="s">
        <v>9705</v>
      </c>
      <c r="D953" s="39" t="s">
        <v>9573</v>
      </c>
      <c r="E953" s="43" t="s">
        <v>9737</v>
      </c>
      <c r="F953" s="43" t="s">
        <v>9738</v>
      </c>
      <c r="G953" s="43" t="s">
        <v>5866</v>
      </c>
      <c r="H953" s="42" t="s">
        <v>9739</v>
      </c>
      <c r="I953" s="18">
        <f t="shared" si="5"/>
        <v>45979</v>
      </c>
      <c r="J953" s="19" t="s">
        <v>28</v>
      </c>
      <c r="K953" s="19" t="s">
        <v>5170</v>
      </c>
      <c r="L953" s="40"/>
    </row>
    <row r="954" ht="22.5" customHeight="1">
      <c r="C954" s="19" t="s">
        <v>9705</v>
      </c>
      <c r="D954" s="39" t="s">
        <v>9577</v>
      </c>
      <c r="E954" s="43" t="s">
        <v>9740</v>
      </c>
      <c r="F954" s="43" t="s">
        <v>9741</v>
      </c>
      <c r="G954" s="43" t="s">
        <v>7606</v>
      </c>
      <c r="H954" s="44">
        <v>9.293219322E9</v>
      </c>
      <c r="I954" s="18">
        <f t="shared" si="5"/>
        <v>45979</v>
      </c>
      <c r="J954" s="19" t="s">
        <v>28</v>
      </c>
      <c r="K954" s="19" t="s">
        <v>5170</v>
      </c>
      <c r="L954" s="4"/>
    </row>
    <row r="955" ht="22.5" customHeight="1">
      <c r="C955" s="19" t="s">
        <v>9705</v>
      </c>
      <c r="D955" s="39" t="s">
        <v>9581</v>
      </c>
      <c r="E955" s="43" t="s">
        <v>9742</v>
      </c>
      <c r="F955" s="43" t="s">
        <v>9743</v>
      </c>
      <c r="G955" s="43" t="s">
        <v>9744</v>
      </c>
      <c r="H955" s="42" t="s">
        <v>182</v>
      </c>
      <c r="I955" s="18">
        <f t="shared" si="5"/>
        <v>45979</v>
      </c>
      <c r="J955" s="19" t="s">
        <v>28</v>
      </c>
      <c r="K955" s="19" t="s">
        <v>5170</v>
      </c>
      <c r="L955" s="40"/>
    </row>
    <row r="956" ht="22.5" customHeight="1">
      <c r="C956" s="19" t="s">
        <v>9705</v>
      </c>
      <c r="D956" s="39" t="s">
        <v>9584</v>
      </c>
      <c r="E956" s="43" t="s">
        <v>9745</v>
      </c>
      <c r="F956" s="43" t="s">
        <v>1419</v>
      </c>
      <c r="G956" s="43" t="s">
        <v>5878</v>
      </c>
      <c r="H956" s="44">
        <v>9.174888096E9</v>
      </c>
      <c r="I956" s="18">
        <f t="shared" si="5"/>
        <v>45979</v>
      </c>
      <c r="J956" s="19" t="s">
        <v>28</v>
      </c>
      <c r="K956" s="19" t="s">
        <v>5170</v>
      </c>
      <c r="L956" s="40"/>
    </row>
    <row r="957" ht="22.5" customHeight="1">
      <c r="C957" s="19" t="s">
        <v>9705</v>
      </c>
      <c r="D957" s="39" t="s">
        <v>9588</v>
      </c>
      <c r="E957" s="43" t="s">
        <v>9746</v>
      </c>
      <c r="F957" s="43" t="s">
        <v>9747</v>
      </c>
      <c r="G957" s="43" t="s">
        <v>5820</v>
      </c>
      <c r="H957" s="42" t="s">
        <v>9748</v>
      </c>
      <c r="I957" s="18">
        <f t="shared" si="5"/>
        <v>45979</v>
      </c>
      <c r="J957" s="19" t="s">
        <v>28</v>
      </c>
      <c r="K957" s="19" t="s">
        <v>5170</v>
      </c>
      <c r="L957" s="40"/>
    </row>
    <row r="958" ht="22.5" customHeight="1">
      <c r="C958" s="19" t="s">
        <v>9749</v>
      </c>
      <c r="D958" s="39" t="s">
        <v>9750</v>
      </c>
      <c r="E958" s="43" t="s">
        <v>9751</v>
      </c>
      <c r="F958" s="43" t="s">
        <v>9752</v>
      </c>
      <c r="G958" s="43" t="s">
        <v>6063</v>
      </c>
      <c r="H958" s="44">
        <v>9.177710805E9</v>
      </c>
      <c r="I958" s="18">
        <f t="shared" si="5"/>
        <v>45979</v>
      </c>
      <c r="J958" s="19" t="s">
        <v>28</v>
      </c>
      <c r="K958" s="19" t="s">
        <v>5170</v>
      </c>
      <c r="L958" s="40"/>
    </row>
    <row r="959" ht="22.5" customHeight="1">
      <c r="C959" s="19" t="s">
        <v>9749</v>
      </c>
      <c r="D959" s="39" t="s">
        <v>9753</v>
      </c>
      <c r="E959" s="43" t="s">
        <v>9754</v>
      </c>
      <c r="F959" s="43" t="s">
        <v>9755</v>
      </c>
      <c r="G959" s="43" t="s">
        <v>8971</v>
      </c>
      <c r="H959" s="42" t="s">
        <v>9756</v>
      </c>
      <c r="I959" s="18">
        <f t="shared" si="5"/>
        <v>45979</v>
      </c>
      <c r="J959" s="19" t="s">
        <v>28</v>
      </c>
      <c r="K959" s="19" t="s">
        <v>5170</v>
      </c>
      <c r="L959" s="40"/>
    </row>
    <row r="960" ht="22.5" customHeight="1">
      <c r="C960" s="19" t="s">
        <v>9749</v>
      </c>
      <c r="D960" s="39" t="s">
        <v>9757</v>
      </c>
      <c r="E960" s="43" t="s">
        <v>9758</v>
      </c>
      <c r="F960" s="43" t="s">
        <v>9759</v>
      </c>
      <c r="G960" s="43" t="s">
        <v>9760</v>
      </c>
      <c r="H960" s="42" t="s">
        <v>182</v>
      </c>
      <c r="I960" s="18">
        <f t="shared" si="5"/>
        <v>45979</v>
      </c>
      <c r="J960" s="19" t="s">
        <v>28</v>
      </c>
      <c r="K960" s="19" t="s">
        <v>5170</v>
      </c>
      <c r="L960" s="40"/>
    </row>
    <row r="961" ht="22.5" customHeight="1">
      <c r="C961" s="19" t="s">
        <v>9749</v>
      </c>
      <c r="D961" s="39" t="s">
        <v>9761</v>
      </c>
      <c r="E961" s="43" t="s">
        <v>9762</v>
      </c>
      <c r="F961" s="43" t="s">
        <v>818</v>
      </c>
      <c r="G961" s="43" t="s">
        <v>5953</v>
      </c>
      <c r="H961" s="44">
        <v>5.30979354E9</v>
      </c>
      <c r="I961" s="18">
        <f t="shared" si="5"/>
        <v>45979</v>
      </c>
      <c r="J961" s="19" t="s">
        <v>28</v>
      </c>
      <c r="K961" s="19" t="s">
        <v>5170</v>
      </c>
      <c r="L961" s="40"/>
    </row>
    <row r="962" ht="22.5" customHeight="1">
      <c r="C962" s="19" t="s">
        <v>9749</v>
      </c>
      <c r="D962" s="39" t="s">
        <v>9763</v>
      </c>
      <c r="E962" s="43" t="s">
        <v>9764</v>
      </c>
      <c r="F962" s="43" t="s">
        <v>9764</v>
      </c>
      <c r="G962" s="43" t="s">
        <v>6004</v>
      </c>
      <c r="H962" s="42" t="s">
        <v>9765</v>
      </c>
      <c r="I962" s="18">
        <f t="shared" si="5"/>
        <v>45979</v>
      </c>
      <c r="J962" s="19" t="s">
        <v>28</v>
      </c>
      <c r="K962" s="19" t="s">
        <v>5170</v>
      </c>
      <c r="L962" s="40"/>
    </row>
    <row r="963" ht="22.5" customHeight="1">
      <c r="C963" s="19" t="s">
        <v>9749</v>
      </c>
      <c r="D963" s="39" t="s">
        <v>9766</v>
      </c>
      <c r="E963" s="43" t="s">
        <v>9767</v>
      </c>
      <c r="F963" s="43" t="s">
        <v>9768</v>
      </c>
      <c r="G963" s="43" t="s">
        <v>5949</v>
      </c>
      <c r="H963" s="42" t="s">
        <v>9769</v>
      </c>
      <c r="I963" s="18">
        <f t="shared" si="5"/>
        <v>45979</v>
      </c>
      <c r="J963" s="19" t="s">
        <v>28</v>
      </c>
      <c r="K963" s="19" t="s">
        <v>5170</v>
      </c>
      <c r="L963" s="40"/>
    </row>
    <row r="964" ht="22.5" customHeight="1">
      <c r="C964" s="19" t="s">
        <v>9749</v>
      </c>
      <c r="D964" s="39" t="s">
        <v>9770</v>
      </c>
      <c r="E964" s="43" t="s">
        <v>9771</v>
      </c>
      <c r="F964" s="43" t="s">
        <v>9772</v>
      </c>
      <c r="G964" s="43" t="s">
        <v>5900</v>
      </c>
      <c r="H964" s="42" t="s">
        <v>9773</v>
      </c>
      <c r="I964" s="18">
        <f t="shared" si="5"/>
        <v>45979</v>
      </c>
      <c r="J964" s="19" t="s">
        <v>28</v>
      </c>
      <c r="K964" s="19" t="s">
        <v>5170</v>
      </c>
      <c r="L964" s="40"/>
    </row>
    <row r="965" ht="22.5" customHeight="1">
      <c r="C965" s="19" t="s">
        <v>9749</v>
      </c>
      <c r="D965" s="39" t="s">
        <v>9774</v>
      </c>
      <c r="E965" s="43" t="s">
        <v>9775</v>
      </c>
      <c r="F965" s="43" t="s">
        <v>4477</v>
      </c>
      <c r="G965" s="43" t="s">
        <v>5862</v>
      </c>
      <c r="H965" s="42" t="s">
        <v>9776</v>
      </c>
      <c r="I965" s="18">
        <f t="shared" si="5"/>
        <v>45979</v>
      </c>
      <c r="J965" s="19" t="s">
        <v>28</v>
      </c>
      <c r="K965" s="19" t="s">
        <v>5170</v>
      </c>
      <c r="L965" s="40"/>
    </row>
    <row r="966" ht="22.5" customHeight="1">
      <c r="C966" s="19" t="s">
        <v>9749</v>
      </c>
      <c r="D966" s="39" t="s">
        <v>9777</v>
      </c>
      <c r="E966" s="43" t="s">
        <v>9778</v>
      </c>
      <c r="F966" s="43" t="s">
        <v>9779</v>
      </c>
      <c r="G966" s="43" t="s">
        <v>5820</v>
      </c>
      <c r="H966" s="42" t="s">
        <v>9780</v>
      </c>
      <c r="I966" s="18">
        <f t="shared" si="5"/>
        <v>45979</v>
      </c>
      <c r="J966" s="19" t="s">
        <v>28</v>
      </c>
      <c r="K966" s="19" t="s">
        <v>5170</v>
      </c>
      <c r="L966" s="40"/>
    </row>
    <row r="967" ht="22.5" customHeight="1">
      <c r="C967" s="19" t="s">
        <v>9749</v>
      </c>
      <c r="D967" s="39" t="s">
        <v>9781</v>
      </c>
      <c r="E967" s="43" t="s">
        <v>9782</v>
      </c>
      <c r="F967" s="43" t="s">
        <v>9783</v>
      </c>
      <c r="G967" s="43" t="s">
        <v>5850</v>
      </c>
      <c r="H967" s="42" t="s">
        <v>9784</v>
      </c>
      <c r="I967" s="18">
        <f t="shared" si="5"/>
        <v>45979</v>
      </c>
      <c r="J967" s="19" t="s">
        <v>28</v>
      </c>
      <c r="K967" s="19" t="s">
        <v>5170</v>
      </c>
      <c r="L967" s="40"/>
    </row>
    <row r="968" ht="22.5" customHeight="1">
      <c r="C968" s="19" t="s">
        <v>9749</v>
      </c>
      <c r="D968" s="39" t="s">
        <v>9785</v>
      </c>
      <c r="E968" s="43" t="s">
        <v>9786</v>
      </c>
      <c r="F968" s="43" t="s">
        <v>8823</v>
      </c>
      <c r="G968" s="43" t="s">
        <v>5882</v>
      </c>
      <c r="H968" s="44">
        <v>8.456369506E9</v>
      </c>
      <c r="I968" s="18">
        <f t="shared" si="5"/>
        <v>45979</v>
      </c>
      <c r="J968" s="19" t="s">
        <v>28</v>
      </c>
      <c r="K968" s="19" t="s">
        <v>5170</v>
      </c>
      <c r="L968" s="40"/>
    </row>
    <row r="969" ht="22.5" customHeight="1">
      <c r="C969" s="19" t="s">
        <v>9749</v>
      </c>
      <c r="D969" s="39" t="s">
        <v>9787</v>
      </c>
      <c r="E969" s="43" t="s">
        <v>9788</v>
      </c>
      <c r="F969" s="43" t="s">
        <v>182</v>
      </c>
      <c r="G969" s="43" t="s">
        <v>6169</v>
      </c>
      <c r="H969" s="42" t="s">
        <v>9789</v>
      </c>
      <c r="I969" s="18">
        <f t="shared" si="5"/>
        <v>45979</v>
      </c>
      <c r="J969" s="19" t="s">
        <v>28</v>
      </c>
      <c r="K969" s="19" t="s">
        <v>5170</v>
      </c>
      <c r="L969" s="40"/>
    </row>
    <row r="970" ht="22.5" customHeight="1">
      <c r="C970" s="19" t="s">
        <v>9749</v>
      </c>
      <c r="D970" s="39" t="s">
        <v>9790</v>
      </c>
      <c r="E970" s="43" t="s">
        <v>9791</v>
      </c>
      <c r="F970" s="43" t="s">
        <v>9792</v>
      </c>
      <c r="G970" s="43" t="s">
        <v>5908</v>
      </c>
      <c r="H970" s="42" t="s">
        <v>9793</v>
      </c>
      <c r="I970" s="18">
        <f t="shared" si="5"/>
        <v>45979</v>
      </c>
      <c r="J970" s="19" t="s">
        <v>28</v>
      </c>
      <c r="K970" s="19" t="s">
        <v>5170</v>
      </c>
      <c r="L970" s="40"/>
    </row>
    <row r="971" ht="22.5" customHeight="1">
      <c r="C971" s="19" t="s">
        <v>9749</v>
      </c>
      <c r="D971" s="39" t="s">
        <v>9794</v>
      </c>
      <c r="E971" s="43" t="s">
        <v>9795</v>
      </c>
      <c r="F971" s="43" t="s">
        <v>2514</v>
      </c>
      <c r="G971" s="43" t="s">
        <v>5866</v>
      </c>
      <c r="H971" s="42" t="s">
        <v>9796</v>
      </c>
      <c r="I971" s="18">
        <f t="shared" si="5"/>
        <v>45979</v>
      </c>
      <c r="J971" s="19" t="s">
        <v>28</v>
      </c>
      <c r="K971" s="19" t="s">
        <v>5170</v>
      </c>
      <c r="L971" s="40"/>
    </row>
    <row r="972" ht="22.5" customHeight="1">
      <c r="C972" s="19" t="s">
        <v>9749</v>
      </c>
      <c r="D972" s="39" t="s">
        <v>9797</v>
      </c>
      <c r="E972" s="43" t="s">
        <v>9798</v>
      </c>
      <c r="F972" s="43" t="s">
        <v>767</v>
      </c>
      <c r="G972" s="43" t="s">
        <v>6118</v>
      </c>
      <c r="H972" s="42" t="s">
        <v>9799</v>
      </c>
      <c r="I972" s="18">
        <f t="shared" si="5"/>
        <v>45979</v>
      </c>
      <c r="J972" s="19" t="s">
        <v>28</v>
      </c>
      <c r="K972" s="19" t="s">
        <v>5170</v>
      </c>
      <c r="L972" s="40"/>
    </row>
    <row r="973" ht="22.5" customHeight="1">
      <c r="C973" s="19" t="s">
        <v>9749</v>
      </c>
      <c r="D973" s="39" t="s">
        <v>9800</v>
      </c>
      <c r="E973" s="43" t="s">
        <v>9801</v>
      </c>
      <c r="F973" s="43" t="s">
        <v>9802</v>
      </c>
      <c r="G973" s="43" t="s">
        <v>6063</v>
      </c>
      <c r="H973" s="42" t="s">
        <v>9803</v>
      </c>
      <c r="I973" s="18">
        <f t="shared" si="5"/>
        <v>45979</v>
      </c>
      <c r="J973" s="19" t="s">
        <v>28</v>
      </c>
      <c r="K973" s="19" t="s">
        <v>5170</v>
      </c>
      <c r="L973" s="40"/>
    </row>
    <row r="974" ht="22.5" customHeight="1">
      <c r="C974" s="19" t="s">
        <v>9749</v>
      </c>
      <c r="D974" s="39" t="s">
        <v>9804</v>
      </c>
      <c r="E974" s="43" t="s">
        <v>9805</v>
      </c>
      <c r="F974" s="43" t="s">
        <v>9806</v>
      </c>
      <c r="G974" s="43" t="s">
        <v>5939</v>
      </c>
      <c r="H974" s="42" t="s">
        <v>9807</v>
      </c>
      <c r="I974" s="18">
        <f t="shared" si="5"/>
        <v>45979</v>
      </c>
      <c r="J974" s="19" t="s">
        <v>28</v>
      </c>
      <c r="K974" s="19" t="s">
        <v>5170</v>
      </c>
      <c r="L974" s="40"/>
    </row>
    <row r="975" ht="22.5" customHeight="1">
      <c r="C975" s="19" t="s">
        <v>9749</v>
      </c>
      <c r="D975" s="39" t="s">
        <v>9808</v>
      </c>
      <c r="E975" s="43" t="s">
        <v>9809</v>
      </c>
      <c r="F975" s="43" t="s">
        <v>9810</v>
      </c>
      <c r="G975" s="43" t="s">
        <v>5957</v>
      </c>
      <c r="H975" s="44">
        <v>6.465784513E9</v>
      </c>
      <c r="I975" s="18">
        <f t="shared" si="5"/>
        <v>45979</v>
      </c>
      <c r="J975" s="19" t="s">
        <v>28</v>
      </c>
      <c r="K975" s="19" t="s">
        <v>5170</v>
      </c>
      <c r="L975" s="40"/>
    </row>
    <row r="976" ht="22.5" customHeight="1">
      <c r="C976" s="19" t="s">
        <v>9749</v>
      </c>
      <c r="D976" s="39" t="s">
        <v>9811</v>
      </c>
      <c r="E976" s="43" t="s">
        <v>9812</v>
      </c>
      <c r="F976" s="43" t="s">
        <v>1419</v>
      </c>
      <c r="G976" s="43" t="s">
        <v>5878</v>
      </c>
      <c r="H976" s="44">
        <v>9.176864498E9</v>
      </c>
      <c r="I976" s="18">
        <f t="shared" si="5"/>
        <v>45979</v>
      </c>
      <c r="J976" s="19" t="s">
        <v>28</v>
      </c>
      <c r="K976" s="19" t="s">
        <v>5170</v>
      </c>
      <c r="L976" s="40"/>
    </row>
    <row r="977" ht="22.5" customHeight="1">
      <c r="C977" s="19" t="s">
        <v>9749</v>
      </c>
      <c r="D977" s="39" t="s">
        <v>9813</v>
      </c>
      <c r="E977" s="43" t="s">
        <v>9814</v>
      </c>
      <c r="F977" s="43" t="s">
        <v>9815</v>
      </c>
      <c r="G977" s="43" t="s">
        <v>8343</v>
      </c>
      <c r="H977" s="42" t="s">
        <v>9816</v>
      </c>
      <c r="I977" s="18">
        <f t="shared" si="5"/>
        <v>45979</v>
      </c>
      <c r="J977" s="19" t="s">
        <v>28</v>
      </c>
      <c r="K977" s="19" t="s">
        <v>5170</v>
      </c>
      <c r="L977" s="40"/>
    </row>
    <row r="978" ht="22.5" customHeight="1">
      <c r="C978" s="19" t="s">
        <v>9749</v>
      </c>
      <c r="D978" s="39" t="s">
        <v>9817</v>
      </c>
      <c r="E978" s="43" t="s">
        <v>9818</v>
      </c>
      <c r="F978" s="43" t="s">
        <v>9819</v>
      </c>
      <c r="G978" s="43" t="s">
        <v>5929</v>
      </c>
      <c r="H978" s="42" t="s">
        <v>182</v>
      </c>
      <c r="I978" s="18">
        <f t="shared" si="5"/>
        <v>45979</v>
      </c>
      <c r="J978" s="19" t="s">
        <v>28</v>
      </c>
      <c r="K978" s="19" t="s">
        <v>5170</v>
      </c>
      <c r="L978" s="40"/>
    </row>
    <row r="979" ht="22.5" customHeight="1">
      <c r="C979" s="19" t="s">
        <v>9820</v>
      </c>
      <c r="D979" s="39" t="s">
        <v>9534</v>
      </c>
      <c r="E979" s="43" t="s">
        <v>9821</v>
      </c>
      <c r="F979" s="43" t="s">
        <v>9822</v>
      </c>
      <c r="G979" s="43" t="s">
        <v>8146</v>
      </c>
      <c r="H979" s="42" t="s">
        <v>9823</v>
      </c>
      <c r="I979" s="18">
        <f t="shared" si="5"/>
        <v>45979</v>
      </c>
      <c r="J979" s="19" t="s">
        <v>28</v>
      </c>
      <c r="K979" s="19" t="s">
        <v>5170</v>
      </c>
      <c r="L979" s="40"/>
    </row>
    <row r="980" ht="22.5" customHeight="1">
      <c r="C980" s="19" t="s">
        <v>9820</v>
      </c>
      <c r="D980" s="39" t="s">
        <v>9537</v>
      </c>
      <c r="E980" s="43" t="s">
        <v>9824</v>
      </c>
      <c r="F980" s="43" t="s">
        <v>9825</v>
      </c>
      <c r="G980" s="43" t="s">
        <v>5908</v>
      </c>
      <c r="H980" s="42" t="s">
        <v>9826</v>
      </c>
      <c r="I980" s="18">
        <f t="shared" si="5"/>
        <v>45979</v>
      </c>
      <c r="J980" s="19" t="s">
        <v>28</v>
      </c>
      <c r="K980" s="19" t="s">
        <v>5170</v>
      </c>
      <c r="L980" s="40"/>
    </row>
    <row r="981" ht="22.5" customHeight="1">
      <c r="C981" s="19" t="s">
        <v>9820</v>
      </c>
      <c r="D981" s="39" t="s">
        <v>9540</v>
      </c>
      <c r="E981" s="43" t="s">
        <v>9827</v>
      </c>
      <c r="F981" s="43" t="s">
        <v>9828</v>
      </c>
      <c r="G981" s="43" t="s">
        <v>9684</v>
      </c>
      <c r="H981" s="42" t="s">
        <v>9829</v>
      </c>
      <c r="I981" s="18">
        <f t="shared" si="5"/>
        <v>45979</v>
      </c>
      <c r="J981" s="19" t="s">
        <v>28</v>
      </c>
      <c r="K981" s="19" t="s">
        <v>5170</v>
      </c>
      <c r="L981" s="40"/>
    </row>
    <row r="982" ht="22.5" customHeight="1">
      <c r="C982" s="19" t="s">
        <v>9820</v>
      </c>
      <c r="D982" s="39" t="s">
        <v>9543</v>
      </c>
      <c r="E982" s="43" t="s">
        <v>9830</v>
      </c>
      <c r="F982" s="43" t="s">
        <v>9831</v>
      </c>
      <c r="G982" s="43" t="s">
        <v>5862</v>
      </c>
      <c r="H982" s="44">
        <v>2.128417699E9</v>
      </c>
      <c r="I982" s="18">
        <f t="shared" si="5"/>
        <v>45979</v>
      </c>
      <c r="J982" s="19" t="s">
        <v>28</v>
      </c>
      <c r="K982" s="19" t="s">
        <v>5170</v>
      </c>
      <c r="L982" s="40"/>
    </row>
    <row r="983" ht="22.5" customHeight="1">
      <c r="C983" s="19" t="s">
        <v>9820</v>
      </c>
      <c r="D983" s="39" t="s">
        <v>9547</v>
      </c>
      <c r="E983" s="43" t="s">
        <v>9832</v>
      </c>
      <c r="F983" s="43" t="s">
        <v>9833</v>
      </c>
      <c r="G983" s="43" t="s">
        <v>6094</v>
      </c>
      <c r="H983" s="44">
        <v>9.178064613E9</v>
      </c>
      <c r="I983" s="18">
        <f t="shared" si="5"/>
        <v>45979</v>
      </c>
      <c r="J983" s="19" t="s">
        <v>28</v>
      </c>
      <c r="K983" s="19" t="s">
        <v>5170</v>
      </c>
      <c r="L983" s="40"/>
    </row>
    <row r="984" ht="22.5" customHeight="1">
      <c r="C984" s="19" t="s">
        <v>9820</v>
      </c>
      <c r="D984" s="39" t="s">
        <v>9551</v>
      </c>
      <c r="E984" s="43" t="s">
        <v>9834</v>
      </c>
      <c r="F984" s="43" t="s">
        <v>9835</v>
      </c>
      <c r="G984" s="43" t="s">
        <v>6548</v>
      </c>
      <c r="H984" s="44">
        <v>2.404131528E9</v>
      </c>
      <c r="I984" s="18">
        <f t="shared" si="5"/>
        <v>45979</v>
      </c>
      <c r="J984" s="19" t="s">
        <v>28</v>
      </c>
      <c r="K984" s="19" t="s">
        <v>5170</v>
      </c>
      <c r="L984" s="40"/>
    </row>
    <row r="985" ht="22.5" customHeight="1">
      <c r="C985" s="19" t="s">
        <v>9820</v>
      </c>
      <c r="D985" s="39" t="s">
        <v>9554</v>
      </c>
      <c r="E985" s="43" t="s">
        <v>9836</v>
      </c>
      <c r="F985" s="43" t="s">
        <v>9837</v>
      </c>
      <c r="G985" s="43" t="s">
        <v>7398</v>
      </c>
      <c r="H985" s="44">
        <v>3.012007436E9</v>
      </c>
      <c r="I985" s="18">
        <f t="shared" si="5"/>
        <v>45979</v>
      </c>
      <c r="J985" s="19" t="s">
        <v>28</v>
      </c>
      <c r="K985" s="19" t="s">
        <v>5170</v>
      </c>
      <c r="L985" s="40"/>
    </row>
    <row r="986" ht="22.5" customHeight="1">
      <c r="C986" s="19" t="s">
        <v>9820</v>
      </c>
      <c r="D986" s="39" t="s">
        <v>9558</v>
      </c>
      <c r="E986" s="43" t="s">
        <v>9838</v>
      </c>
      <c r="F986" s="43" t="s">
        <v>9839</v>
      </c>
      <c r="G986" s="43" t="s">
        <v>9840</v>
      </c>
      <c r="H986" s="44">
        <v>9.173780192E9</v>
      </c>
      <c r="I986" s="18">
        <f t="shared" si="5"/>
        <v>45979</v>
      </c>
      <c r="J986" s="19" t="s">
        <v>28</v>
      </c>
      <c r="K986" s="19" t="s">
        <v>5170</v>
      </c>
      <c r="L986" s="4"/>
    </row>
    <row r="987" ht="22.5" customHeight="1">
      <c r="C987" s="19" t="s">
        <v>9820</v>
      </c>
      <c r="D987" s="39" t="s">
        <v>9561</v>
      </c>
      <c r="E987" s="43" t="s">
        <v>9841</v>
      </c>
      <c r="F987" s="48" t="s">
        <v>9842</v>
      </c>
      <c r="G987" s="43" t="s">
        <v>6581</v>
      </c>
      <c r="H987" s="44">
        <v>9.176567753E9</v>
      </c>
      <c r="I987" s="18">
        <f t="shared" si="5"/>
        <v>45979</v>
      </c>
      <c r="J987" s="19" t="s">
        <v>28</v>
      </c>
      <c r="K987" s="19" t="s">
        <v>5170</v>
      </c>
      <c r="L987" s="40"/>
    </row>
    <row r="988" ht="22.5" customHeight="1">
      <c r="C988" s="19" t="s">
        <v>9820</v>
      </c>
      <c r="D988" s="39" t="s">
        <v>9564</v>
      </c>
      <c r="E988" s="43" t="s">
        <v>9843</v>
      </c>
      <c r="F988" s="43" t="s">
        <v>9844</v>
      </c>
      <c r="G988" s="43" t="s">
        <v>5878</v>
      </c>
      <c r="H988" s="42" t="s">
        <v>9845</v>
      </c>
      <c r="I988" s="18">
        <f t="shared" si="5"/>
        <v>45979</v>
      </c>
      <c r="J988" s="19" t="s">
        <v>28</v>
      </c>
      <c r="K988" s="19" t="s">
        <v>5170</v>
      </c>
      <c r="L988" s="40"/>
    </row>
    <row r="989" ht="22.5" customHeight="1">
      <c r="C989" s="19" t="s">
        <v>9820</v>
      </c>
      <c r="D989" s="39" t="s">
        <v>9567</v>
      </c>
      <c r="E989" s="43" t="s">
        <v>9846</v>
      </c>
      <c r="F989" s="43" t="s">
        <v>9847</v>
      </c>
      <c r="G989" s="43" t="s">
        <v>5882</v>
      </c>
      <c r="H989" s="42" t="s">
        <v>9848</v>
      </c>
      <c r="I989" s="18">
        <f t="shared" si="5"/>
        <v>45979</v>
      </c>
      <c r="J989" s="19" t="s">
        <v>28</v>
      </c>
      <c r="K989" s="19" t="s">
        <v>5170</v>
      </c>
      <c r="L989" s="4"/>
    </row>
    <row r="990" ht="22.5" customHeight="1">
      <c r="C990" s="19" t="s">
        <v>9820</v>
      </c>
      <c r="D990" s="39" t="s">
        <v>9569</v>
      </c>
      <c r="E990" s="43" t="s">
        <v>9849</v>
      </c>
      <c r="F990" s="43" t="s">
        <v>1871</v>
      </c>
      <c r="G990" s="43" t="s">
        <v>5929</v>
      </c>
      <c r="H990" s="44">
        <v>9.173683094E9</v>
      </c>
      <c r="I990" s="18">
        <f t="shared" si="5"/>
        <v>45979</v>
      </c>
      <c r="J990" s="19" t="s">
        <v>28</v>
      </c>
      <c r="K990" s="19" t="s">
        <v>5170</v>
      </c>
      <c r="L990" s="40"/>
    </row>
    <row r="991" ht="22.5" customHeight="1">
      <c r="C991" s="19" t="s">
        <v>9820</v>
      </c>
      <c r="D991" s="39" t="s">
        <v>9573</v>
      </c>
      <c r="E991" s="43" t="s">
        <v>9850</v>
      </c>
      <c r="F991" s="43" t="s">
        <v>9851</v>
      </c>
      <c r="G991" s="43" t="s">
        <v>5820</v>
      </c>
      <c r="H991" s="42" t="s">
        <v>9852</v>
      </c>
      <c r="I991" s="18">
        <f t="shared" si="5"/>
        <v>45979</v>
      </c>
      <c r="J991" s="19" t="s">
        <v>28</v>
      </c>
      <c r="K991" s="19" t="s">
        <v>5170</v>
      </c>
      <c r="L991" s="40"/>
    </row>
    <row r="992" ht="22.5" customHeight="1">
      <c r="C992" s="19" t="s">
        <v>9820</v>
      </c>
      <c r="D992" s="39" t="s">
        <v>9577</v>
      </c>
      <c r="E992" s="43" t="s">
        <v>9853</v>
      </c>
      <c r="F992" s="43" t="s">
        <v>9854</v>
      </c>
      <c r="G992" s="43" t="s">
        <v>5949</v>
      </c>
      <c r="H992" s="42" t="s">
        <v>9855</v>
      </c>
      <c r="I992" s="18">
        <f t="shared" si="5"/>
        <v>45979</v>
      </c>
      <c r="J992" s="19" t="s">
        <v>28</v>
      </c>
      <c r="K992" s="19" t="s">
        <v>5170</v>
      </c>
      <c r="L992" s="40"/>
    </row>
    <row r="993" ht="22.5" customHeight="1">
      <c r="C993" s="19" t="s">
        <v>9820</v>
      </c>
      <c r="D993" s="39" t="s">
        <v>9581</v>
      </c>
      <c r="E993" s="43" t="s">
        <v>9856</v>
      </c>
      <c r="F993" s="43" t="s">
        <v>9857</v>
      </c>
      <c r="G993" s="43" t="s">
        <v>5850</v>
      </c>
      <c r="H993" s="42" t="s">
        <v>9858</v>
      </c>
      <c r="I993" s="18">
        <f t="shared" si="5"/>
        <v>45979</v>
      </c>
      <c r="J993" s="19" t="s">
        <v>28</v>
      </c>
      <c r="K993" s="19" t="s">
        <v>5170</v>
      </c>
      <c r="L993" s="40"/>
    </row>
    <row r="994" ht="22.5" customHeight="1">
      <c r="C994" s="19" t="s">
        <v>9820</v>
      </c>
      <c r="D994" s="39" t="s">
        <v>9584</v>
      </c>
      <c r="E994" s="43" t="s">
        <v>9859</v>
      </c>
      <c r="F994" s="43" t="s">
        <v>9860</v>
      </c>
      <c r="G994" s="43" t="s">
        <v>5921</v>
      </c>
      <c r="H994" s="42" t="s">
        <v>9861</v>
      </c>
      <c r="I994" s="18">
        <f t="shared" si="5"/>
        <v>45979</v>
      </c>
      <c r="J994" s="19" t="s">
        <v>28</v>
      </c>
      <c r="K994" s="19" t="s">
        <v>5170</v>
      </c>
      <c r="L994" s="40"/>
    </row>
    <row r="995" ht="22.5" customHeight="1">
      <c r="C995" s="19" t="s">
        <v>9820</v>
      </c>
      <c r="D995" s="39" t="s">
        <v>9588</v>
      </c>
      <c r="E995" s="43" t="s">
        <v>9862</v>
      </c>
      <c r="F995" s="43" t="s">
        <v>9863</v>
      </c>
      <c r="G995" s="43" t="s">
        <v>5878</v>
      </c>
      <c r="H995" s="42" t="s">
        <v>9864</v>
      </c>
      <c r="I995" s="18">
        <f t="shared" si="5"/>
        <v>45979</v>
      </c>
      <c r="J995" s="19" t="s">
        <v>28</v>
      </c>
      <c r="K995" s="19" t="s">
        <v>5170</v>
      </c>
      <c r="L995" s="40"/>
    </row>
    <row r="996" ht="22.5" customHeight="1">
      <c r="C996" s="19" t="s">
        <v>9820</v>
      </c>
      <c r="D996" s="39" t="s">
        <v>9592</v>
      </c>
      <c r="E996" s="43" t="s">
        <v>9865</v>
      </c>
      <c r="F996" s="43" t="s">
        <v>9866</v>
      </c>
      <c r="G996" s="43" t="s">
        <v>6288</v>
      </c>
      <c r="H996" s="42" t="s">
        <v>9867</v>
      </c>
      <c r="I996" s="18">
        <f t="shared" si="5"/>
        <v>45979</v>
      </c>
      <c r="J996" s="19" t="s">
        <v>28</v>
      </c>
      <c r="K996" s="19" t="s">
        <v>5170</v>
      </c>
      <c r="L996" s="40"/>
    </row>
    <row r="997" ht="22.5" customHeight="1">
      <c r="C997" s="19" t="s">
        <v>9820</v>
      </c>
      <c r="D997" s="39" t="s">
        <v>9595</v>
      </c>
      <c r="E997" s="43" t="s">
        <v>9868</v>
      </c>
      <c r="F997" s="43" t="s">
        <v>3071</v>
      </c>
      <c r="G997" s="43" t="s">
        <v>5866</v>
      </c>
      <c r="H997" s="44">
        <v>5.163618981E9</v>
      </c>
      <c r="I997" s="18">
        <f t="shared" si="5"/>
        <v>45979</v>
      </c>
      <c r="J997" s="19" t="s">
        <v>28</v>
      </c>
      <c r="K997" s="19" t="s">
        <v>5170</v>
      </c>
      <c r="L997" s="4"/>
    </row>
    <row r="998" ht="22.5" customHeight="1">
      <c r="C998" s="19" t="s">
        <v>9820</v>
      </c>
      <c r="D998" s="39" t="s">
        <v>9599</v>
      </c>
      <c r="E998" s="43" t="s">
        <v>9869</v>
      </c>
      <c r="F998" s="43" t="s">
        <v>9870</v>
      </c>
      <c r="G998" s="43" t="s">
        <v>6348</v>
      </c>
      <c r="H998" s="44">
        <v>3.477038066E9</v>
      </c>
      <c r="I998" s="18">
        <f t="shared" si="5"/>
        <v>45979</v>
      </c>
      <c r="J998" s="19" t="s">
        <v>28</v>
      </c>
      <c r="K998" s="19" t="s">
        <v>5170</v>
      </c>
      <c r="L998" s="40"/>
    </row>
    <row r="999" ht="22.5" customHeight="1">
      <c r="C999" s="19" t="s">
        <v>9871</v>
      </c>
      <c r="D999" s="39" t="s">
        <v>9534</v>
      </c>
      <c r="E999" s="43" t="s">
        <v>9872</v>
      </c>
      <c r="F999" s="43" t="s">
        <v>9873</v>
      </c>
      <c r="G999" s="43" t="s">
        <v>6063</v>
      </c>
      <c r="H999" s="42" t="s">
        <v>9874</v>
      </c>
      <c r="I999" s="18">
        <f t="shared" si="5"/>
        <v>45979</v>
      </c>
      <c r="J999" s="19" t="s">
        <v>28</v>
      </c>
      <c r="K999" s="19" t="s">
        <v>5170</v>
      </c>
      <c r="L999" s="40"/>
    </row>
    <row r="1000" ht="22.5" customHeight="1">
      <c r="C1000" s="19" t="s">
        <v>9871</v>
      </c>
      <c r="D1000" s="39" t="s">
        <v>9537</v>
      </c>
      <c r="E1000" s="43" t="s">
        <v>9875</v>
      </c>
      <c r="F1000" s="43" t="s">
        <v>9876</v>
      </c>
      <c r="G1000" s="43" t="s">
        <v>5850</v>
      </c>
      <c r="H1000" s="42" t="s">
        <v>9877</v>
      </c>
      <c r="I1000" s="18">
        <f t="shared" si="5"/>
        <v>45979</v>
      </c>
      <c r="J1000" s="19" t="s">
        <v>28</v>
      </c>
      <c r="K1000" s="19" t="s">
        <v>5170</v>
      </c>
      <c r="L1000" s="40"/>
    </row>
    <row r="1001" ht="22.5" customHeight="1">
      <c r="C1001" s="19" t="s">
        <v>9871</v>
      </c>
      <c r="D1001" s="39" t="s">
        <v>9540</v>
      </c>
      <c r="E1001" s="43" t="s">
        <v>9878</v>
      </c>
      <c r="F1001" s="43" t="s">
        <v>9879</v>
      </c>
      <c r="G1001" s="43" t="s">
        <v>5949</v>
      </c>
      <c r="H1001" s="42" t="s">
        <v>9880</v>
      </c>
      <c r="I1001" s="18">
        <f t="shared" si="5"/>
        <v>45979</v>
      </c>
      <c r="J1001" s="19" t="s">
        <v>28</v>
      </c>
      <c r="K1001" s="19" t="s">
        <v>5170</v>
      </c>
      <c r="L1001" s="40"/>
    </row>
    <row r="1002" ht="22.5" customHeight="1">
      <c r="C1002" s="19" t="s">
        <v>9871</v>
      </c>
      <c r="D1002" s="39" t="s">
        <v>9543</v>
      </c>
      <c r="E1002" s="43" t="s">
        <v>9881</v>
      </c>
      <c r="F1002" s="43" t="s">
        <v>9882</v>
      </c>
      <c r="G1002" s="43" t="s">
        <v>6232</v>
      </c>
      <c r="H1002" s="42" t="s">
        <v>9883</v>
      </c>
      <c r="I1002" s="18">
        <f t="shared" si="5"/>
        <v>45979</v>
      </c>
      <c r="J1002" s="19" t="s">
        <v>28</v>
      </c>
      <c r="K1002" s="19" t="s">
        <v>5170</v>
      </c>
      <c r="L1002" s="40"/>
    </row>
    <row r="1003" ht="22.5" customHeight="1">
      <c r="C1003" s="19" t="s">
        <v>9871</v>
      </c>
      <c r="D1003" s="39" t="s">
        <v>9547</v>
      </c>
      <c r="E1003" s="43" t="s">
        <v>9884</v>
      </c>
      <c r="F1003" s="43" t="s">
        <v>9885</v>
      </c>
      <c r="G1003" s="43" t="s">
        <v>6043</v>
      </c>
      <c r="H1003" s="42" t="s">
        <v>9886</v>
      </c>
      <c r="I1003" s="18">
        <f t="shared" si="5"/>
        <v>45979</v>
      </c>
      <c r="J1003" s="19" t="s">
        <v>28</v>
      </c>
      <c r="K1003" s="19" t="s">
        <v>5170</v>
      </c>
      <c r="L1003" s="40"/>
    </row>
    <row r="1004" ht="22.5" customHeight="1">
      <c r="C1004" s="19" t="s">
        <v>9871</v>
      </c>
      <c r="D1004" s="39" t="s">
        <v>9551</v>
      </c>
      <c r="E1004" s="43" t="s">
        <v>9887</v>
      </c>
      <c r="F1004" s="43" t="s">
        <v>9888</v>
      </c>
      <c r="G1004" s="43" t="s">
        <v>7398</v>
      </c>
      <c r="H1004" s="44">
        <v>9.174282659E9</v>
      </c>
      <c r="I1004" s="18">
        <f t="shared" si="5"/>
        <v>45979</v>
      </c>
      <c r="J1004" s="19" t="s">
        <v>28</v>
      </c>
      <c r="K1004" s="19" t="s">
        <v>5170</v>
      </c>
      <c r="L1004" s="40"/>
    </row>
    <row r="1005" ht="22.5" customHeight="1">
      <c r="C1005" s="19" t="s">
        <v>9871</v>
      </c>
      <c r="D1005" s="39" t="s">
        <v>9554</v>
      </c>
      <c r="E1005" s="43" t="s">
        <v>9889</v>
      </c>
      <c r="F1005" s="43" t="s">
        <v>9890</v>
      </c>
      <c r="G1005" s="43" t="s">
        <v>5870</v>
      </c>
      <c r="H1005" s="42" t="s">
        <v>9891</v>
      </c>
      <c r="I1005" s="18">
        <f t="shared" si="5"/>
        <v>45979</v>
      </c>
      <c r="J1005" s="19" t="s">
        <v>28</v>
      </c>
      <c r="K1005" s="19" t="s">
        <v>5170</v>
      </c>
      <c r="L1005" s="40"/>
    </row>
    <row r="1006" ht="22.5" customHeight="1">
      <c r="C1006" s="19" t="s">
        <v>9871</v>
      </c>
      <c r="D1006" s="39" t="s">
        <v>9558</v>
      </c>
      <c r="E1006" s="43" t="s">
        <v>9892</v>
      </c>
      <c r="F1006" s="43" t="s">
        <v>9893</v>
      </c>
      <c r="G1006" s="43" t="s">
        <v>8748</v>
      </c>
      <c r="H1006" s="42" t="s">
        <v>9894</v>
      </c>
      <c r="I1006" s="18">
        <f t="shared" si="5"/>
        <v>45979</v>
      </c>
      <c r="J1006" s="19" t="s">
        <v>28</v>
      </c>
      <c r="K1006" s="19" t="s">
        <v>5170</v>
      </c>
      <c r="L1006" s="40"/>
    </row>
    <row r="1007" ht="22.5" customHeight="1">
      <c r="C1007" s="19" t="s">
        <v>9871</v>
      </c>
      <c r="D1007" s="39" t="s">
        <v>9561</v>
      </c>
      <c r="E1007" s="43" t="s">
        <v>9895</v>
      </c>
      <c r="F1007" s="43" t="s">
        <v>9896</v>
      </c>
      <c r="G1007" s="43" t="s">
        <v>5866</v>
      </c>
      <c r="H1007" s="42" t="s">
        <v>9897</v>
      </c>
      <c r="I1007" s="18">
        <f t="shared" si="5"/>
        <v>45979</v>
      </c>
      <c r="J1007" s="19" t="s">
        <v>28</v>
      </c>
      <c r="K1007" s="19" t="s">
        <v>5170</v>
      </c>
      <c r="L1007" s="40"/>
    </row>
    <row r="1008" ht="22.5" customHeight="1">
      <c r="C1008" s="19" t="s">
        <v>9871</v>
      </c>
      <c r="D1008" s="39" t="s">
        <v>9564</v>
      </c>
      <c r="E1008" s="43" t="s">
        <v>9898</v>
      </c>
      <c r="F1008" s="43" t="s">
        <v>9899</v>
      </c>
      <c r="G1008" s="43" t="s">
        <v>6257</v>
      </c>
      <c r="H1008" s="44">
        <v>9.176993204E9</v>
      </c>
      <c r="I1008" s="18">
        <f t="shared" si="5"/>
        <v>45979</v>
      </c>
      <c r="J1008" s="19" t="s">
        <v>28</v>
      </c>
      <c r="K1008" s="19" t="s">
        <v>5170</v>
      </c>
      <c r="L1008" s="40"/>
    </row>
    <row r="1009" ht="22.5" customHeight="1">
      <c r="C1009" s="19" t="s">
        <v>9871</v>
      </c>
      <c r="D1009" s="39" t="s">
        <v>9567</v>
      </c>
      <c r="E1009" s="43" t="s">
        <v>9900</v>
      </c>
      <c r="F1009" s="43" t="s">
        <v>1419</v>
      </c>
      <c r="G1009" s="43" t="s">
        <v>5878</v>
      </c>
      <c r="H1009" s="44">
        <v>9.176988686E9</v>
      </c>
      <c r="I1009" s="18">
        <f t="shared" si="5"/>
        <v>45979</v>
      </c>
      <c r="J1009" s="19" t="s">
        <v>28</v>
      </c>
      <c r="K1009" s="19" t="s">
        <v>5170</v>
      </c>
      <c r="L1009" s="40"/>
    </row>
    <row r="1010" ht="22.5" customHeight="1">
      <c r="C1010" s="19" t="s">
        <v>9871</v>
      </c>
      <c r="D1010" s="39" t="s">
        <v>9569</v>
      </c>
      <c r="E1010" s="43" t="s">
        <v>9901</v>
      </c>
      <c r="F1010" s="43" t="s">
        <v>2951</v>
      </c>
      <c r="G1010" s="43" t="s">
        <v>5866</v>
      </c>
      <c r="H1010" s="44">
        <v>2.122360006E9</v>
      </c>
      <c r="I1010" s="18">
        <f t="shared" si="5"/>
        <v>45979</v>
      </c>
      <c r="J1010" s="19" t="s">
        <v>28</v>
      </c>
      <c r="K1010" s="19" t="s">
        <v>5170</v>
      </c>
      <c r="L1010" s="40"/>
    </row>
    <row r="1011" ht="22.5" customHeight="1">
      <c r="C1011" s="19" t="s">
        <v>9871</v>
      </c>
      <c r="D1011" s="39" t="s">
        <v>9573</v>
      </c>
      <c r="E1011" s="43" t="s">
        <v>9902</v>
      </c>
      <c r="F1011" s="43" t="s">
        <v>1419</v>
      </c>
      <c r="G1011" s="43" t="s">
        <v>5878</v>
      </c>
      <c r="H1011" s="42" t="s">
        <v>9903</v>
      </c>
      <c r="I1011" s="18">
        <f t="shared" si="5"/>
        <v>45979</v>
      </c>
      <c r="J1011" s="19" t="s">
        <v>28</v>
      </c>
      <c r="K1011" s="19" t="s">
        <v>5170</v>
      </c>
      <c r="L1011" s="40"/>
    </row>
    <row r="1012" ht="22.5" customHeight="1">
      <c r="C1012" s="19" t="s">
        <v>9871</v>
      </c>
      <c r="D1012" s="39" t="s">
        <v>9577</v>
      </c>
      <c r="E1012" s="43" t="s">
        <v>9904</v>
      </c>
      <c r="F1012" s="43" t="s">
        <v>9905</v>
      </c>
      <c r="G1012" s="43" t="s">
        <v>7039</v>
      </c>
      <c r="H1012" s="42" t="s">
        <v>182</v>
      </c>
      <c r="I1012" s="18">
        <f t="shared" si="5"/>
        <v>45979</v>
      </c>
      <c r="J1012" s="19" t="s">
        <v>28</v>
      </c>
      <c r="K1012" s="19" t="s">
        <v>5170</v>
      </c>
      <c r="L1012" s="40"/>
    </row>
    <row r="1013" ht="22.5" customHeight="1">
      <c r="C1013" s="19" t="s">
        <v>9871</v>
      </c>
      <c r="D1013" s="39" t="s">
        <v>9581</v>
      </c>
      <c r="E1013" s="43" t="s">
        <v>9906</v>
      </c>
      <c r="F1013" s="43" t="s">
        <v>9907</v>
      </c>
      <c r="G1013" s="43" t="s">
        <v>5878</v>
      </c>
      <c r="H1013" s="42" t="s">
        <v>9908</v>
      </c>
      <c r="I1013" s="18">
        <f t="shared" si="5"/>
        <v>45979</v>
      </c>
      <c r="J1013" s="19" t="s">
        <v>28</v>
      </c>
      <c r="K1013" s="19" t="s">
        <v>5170</v>
      </c>
      <c r="L1013" s="40"/>
    </row>
    <row r="1014" ht="22.5" customHeight="1">
      <c r="C1014" s="19" t="s">
        <v>9871</v>
      </c>
      <c r="D1014" s="39" t="s">
        <v>9584</v>
      </c>
      <c r="E1014" s="43" t="s">
        <v>9909</v>
      </c>
      <c r="F1014" s="43" t="s">
        <v>9910</v>
      </c>
      <c r="G1014" s="43" t="s">
        <v>5878</v>
      </c>
      <c r="H1014" s="42" t="s">
        <v>9911</v>
      </c>
      <c r="I1014" s="18">
        <f t="shared" si="5"/>
        <v>45979</v>
      </c>
      <c r="J1014" s="19" t="s">
        <v>28</v>
      </c>
      <c r="K1014" s="19" t="s">
        <v>5170</v>
      </c>
      <c r="L1014" s="40"/>
    </row>
    <row r="1015" ht="22.5" customHeight="1">
      <c r="C1015" s="19" t="s">
        <v>9871</v>
      </c>
      <c r="D1015" s="39" t="s">
        <v>9588</v>
      </c>
      <c r="E1015" s="43" t="s">
        <v>9912</v>
      </c>
      <c r="F1015" s="43" t="s">
        <v>9913</v>
      </c>
      <c r="G1015" s="43" t="s">
        <v>6004</v>
      </c>
      <c r="H1015" s="42" t="s">
        <v>9914</v>
      </c>
      <c r="I1015" s="18">
        <f t="shared" si="5"/>
        <v>45979</v>
      </c>
      <c r="J1015" s="19" t="s">
        <v>28</v>
      </c>
      <c r="K1015" s="19" t="s">
        <v>5170</v>
      </c>
      <c r="L1015" s="40"/>
    </row>
    <row r="1016" ht="22.5" customHeight="1">
      <c r="C1016" s="19" t="s">
        <v>9871</v>
      </c>
      <c r="D1016" s="39" t="s">
        <v>9592</v>
      </c>
      <c r="E1016" s="43" t="s">
        <v>9915</v>
      </c>
      <c r="F1016" s="43" t="s">
        <v>9916</v>
      </c>
      <c r="G1016" s="43" t="s">
        <v>5939</v>
      </c>
      <c r="H1016" s="42" t="s">
        <v>9917</v>
      </c>
      <c r="I1016" s="18">
        <f t="shared" si="5"/>
        <v>45979</v>
      </c>
      <c r="J1016" s="19" t="s">
        <v>28</v>
      </c>
      <c r="K1016" s="19" t="s">
        <v>5170</v>
      </c>
      <c r="L1016" s="40"/>
    </row>
    <row r="1017" ht="22.5" customHeight="1">
      <c r="C1017" s="19" t="s">
        <v>9871</v>
      </c>
      <c r="D1017" s="39" t="s">
        <v>9595</v>
      </c>
      <c r="E1017" s="43" t="s">
        <v>9918</v>
      </c>
      <c r="F1017" s="43" t="s">
        <v>7294</v>
      </c>
      <c r="G1017" s="43" t="s">
        <v>5929</v>
      </c>
      <c r="H1017" s="42" t="s">
        <v>9919</v>
      </c>
      <c r="I1017" s="18">
        <f t="shared" si="5"/>
        <v>45979</v>
      </c>
      <c r="J1017" s="19" t="s">
        <v>28</v>
      </c>
      <c r="K1017" s="19" t="s">
        <v>5170</v>
      </c>
      <c r="L1017" s="40"/>
    </row>
    <row r="1018" ht="22.5" customHeight="1">
      <c r="C1018" s="19" t="s">
        <v>9871</v>
      </c>
      <c r="D1018" s="39" t="s">
        <v>9599</v>
      </c>
      <c r="E1018" s="43" t="s">
        <v>9920</v>
      </c>
      <c r="F1018" s="43" t="s">
        <v>9921</v>
      </c>
      <c r="G1018" s="43" t="s">
        <v>6459</v>
      </c>
      <c r="H1018" s="42" t="s">
        <v>9922</v>
      </c>
      <c r="I1018" s="18">
        <f t="shared" si="5"/>
        <v>45979</v>
      </c>
      <c r="J1018" s="19" t="s">
        <v>28</v>
      </c>
      <c r="K1018" s="19" t="s">
        <v>5170</v>
      </c>
      <c r="L1018" s="40"/>
    </row>
    <row r="1019" ht="22.5" customHeight="1">
      <c r="C1019" s="19" t="s">
        <v>9871</v>
      </c>
      <c r="D1019" s="39" t="s">
        <v>9656</v>
      </c>
      <c r="E1019" s="43" t="s">
        <v>9923</v>
      </c>
      <c r="F1019" s="43" t="s">
        <v>9923</v>
      </c>
      <c r="G1019" s="43" t="s">
        <v>5820</v>
      </c>
      <c r="H1019" s="42" t="s">
        <v>9924</v>
      </c>
      <c r="I1019" s="18">
        <f t="shared" si="5"/>
        <v>45979</v>
      </c>
      <c r="J1019" s="19" t="s">
        <v>28</v>
      </c>
      <c r="K1019" s="19" t="s">
        <v>5170</v>
      </c>
      <c r="L1019" s="40"/>
    </row>
    <row r="1020" ht="22.5" customHeight="1">
      <c r="C1020" s="19" t="s">
        <v>9871</v>
      </c>
      <c r="D1020" s="39" t="s">
        <v>9660</v>
      </c>
      <c r="E1020" s="43" t="s">
        <v>9925</v>
      </c>
      <c r="F1020" s="43" t="s">
        <v>9926</v>
      </c>
      <c r="G1020" s="43" t="s">
        <v>7030</v>
      </c>
      <c r="H1020" s="42" t="s">
        <v>9927</v>
      </c>
      <c r="I1020" s="18">
        <f t="shared" si="5"/>
        <v>45979</v>
      </c>
      <c r="J1020" s="19" t="s">
        <v>28</v>
      </c>
      <c r="K1020" s="19" t="s">
        <v>5170</v>
      </c>
      <c r="L1020" s="40"/>
    </row>
    <row r="1021" ht="22.5" customHeight="1">
      <c r="C1021" s="19" t="s">
        <v>9871</v>
      </c>
      <c r="D1021" s="39" t="s">
        <v>9664</v>
      </c>
      <c r="E1021" s="43" t="s">
        <v>9928</v>
      </c>
      <c r="F1021" s="43" t="s">
        <v>9929</v>
      </c>
      <c r="G1021" s="43" t="s">
        <v>6288</v>
      </c>
      <c r="H1021" s="42" t="s">
        <v>182</v>
      </c>
      <c r="I1021" s="18">
        <f t="shared" si="5"/>
        <v>45979</v>
      </c>
      <c r="J1021" s="19" t="s">
        <v>28</v>
      </c>
      <c r="K1021" s="19" t="s">
        <v>5170</v>
      </c>
      <c r="L1021" s="40"/>
    </row>
    <row r="1022" ht="22.5" customHeight="1">
      <c r="C1022" s="19" t="s">
        <v>9871</v>
      </c>
      <c r="D1022" s="39" t="s">
        <v>9668</v>
      </c>
      <c r="E1022" s="43" t="s">
        <v>9930</v>
      </c>
      <c r="F1022" s="43" t="s">
        <v>9931</v>
      </c>
      <c r="G1022" s="43" t="s">
        <v>8146</v>
      </c>
      <c r="H1022" s="42" t="s">
        <v>9932</v>
      </c>
      <c r="I1022" s="18">
        <f t="shared" si="5"/>
        <v>45979</v>
      </c>
      <c r="J1022" s="19" t="s">
        <v>28</v>
      </c>
      <c r="K1022" s="19" t="s">
        <v>5170</v>
      </c>
      <c r="L1022" s="40"/>
    </row>
    <row r="1023" ht="22.5" customHeight="1">
      <c r="C1023" s="19" t="s">
        <v>9871</v>
      </c>
      <c r="D1023" s="39" t="s">
        <v>9672</v>
      </c>
      <c r="E1023" s="43" t="s">
        <v>9933</v>
      </c>
      <c r="F1023" s="43" t="s">
        <v>5051</v>
      </c>
      <c r="G1023" s="43" t="s">
        <v>5949</v>
      </c>
      <c r="H1023" s="42" t="s">
        <v>9934</v>
      </c>
      <c r="I1023" s="18">
        <f t="shared" si="5"/>
        <v>45979</v>
      </c>
      <c r="J1023" s="19" t="s">
        <v>28</v>
      </c>
      <c r="K1023" s="19" t="s">
        <v>5170</v>
      </c>
      <c r="L1023" s="40"/>
    </row>
    <row r="1024" ht="22.5" customHeight="1">
      <c r="C1024" s="19" t="s">
        <v>9935</v>
      </c>
      <c r="D1024" s="39" t="s">
        <v>9534</v>
      </c>
      <c r="E1024" s="43" t="s">
        <v>9936</v>
      </c>
      <c r="F1024" s="43" t="s">
        <v>1419</v>
      </c>
      <c r="G1024" s="43" t="s">
        <v>5878</v>
      </c>
      <c r="H1024" s="42" t="s">
        <v>9937</v>
      </c>
      <c r="I1024" s="18">
        <f t="shared" ref="I1024:I1159" si="6">DATE(2025, 11, 19)</f>
        <v>45980</v>
      </c>
      <c r="J1024" s="19" t="s">
        <v>28</v>
      </c>
      <c r="K1024" s="19" t="s">
        <v>5170</v>
      </c>
      <c r="L1024" s="40"/>
    </row>
    <row r="1025" ht="22.5" customHeight="1">
      <c r="C1025" s="19" t="s">
        <v>9935</v>
      </c>
      <c r="D1025" s="39" t="s">
        <v>9537</v>
      </c>
      <c r="E1025" s="43" t="s">
        <v>9938</v>
      </c>
      <c r="F1025" s="43" t="s">
        <v>9939</v>
      </c>
      <c r="G1025" s="43" t="s">
        <v>5908</v>
      </c>
      <c r="H1025" s="42" t="s">
        <v>9940</v>
      </c>
      <c r="I1025" s="18">
        <f t="shared" si="6"/>
        <v>45980</v>
      </c>
      <c r="J1025" s="19" t="s">
        <v>28</v>
      </c>
      <c r="K1025" s="19" t="s">
        <v>5170</v>
      </c>
      <c r="L1025" s="40"/>
    </row>
    <row r="1026" ht="22.5" customHeight="1">
      <c r="C1026" s="19" t="s">
        <v>9935</v>
      </c>
      <c r="D1026" s="39" t="s">
        <v>9540</v>
      </c>
      <c r="E1026" s="43" t="s">
        <v>9941</v>
      </c>
      <c r="F1026" s="43" t="s">
        <v>9942</v>
      </c>
      <c r="G1026" s="43" t="s">
        <v>6004</v>
      </c>
      <c r="H1026" s="42" t="s">
        <v>9943</v>
      </c>
      <c r="I1026" s="18">
        <f t="shared" si="6"/>
        <v>45980</v>
      </c>
      <c r="J1026" s="19" t="s">
        <v>28</v>
      </c>
      <c r="K1026" s="19" t="s">
        <v>5170</v>
      </c>
      <c r="L1026" s="40"/>
    </row>
    <row r="1027" ht="22.5" customHeight="1">
      <c r="C1027" s="19" t="s">
        <v>9935</v>
      </c>
      <c r="D1027" s="39" t="s">
        <v>9543</v>
      </c>
      <c r="E1027" s="43" t="s">
        <v>9944</v>
      </c>
      <c r="F1027" s="43" t="s">
        <v>9945</v>
      </c>
      <c r="G1027" s="43" t="s">
        <v>5953</v>
      </c>
      <c r="H1027" s="42" t="s">
        <v>9946</v>
      </c>
      <c r="I1027" s="18">
        <f t="shared" si="6"/>
        <v>45980</v>
      </c>
      <c r="J1027" s="19" t="s">
        <v>28</v>
      </c>
      <c r="K1027" s="19" t="s">
        <v>5170</v>
      </c>
      <c r="L1027" s="40"/>
    </row>
    <row r="1028" ht="22.5" customHeight="1">
      <c r="C1028" s="19" t="s">
        <v>9935</v>
      </c>
      <c r="D1028" s="39" t="s">
        <v>9547</v>
      </c>
      <c r="E1028" s="43" t="s">
        <v>9947</v>
      </c>
      <c r="F1028" s="43" t="s">
        <v>9948</v>
      </c>
      <c r="G1028" s="43" t="s">
        <v>6063</v>
      </c>
      <c r="H1028" s="42" t="s">
        <v>9949</v>
      </c>
      <c r="I1028" s="18">
        <f t="shared" si="6"/>
        <v>45980</v>
      </c>
      <c r="J1028" s="19" t="s">
        <v>28</v>
      </c>
      <c r="K1028" s="19" t="s">
        <v>5170</v>
      </c>
      <c r="L1028" s="40"/>
    </row>
    <row r="1029" ht="22.5" customHeight="1">
      <c r="C1029" s="19" t="s">
        <v>9935</v>
      </c>
      <c r="D1029" s="39" t="s">
        <v>9551</v>
      </c>
      <c r="E1029" s="43" t="s">
        <v>9950</v>
      </c>
      <c r="F1029" s="43" t="s">
        <v>9951</v>
      </c>
      <c r="G1029" s="43" t="s">
        <v>5820</v>
      </c>
      <c r="H1029" s="42" t="s">
        <v>9952</v>
      </c>
      <c r="I1029" s="18">
        <f t="shared" si="6"/>
        <v>45980</v>
      </c>
      <c r="J1029" s="19" t="s">
        <v>28</v>
      </c>
      <c r="K1029" s="19" t="s">
        <v>5170</v>
      </c>
      <c r="L1029" s="40"/>
    </row>
    <row r="1030" ht="22.5" customHeight="1">
      <c r="C1030" s="19" t="s">
        <v>9935</v>
      </c>
      <c r="D1030" s="39" t="s">
        <v>9554</v>
      </c>
      <c r="E1030" s="43" t="s">
        <v>9953</v>
      </c>
      <c r="F1030" s="43" t="s">
        <v>9954</v>
      </c>
      <c r="G1030" s="43" t="s">
        <v>9955</v>
      </c>
      <c r="H1030" s="44">
        <v>2.125297159E9</v>
      </c>
      <c r="I1030" s="18">
        <f t="shared" si="6"/>
        <v>45980</v>
      </c>
      <c r="J1030" s="19" t="s">
        <v>28</v>
      </c>
      <c r="K1030" s="19" t="s">
        <v>5170</v>
      </c>
      <c r="L1030" s="40"/>
    </row>
    <row r="1031" ht="22.5" customHeight="1">
      <c r="C1031" s="19" t="s">
        <v>9935</v>
      </c>
      <c r="D1031" s="39" t="s">
        <v>9558</v>
      </c>
      <c r="E1031" s="43" t="s">
        <v>9956</v>
      </c>
      <c r="F1031" s="43" t="s">
        <v>9957</v>
      </c>
      <c r="G1031" s="43" t="s">
        <v>5957</v>
      </c>
      <c r="H1031" s="42" t="s">
        <v>9958</v>
      </c>
      <c r="I1031" s="18">
        <f t="shared" si="6"/>
        <v>45980</v>
      </c>
      <c r="J1031" s="19" t="s">
        <v>28</v>
      </c>
      <c r="K1031" s="19" t="s">
        <v>5170</v>
      </c>
      <c r="L1031" s="40"/>
    </row>
    <row r="1032" ht="22.5" customHeight="1">
      <c r="C1032" s="19" t="s">
        <v>9935</v>
      </c>
      <c r="D1032" s="39" t="s">
        <v>9561</v>
      </c>
      <c r="E1032" s="43" t="s">
        <v>9959</v>
      </c>
      <c r="F1032" s="43" t="s">
        <v>9960</v>
      </c>
      <c r="G1032" s="43" t="s">
        <v>5939</v>
      </c>
      <c r="H1032" s="42" t="s">
        <v>9961</v>
      </c>
      <c r="I1032" s="18">
        <f t="shared" si="6"/>
        <v>45980</v>
      </c>
      <c r="J1032" s="19" t="s">
        <v>28</v>
      </c>
      <c r="K1032" s="19" t="s">
        <v>5170</v>
      </c>
      <c r="L1032" s="40"/>
    </row>
    <row r="1033" ht="22.5" customHeight="1">
      <c r="C1033" s="19" t="s">
        <v>9935</v>
      </c>
      <c r="D1033" s="39" t="s">
        <v>9564</v>
      </c>
      <c r="E1033" s="43" t="s">
        <v>9962</v>
      </c>
      <c r="F1033" s="43" t="s">
        <v>9028</v>
      </c>
      <c r="G1033" s="43" t="s">
        <v>5878</v>
      </c>
      <c r="H1033" s="42" t="s">
        <v>9963</v>
      </c>
      <c r="I1033" s="18">
        <f t="shared" si="6"/>
        <v>45980</v>
      </c>
      <c r="J1033" s="19" t="s">
        <v>28</v>
      </c>
      <c r="K1033" s="19" t="s">
        <v>5170</v>
      </c>
      <c r="L1033" s="40"/>
    </row>
    <row r="1034" ht="22.5" customHeight="1">
      <c r="C1034" s="19" t="s">
        <v>9935</v>
      </c>
      <c r="D1034" s="39" t="s">
        <v>9567</v>
      </c>
      <c r="E1034" s="43" t="s">
        <v>9964</v>
      </c>
      <c r="F1034" s="43" t="s">
        <v>9965</v>
      </c>
      <c r="G1034" s="43" t="s">
        <v>5850</v>
      </c>
      <c r="H1034" s="42" t="s">
        <v>9966</v>
      </c>
      <c r="I1034" s="18">
        <f t="shared" si="6"/>
        <v>45980</v>
      </c>
      <c r="J1034" s="19" t="s">
        <v>28</v>
      </c>
      <c r="K1034" s="19" t="s">
        <v>5170</v>
      </c>
      <c r="L1034" s="40"/>
    </row>
    <row r="1035" ht="22.5" customHeight="1">
      <c r="C1035" s="19" t="s">
        <v>9935</v>
      </c>
      <c r="D1035" s="39" t="s">
        <v>9569</v>
      </c>
      <c r="E1035" s="43" t="s">
        <v>9967</v>
      </c>
      <c r="F1035" s="43" t="s">
        <v>9115</v>
      </c>
      <c r="G1035" s="43" t="s">
        <v>5882</v>
      </c>
      <c r="H1035" s="42" t="s">
        <v>9968</v>
      </c>
      <c r="I1035" s="18">
        <f t="shared" si="6"/>
        <v>45980</v>
      </c>
      <c r="J1035" s="19" t="s">
        <v>28</v>
      </c>
      <c r="K1035" s="19" t="s">
        <v>5170</v>
      </c>
      <c r="L1035" s="40"/>
    </row>
    <row r="1036" ht="22.5" customHeight="1">
      <c r="C1036" s="19" t="s">
        <v>9935</v>
      </c>
      <c r="D1036" s="39" t="s">
        <v>9573</v>
      </c>
      <c r="E1036" s="43" t="s">
        <v>9969</v>
      </c>
      <c r="F1036" s="43" t="s">
        <v>9970</v>
      </c>
      <c r="G1036" s="43" t="s">
        <v>5878</v>
      </c>
      <c r="H1036" s="42" t="s">
        <v>9971</v>
      </c>
      <c r="I1036" s="18">
        <f t="shared" si="6"/>
        <v>45980</v>
      </c>
      <c r="J1036" s="19" t="s">
        <v>28</v>
      </c>
      <c r="K1036" s="19" t="s">
        <v>5170</v>
      </c>
      <c r="L1036" s="40"/>
    </row>
    <row r="1037" ht="22.5" customHeight="1">
      <c r="C1037" s="19" t="s">
        <v>9935</v>
      </c>
      <c r="D1037" s="39" t="s">
        <v>9577</v>
      </c>
      <c r="E1037" s="43" t="s">
        <v>9972</v>
      </c>
      <c r="F1037" s="43" t="s">
        <v>9973</v>
      </c>
      <c r="G1037" s="43" t="s">
        <v>5929</v>
      </c>
      <c r="H1037" s="42" t="s">
        <v>9974</v>
      </c>
      <c r="I1037" s="18">
        <f t="shared" si="6"/>
        <v>45980</v>
      </c>
      <c r="J1037" s="19" t="s">
        <v>28</v>
      </c>
      <c r="K1037" s="19" t="s">
        <v>5170</v>
      </c>
      <c r="L1037" s="40"/>
    </row>
    <row r="1038" ht="22.5" customHeight="1">
      <c r="C1038" s="19" t="s">
        <v>9935</v>
      </c>
      <c r="D1038" s="39" t="s">
        <v>9581</v>
      </c>
      <c r="E1038" s="43" t="s">
        <v>9975</v>
      </c>
      <c r="F1038" s="43" t="s">
        <v>9976</v>
      </c>
      <c r="G1038" s="43" t="s">
        <v>5949</v>
      </c>
      <c r="H1038" s="44">
        <v>9.175580679E9</v>
      </c>
      <c r="I1038" s="18">
        <f t="shared" si="6"/>
        <v>45980</v>
      </c>
      <c r="J1038" s="19" t="s">
        <v>28</v>
      </c>
      <c r="K1038" s="19" t="s">
        <v>5170</v>
      </c>
      <c r="L1038" s="4"/>
    </row>
    <row r="1039" ht="22.5" customHeight="1">
      <c r="C1039" s="19" t="s">
        <v>9977</v>
      </c>
      <c r="D1039" s="39" t="s">
        <v>9534</v>
      </c>
      <c r="E1039" s="43" t="s">
        <v>9978</v>
      </c>
      <c r="F1039" s="43" t="s">
        <v>9979</v>
      </c>
      <c r="G1039" s="43" t="s">
        <v>5862</v>
      </c>
      <c r="H1039" s="44">
        <v>2.126960011E9</v>
      </c>
      <c r="I1039" s="18">
        <f t="shared" si="6"/>
        <v>45980</v>
      </c>
      <c r="J1039" s="19" t="s">
        <v>28</v>
      </c>
      <c r="K1039" s="19" t="s">
        <v>5170</v>
      </c>
      <c r="L1039" s="40"/>
    </row>
    <row r="1040" ht="22.5" customHeight="1">
      <c r="C1040" s="19" t="s">
        <v>9977</v>
      </c>
      <c r="D1040" s="39" t="s">
        <v>9537</v>
      </c>
      <c r="E1040" s="43" t="s">
        <v>9980</v>
      </c>
      <c r="F1040" s="43" t="s">
        <v>9981</v>
      </c>
      <c r="G1040" s="43" t="s">
        <v>5929</v>
      </c>
      <c r="H1040" s="42" t="s">
        <v>9982</v>
      </c>
      <c r="I1040" s="18">
        <f t="shared" si="6"/>
        <v>45980</v>
      </c>
      <c r="J1040" s="19" t="s">
        <v>28</v>
      </c>
      <c r="K1040" s="19" t="s">
        <v>5170</v>
      </c>
      <c r="L1040" s="40"/>
    </row>
    <row r="1041" ht="22.5" customHeight="1">
      <c r="C1041" s="19" t="s">
        <v>9977</v>
      </c>
      <c r="D1041" s="39" t="s">
        <v>9540</v>
      </c>
      <c r="E1041" s="43" t="s">
        <v>9983</v>
      </c>
      <c r="F1041" s="43" t="s">
        <v>9984</v>
      </c>
      <c r="G1041" s="43" t="s">
        <v>8880</v>
      </c>
      <c r="H1041" s="42" t="s">
        <v>9985</v>
      </c>
      <c r="I1041" s="18">
        <f t="shared" si="6"/>
        <v>45980</v>
      </c>
      <c r="J1041" s="19" t="s">
        <v>28</v>
      </c>
      <c r="K1041" s="19" t="s">
        <v>5170</v>
      </c>
      <c r="L1041" s="40"/>
    </row>
    <row r="1042" ht="22.5" customHeight="1">
      <c r="C1042" s="19" t="s">
        <v>9977</v>
      </c>
      <c r="D1042" s="39" t="s">
        <v>9543</v>
      </c>
      <c r="E1042" s="43" t="s">
        <v>9986</v>
      </c>
      <c r="F1042" s="43" t="s">
        <v>9987</v>
      </c>
      <c r="G1042" s="43" t="s">
        <v>5891</v>
      </c>
      <c r="H1042" s="44">
        <v>2.12650417E9</v>
      </c>
      <c r="I1042" s="18">
        <f t="shared" si="6"/>
        <v>45980</v>
      </c>
      <c r="J1042" s="19" t="s">
        <v>28</v>
      </c>
      <c r="K1042" s="19" t="s">
        <v>5170</v>
      </c>
      <c r="L1042" s="40"/>
    </row>
    <row r="1043" ht="22.5" customHeight="1">
      <c r="C1043" s="19" t="s">
        <v>9977</v>
      </c>
      <c r="D1043" s="39" t="s">
        <v>9547</v>
      </c>
      <c r="E1043" s="43" t="s">
        <v>9988</v>
      </c>
      <c r="F1043" s="43" t="s">
        <v>9989</v>
      </c>
      <c r="G1043" s="43" t="s">
        <v>5962</v>
      </c>
      <c r="H1043" s="42" t="s">
        <v>9990</v>
      </c>
      <c r="I1043" s="18">
        <f t="shared" si="6"/>
        <v>45980</v>
      </c>
      <c r="J1043" s="19" t="s">
        <v>28</v>
      </c>
      <c r="K1043" s="19" t="s">
        <v>5170</v>
      </c>
      <c r="L1043" s="40"/>
    </row>
    <row r="1044" ht="22.5" customHeight="1">
      <c r="C1044" s="19" t="s">
        <v>9977</v>
      </c>
      <c r="D1044" s="39" t="s">
        <v>9551</v>
      </c>
      <c r="E1044" s="43" t="s">
        <v>9991</v>
      </c>
      <c r="F1044" s="43" t="s">
        <v>9992</v>
      </c>
      <c r="G1044" s="43" t="s">
        <v>6181</v>
      </c>
      <c r="H1044" s="44">
        <v>6.465880082E9</v>
      </c>
      <c r="I1044" s="18">
        <f t="shared" si="6"/>
        <v>45980</v>
      </c>
      <c r="J1044" s="19" t="s">
        <v>28</v>
      </c>
      <c r="K1044" s="19" t="s">
        <v>5170</v>
      </c>
      <c r="L1044" s="4"/>
    </row>
    <row r="1045" ht="22.5" customHeight="1">
      <c r="C1045" s="19" t="s">
        <v>9977</v>
      </c>
      <c r="D1045" s="39" t="s">
        <v>9554</v>
      </c>
      <c r="E1045" s="43" t="s">
        <v>9993</v>
      </c>
      <c r="F1045" s="43" t="s">
        <v>9994</v>
      </c>
      <c r="G1045" s="43" t="s">
        <v>8980</v>
      </c>
      <c r="H1045" s="42" t="s">
        <v>9995</v>
      </c>
      <c r="I1045" s="18">
        <f t="shared" si="6"/>
        <v>45980</v>
      </c>
      <c r="J1045" s="19" t="s">
        <v>28</v>
      </c>
      <c r="K1045" s="19" t="s">
        <v>5170</v>
      </c>
      <c r="L1045" s="40"/>
    </row>
    <row r="1046" ht="22.5" customHeight="1">
      <c r="C1046" s="19" t="s">
        <v>9977</v>
      </c>
      <c r="D1046" s="39" t="s">
        <v>9558</v>
      </c>
      <c r="E1046" s="43" t="s">
        <v>9996</v>
      </c>
      <c r="F1046" s="43" t="s">
        <v>9997</v>
      </c>
      <c r="G1046" s="43" t="s">
        <v>5913</v>
      </c>
      <c r="H1046" s="44">
        <v>9.146991122E9</v>
      </c>
      <c r="I1046" s="18">
        <f t="shared" si="6"/>
        <v>45980</v>
      </c>
      <c r="J1046" s="19" t="s">
        <v>28</v>
      </c>
      <c r="K1046" s="19" t="s">
        <v>5170</v>
      </c>
      <c r="L1046" s="40"/>
    </row>
    <row r="1047" ht="22.5" customHeight="1">
      <c r="C1047" s="19" t="s">
        <v>9977</v>
      </c>
      <c r="D1047" s="39" t="s">
        <v>9561</v>
      </c>
      <c r="E1047" s="43" t="s">
        <v>9998</v>
      </c>
      <c r="F1047" s="43" t="s">
        <v>9999</v>
      </c>
      <c r="G1047" s="43" t="s">
        <v>10000</v>
      </c>
      <c r="H1047" s="42" t="s">
        <v>5878</v>
      </c>
      <c r="I1047" s="18">
        <f t="shared" si="6"/>
        <v>45980</v>
      </c>
      <c r="J1047" s="19" t="s">
        <v>28</v>
      </c>
      <c r="K1047" s="19" t="s">
        <v>5170</v>
      </c>
      <c r="L1047" s="40"/>
    </row>
    <row r="1048" ht="22.5" customHeight="1">
      <c r="C1048" s="19" t="s">
        <v>9977</v>
      </c>
      <c r="D1048" s="39" t="s">
        <v>9564</v>
      </c>
      <c r="E1048" s="43" t="s">
        <v>10001</v>
      </c>
      <c r="F1048" s="43" t="s">
        <v>10002</v>
      </c>
      <c r="G1048" s="43" t="s">
        <v>8640</v>
      </c>
      <c r="H1048" s="44">
        <v>2.124318447E9</v>
      </c>
      <c r="I1048" s="18">
        <f t="shared" si="6"/>
        <v>45980</v>
      </c>
      <c r="J1048" s="19" t="s">
        <v>28</v>
      </c>
      <c r="K1048" s="19" t="s">
        <v>5170</v>
      </c>
      <c r="L1048" s="40"/>
    </row>
    <row r="1049" ht="22.5" customHeight="1">
      <c r="C1049" s="19" t="s">
        <v>9977</v>
      </c>
      <c r="D1049" s="39" t="s">
        <v>9567</v>
      </c>
      <c r="E1049" s="43" t="s">
        <v>10003</v>
      </c>
      <c r="F1049" s="43" t="s">
        <v>10004</v>
      </c>
      <c r="G1049" s="43" t="s">
        <v>6372</v>
      </c>
      <c r="H1049" s="44">
        <v>9.177767566E9</v>
      </c>
      <c r="I1049" s="18">
        <f t="shared" si="6"/>
        <v>45980</v>
      </c>
      <c r="J1049" s="19" t="s">
        <v>28</v>
      </c>
      <c r="K1049" s="19" t="s">
        <v>5170</v>
      </c>
      <c r="L1049" s="40"/>
    </row>
    <row r="1050" ht="22.5" customHeight="1">
      <c r="C1050" s="19" t="s">
        <v>9977</v>
      </c>
      <c r="D1050" s="39" t="s">
        <v>9569</v>
      </c>
      <c r="E1050" s="43" t="s">
        <v>10005</v>
      </c>
      <c r="F1050" s="43" t="s">
        <v>10006</v>
      </c>
      <c r="G1050" s="43" t="s">
        <v>6155</v>
      </c>
      <c r="H1050" s="42" t="s">
        <v>10007</v>
      </c>
      <c r="I1050" s="18">
        <f t="shared" si="6"/>
        <v>45980</v>
      </c>
      <c r="J1050" s="19" t="s">
        <v>28</v>
      </c>
      <c r="K1050" s="19" t="s">
        <v>5170</v>
      </c>
      <c r="L1050" s="40"/>
    </row>
    <row r="1051" ht="22.5" customHeight="1">
      <c r="C1051" s="19" t="s">
        <v>9977</v>
      </c>
      <c r="D1051" s="39" t="s">
        <v>9573</v>
      </c>
      <c r="E1051" s="43" t="s">
        <v>10008</v>
      </c>
      <c r="F1051" s="48" t="s">
        <v>10009</v>
      </c>
      <c r="G1051" s="43" t="s">
        <v>5882</v>
      </c>
      <c r="H1051" s="44">
        <v>8.45381338E9</v>
      </c>
      <c r="I1051" s="18">
        <f t="shared" si="6"/>
        <v>45980</v>
      </c>
      <c r="J1051" s="19" t="s">
        <v>28</v>
      </c>
      <c r="K1051" s="19" t="s">
        <v>5170</v>
      </c>
      <c r="L1051" s="40"/>
    </row>
    <row r="1052" ht="22.5" customHeight="1">
      <c r="C1052" s="19" t="s">
        <v>9977</v>
      </c>
      <c r="D1052" s="39" t="s">
        <v>9577</v>
      </c>
      <c r="E1052" s="43" t="s">
        <v>10010</v>
      </c>
      <c r="F1052" s="43" t="s">
        <v>10011</v>
      </c>
      <c r="G1052" s="43" t="s">
        <v>6063</v>
      </c>
      <c r="H1052" s="42" t="s">
        <v>10012</v>
      </c>
      <c r="I1052" s="18">
        <f t="shared" si="6"/>
        <v>45980</v>
      </c>
      <c r="J1052" s="19" t="s">
        <v>28</v>
      </c>
      <c r="K1052" s="19" t="s">
        <v>5170</v>
      </c>
      <c r="L1052" s="40"/>
    </row>
    <row r="1053" ht="22.5" customHeight="1">
      <c r="C1053" s="19" t="s">
        <v>9977</v>
      </c>
      <c r="D1053" s="39" t="s">
        <v>9581</v>
      </c>
      <c r="E1053" s="43" t="s">
        <v>10013</v>
      </c>
      <c r="F1053" s="43" t="s">
        <v>10014</v>
      </c>
      <c r="G1053" s="43" t="s">
        <v>5834</v>
      </c>
      <c r="H1053" s="42" t="s">
        <v>10015</v>
      </c>
      <c r="I1053" s="18">
        <f t="shared" si="6"/>
        <v>45980</v>
      </c>
      <c r="J1053" s="19" t="s">
        <v>28</v>
      </c>
      <c r="K1053" s="19" t="s">
        <v>5170</v>
      </c>
      <c r="L1053" s="40"/>
    </row>
    <row r="1054" ht="22.5" customHeight="1">
      <c r="C1054" s="19" t="s">
        <v>9977</v>
      </c>
      <c r="D1054" s="39" t="s">
        <v>9584</v>
      </c>
      <c r="E1054" s="43" t="s">
        <v>10016</v>
      </c>
      <c r="F1054" s="43" t="s">
        <v>10017</v>
      </c>
      <c r="G1054" s="43" t="s">
        <v>5917</v>
      </c>
      <c r="H1054" s="44">
        <v>2.034614374E9</v>
      </c>
      <c r="I1054" s="18">
        <f t="shared" si="6"/>
        <v>45980</v>
      </c>
      <c r="J1054" s="19" t="s">
        <v>28</v>
      </c>
      <c r="K1054" s="19" t="s">
        <v>5170</v>
      </c>
      <c r="L1054" s="40"/>
    </row>
    <row r="1055" ht="22.5" customHeight="1">
      <c r="C1055" s="19" t="s">
        <v>9977</v>
      </c>
      <c r="D1055" s="39" t="s">
        <v>9588</v>
      </c>
      <c r="E1055" s="43" t="s">
        <v>10018</v>
      </c>
      <c r="F1055" s="43" t="s">
        <v>10018</v>
      </c>
      <c r="G1055" s="43" t="s">
        <v>7039</v>
      </c>
      <c r="H1055" s="42" t="s">
        <v>10019</v>
      </c>
      <c r="I1055" s="18">
        <f t="shared" si="6"/>
        <v>45980</v>
      </c>
      <c r="J1055" s="19" t="s">
        <v>28</v>
      </c>
      <c r="K1055" s="19" t="s">
        <v>5170</v>
      </c>
      <c r="L1055" s="40"/>
    </row>
    <row r="1056" ht="22.5" customHeight="1">
      <c r="C1056" s="19" t="s">
        <v>9977</v>
      </c>
      <c r="D1056" s="39" t="s">
        <v>9592</v>
      </c>
      <c r="E1056" s="43" t="s">
        <v>10020</v>
      </c>
      <c r="F1056" s="43" t="s">
        <v>10020</v>
      </c>
      <c r="G1056" s="43" t="s">
        <v>6192</v>
      </c>
      <c r="H1056" s="42" t="s">
        <v>10021</v>
      </c>
      <c r="I1056" s="18">
        <f t="shared" si="6"/>
        <v>45980</v>
      </c>
      <c r="J1056" s="19" t="s">
        <v>28</v>
      </c>
      <c r="K1056" s="19" t="s">
        <v>5170</v>
      </c>
      <c r="L1056" s="40"/>
    </row>
    <row r="1057" ht="22.5" customHeight="1">
      <c r="C1057" s="19" t="s">
        <v>9977</v>
      </c>
      <c r="D1057" s="39" t="s">
        <v>9595</v>
      </c>
      <c r="E1057" s="43" t="s">
        <v>10022</v>
      </c>
      <c r="F1057" s="43" t="s">
        <v>10023</v>
      </c>
      <c r="G1057" s="43" t="s">
        <v>5816</v>
      </c>
      <c r="H1057" s="44">
        <v>9.174002914E9</v>
      </c>
      <c r="I1057" s="18">
        <f t="shared" si="6"/>
        <v>45980</v>
      </c>
      <c r="J1057" s="19" t="s">
        <v>28</v>
      </c>
      <c r="K1057" s="19" t="s">
        <v>5170</v>
      </c>
      <c r="L1057" s="40"/>
    </row>
    <row r="1058" ht="22.5" customHeight="1">
      <c r="C1058" s="19" t="s">
        <v>9977</v>
      </c>
      <c r="D1058" s="39" t="s">
        <v>9599</v>
      </c>
      <c r="E1058" s="43" t="s">
        <v>10024</v>
      </c>
      <c r="F1058" s="43" t="s">
        <v>1419</v>
      </c>
      <c r="G1058" s="43" t="s">
        <v>8767</v>
      </c>
      <c r="H1058" s="42" t="s">
        <v>10025</v>
      </c>
      <c r="I1058" s="18">
        <f t="shared" si="6"/>
        <v>45980</v>
      </c>
      <c r="J1058" s="19" t="s">
        <v>28</v>
      </c>
      <c r="K1058" s="19" t="s">
        <v>5170</v>
      </c>
      <c r="L1058" s="40"/>
    </row>
    <row r="1059" ht="22.5" customHeight="1">
      <c r="C1059" s="19" t="s">
        <v>9977</v>
      </c>
      <c r="D1059" s="39" t="s">
        <v>9656</v>
      </c>
      <c r="E1059" s="43" t="s">
        <v>10026</v>
      </c>
      <c r="F1059" s="43" t="s">
        <v>10027</v>
      </c>
      <c r="G1059" s="43" t="s">
        <v>6076</v>
      </c>
      <c r="H1059" s="44">
        <v>9.088948549E9</v>
      </c>
      <c r="I1059" s="18">
        <f t="shared" si="6"/>
        <v>45980</v>
      </c>
      <c r="J1059" s="19" t="s">
        <v>28</v>
      </c>
      <c r="K1059" s="19" t="s">
        <v>5170</v>
      </c>
      <c r="L1059" s="40"/>
    </row>
    <row r="1060" ht="22.5" customHeight="1">
      <c r="C1060" s="19" t="s">
        <v>9977</v>
      </c>
      <c r="D1060" s="39" t="s">
        <v>9660</v>
      </c>
      <c r="E1060" s="43" t="s">
        <v>10028</v>
      </c>
      <c r="F1060" s="43" t="s">
        <v>10028</v>
      </c>
      <c r="G1060" s="43" t="s">
        <v>5820</v>
      </c>
      <c r="H1060" s="42" t="s">
        <v>10029</v>
      </c>
      <c r="I1060" s="18">
        <f t="shared" si="6"/>
        <v>45980</v>
      </c>
      <c r="J1060" s="19" t="s">
        <v>28</v>
      </c>
      <c r="K1060" s="19" t="s">
        <v>5170</v>
      </c>
      <c r="L1060" s="40"/>
    </row>
    <row r="1061" ht="22.5" customHeight="1">
      <c r="C1061" s="19" t="s">
        <v>9977</v>
      </c>
      <c r="D1061" s="39" t="s">
        <v>9664</v>
      </c>
      <c r="E1061" s="43" t="s">
        <v>10030</v>
      </c>
      <c r="F1061" s="43" t="s">
        <v>6729</v>
      </c>
      <c r="G1061" s="43" t="s">
        <v>5939</v>
      </c>
      <c r="H1061" s="42" t="s">
        <v>10031</v>
      </c>
      <c r="I1061" s="18">
        <f t="shared" si="6"/>
        <v>45980</v>
      </c>
      <c r="J1061" s="19" t="s">
        <v>28</v>
      </c>
      <c r="K1061" s="19" t="s">
        <v>5170</v>
      </c>
      <c r="L1061" s="40"/>
    </row>
    <row r="1062" ht="22.5" customHeight="1">
      <c r="C1062" s="19" t="s">
        <v>9977</v>
      </c>
      <c r="D1062" s="39" t="s">
        <v>9668</v>
      </c>
      <c r="E1062" s="43" t="s">
        <v>10032</v>
      </c>
      <c r="F1062" s="43" t="s">
        <v>10033</v>
      </c>
      <c r="G1062" s="43" t="s">
        <v>5953</v>
      </c>
      <c r="H1062" s="42" t="s">
        <v>10034</v>
      </c>
      <c r="I1062" s="18">
        <f t="shared" si="6"/>
        <v>45980</v>
      </c>
      <c r="J1062" s="19" t="s">
        <v>28</v>
      </c>
      <c r="K1062" s="19" t="s">
        <v>5170</v>
      </c>
      <c r="L1062" s="40"/>
    </row>
    <row r="1063" ht="22.5" customHeight="1">
      <c r="C1063" s="19" t="s">
        <v>9977</v>
      </c>
      <c r="D1063" s="39" t="s">
        <v>9672</v>
      </c>
      <c r="E1063" s="43" t="s">
        <v>10035</v>
      </c>
      <c r="F1063" s="43" t="s">
        <v>10036</v>
      </c>
      <c r="G1063" s="43" t="s">
        <v>5957</v>
      </c>
      <c r="H1063" s="44">
        <v>6.312526001E9</v>
      </c>
      <c r="I1063" s="18">
        <f t="shared" si="6"/>
        <v>45980</v>
      </c>
      <c r="J1063" s="19" t="s">
        <v>28</v>
      </c>
      <c r="K1063" s="19" t="s">
        <v>5170</v>
      </c>
      <c r="L1063" s="4"/>
    </row>
    <row r="1064" ht="22.5" customHeight="1">
      <c r="C1064" s="19" t="s">
        <v>9977</v>
      </c>
      <c r="D1064" s="39" t="s">
        <v>9676</v>
      </c>
      <c r="E1064" s="43" t="s">
        <v>10037</v>
      </c>
      <c r="F1064" s="43" t="s">
        <v>10038</v>
      </c>
      <c r="G1064" s="43" t="s">
        <v>6422</v>
      </c>
      <c r="H1064" s="44">
        <v>9.176552053E9</v>
      </c>
      <c r="I1064" s="18">
        <f t="shared" si="6"/>
        <v>45980</v>
      </c>
      <c r="J1064" s="19" t="s">
        <v>28</v>
      </c>
      <c r="K1064" s="19" t="s">
        <v>5170</v>
      </c>
      <c r="L1064" s="40"/>
    </row>
    <row r="1065" ht="22.5" customHeight="1">
      <c r="C1065" s="19" t="s">
        <v>9977</v>
      </c>
      <c r="D1065" s="39" t="s">
        <v>9679</v>
      </c>
      <c r="E1065" s="43" t="s">
        <v>10039</v>
      </c>
      <c r="F1065" s="43" t="s">
        <v>10040</v>
      </c>
      <c r="G1065" s="43" t="s">
        <v>5973</v>
      </c>
      <c r="H1065" s="44">
        <v>2.127058715E9</v>
      </c>
      <c r="I1065" s="18">
        <f t="shared" si="6"/>
        <v>45980</v>
      </c>
      <c r="J1065" s="19" t="s">
        <v>28</v>
      </c>
      <c r="K1065" s="19" t="s">
        <v>5170</v>
      </c>
      <c r="L1065" s="40"/>
    </row>
    <row r="1066" ht="22.5" customHeight="1">
      <c r="C1066" s="19" t="s">
        <v>9977</v>
      </c>
      <c r="D1066" s="39" t="s">
        <v>9681</v>
      </c>
      <c r="E1066" s="43" t="s">
        <v>10041</v>
      </c>
      <c r="F1066" s="43" t="s">
        <v>10042</v>
      </c>
      <c r="G1066" s="43" t="s">
        <v>5949</v>
      </c>
      <c r="H1066" s="44">
        <v>3.238398531E9</v>
      </c>
      <c r="I1066" s="18">
        <f t="shared" si="6"/>
        <v>45980</v>
      </c>
      <c r="J1066" s="19" t="s">
        <v>28</v>
      </c>
      <c r="K1066" s="19" t="s">
        <v>5170</v>
      </c>
      <c r="L1066" s="40"/>
    </row>
    <row r="1067" ht="22.5" customHeight="1">
      <c r="C1067" s="19" t="s">
        <v>9977</v>
      </c>
      <c r="D1067" s="39" t="s">
        <v>9685</v>
      </c>
      <c r="E1067" s="43" t="s">
        <v>10043</v>
      </c>
      <c r="F1067" s="48" t="s">
        <v>8916</v>
      </c>
      <c r="G1067" s="43" t="s">
        <v>6902</v>
      </c>
      <c r="H1067" s="44">
        <v>6.464208355E9</v>
      </c>
      <c r="I1067" s="18">
        <f t="shared" si="6"/>
        <v>45980</v>
      </c>
      <c r="J1067" s="19" t="s">
        <v>28</v>
      </c>
      <c r="K1067" s="19" t="s">
        <v>5170</v>
      </c>
      <c r="L1067" s="40"/>
    </row>
    <row r="1068" ht="22.5" customHeight="1">
      <c r="C1068" s="19" t="s">
        <v>9977</v>
      </c>
      <c r="D1068" s="39" t="s">
        <v>9689</v>
      </c>
      <c r="E1068" s="43" t="s">
        <v>10044</v>
      </c>
      <c r="F1068" s="43" t="s">
        <v>10045</v>
      </c>
      <c r="G1068" s="43" t="s">
        <v>6581</v>
      </c>
      <c r="H1068" s="42" t="s">
        <v>10046</v>
      </c>
      <c r="I1068" s="18">
        <f t="shared" si="6"/>
        <v>45980</v>
      </c>
      <c r="J1068" s="19" t="s">
        <v>28</v>
      </c>
      <c r="K1068" s="19" t="s">
        <v>5170</v>
      </c>
      <c r="L1068" s="40"/>
    </row>
    <row r="1069" ht="22.5" customHeight="1">
      <c r="C1069" s="19" t="s">
        <v>9977</v>
      </c>
      <c r="D1069" s="39" t="s">
        <v>9693</v>
      </c>
      <c r="E1069" s="43" t="s">
        <v>10047</v>
      </c>
      <c r="F1069" s="43" t="s">
        <v>10048</v>
      </c>
      <c r="G1069" s="43" t="s">
        <v>5908</v>
      </c>
      <c r="H1069" s="42" t="s">
        <v>10049</v>
      </c>
      <c r="I1069" s="18">
        <f t="shared" si="6"/>
        <v>45980</v>
      </c>
      <c r="J1069" s="19" t="s">
        <v>28</v>
      </c>
      <c r="K1069" s="19" t="s">
        <v>5170</v>
      </c>
      <c r="L1069" s="40"/>
    </row>
    <row r="1070" ht="22.5" customHeight="1">
      <c r="C1070" s="19" t="s">
        <v>9977</v>
      </c>
      <c r="D1070" s="39" t="s">
        <v>9695</v>
      </c>
      <c r="E1070" s="43" t="s">
        <v>10050</v>
      </c>
      <c r="F1070" s="43" t="s">
        <v>10051</v>
      </c>
      <c r="G1070" s="43" t="s">
        <v>5825</v>
      </c>
      <c r="H1070" s="44">
        <v>9.1435852E9</v>
      </c>
      <c r="I1070" s="18">
        <f t="shared" si="6"/>
        <v>45980</v>
      </c>
      <c r="J1070" s="19" t="s">
        <v>28</v>
      </c>
      <c r="K1070" s="19" t="s">
        <v>5170</v>
      </c>
      <c r="L1070" s="40"/>
    </row>
    <row r="1071" ht="22.5" customHeight="1">
      <c r="C1071" s="19" t="s">
        <v>9977</v>
      </c>
      <c r="D1071" s="39" t="s">
        <v>9699</v>
      </c>
      <c r="E1071" s="43" t="s">
        <v>10052</v>
      </c>
      <c r="F1071" s="43" t="s">
        <v>10052</v>
      </c>
      <c r="G1071" s="43" t="s">
        <v>5985</v>
      </c>
      <c r="H1071" s="44">
        <v>8.457977936E9</v>
      </c>
      <c r="I1071" s="18">
        <f t="shared" si="6"/>
        <v>45980</v>
      </c>
      <c r="J1071" s="19" t="s">
        <v>28</v>
      </c>
      <c r="K1071" s="19" t="s">
        <v>5170</v>
      </c>
      <c r="L1071" s="40"/>
    </row>
    <row r="1072" ht="22.5" customHeight="1">
      <c r="C1072" s="19" t="s">
        <v>9977</v>
      </c>
      <c r="D1072" s="39" t="s">
        <v>9702</v>
      </c>
      <c r="E1072" s="43" t="s">
        <v>10053</v>
      </c>
      <c r="F1072" s="43" t="s">
        <v>10054</v>
      </c>
      <c r="G1072" s="43" t="s">
        <v>7802</v>
      </c>
      <c r="H1072" s="42" t="s">
        <v>10055</v>
      </c>
      <c r="I1072" s="18">
        <f t="shared" si="6"/>
        <v>45980</v>
      </c>
      <c r="J1072" s="19" t="s">
        <v>28</v>
      </c>
      <c r="K1072" s="19" t="s">
        <v>5170</v>
      </c>
      <c r="L1072" s="40"/>
    </row>
    <row r="1073" ht="22.5" customHeight="1">
      <c r="C1073" s="19" t="s">
        <v>9977</v>
      </c>
      <c r="D1073" s="39" t="s">
        <v>10056</v>
      </c>
      <c r="E1073" s="43" t="s">
        <v>10057</v>
      </c>
      <c r="F1073" s="43" t="s">
        <v>10058</v>
      </c>
      <c r="G1073" s="43" t="s">
        <v>6004</v>
      </c>
      <c r="H1073" s="42" t="s">
        <v>10059</v>
      </c>
      <c r="I1073" s="18">
        <f t="shared" si="6"/>
        <v>45980</v>
      </c>
      <c r="J1073" s="19" t="s">
        <v>28</v>
      </c>
      <c r="K1073" s="19" t="s">
        <v>5170</v>
      </c>
      <c r="L1073" s="40"/>
    </row>
    <row r="1074" ht="22.5" customHeight="1">
      <c r="C1074" s="19" t="s">
        <v>10060</v>
      </c>
      <c r="D1074" s="39" t="s">
        <v>9534</v>
      </c>
      <c r="E1074" s="43" t="s">
        <v>10061</v>
      </c>
      <c r="F1074" s="43" t="s">
        <v>10062</v>
      </c>
      <c r="G1074" s="43" t="s">
        <v>7039</v>
      </c>
      <c r="H1074" s="44">
        <v>6.462570052E9</v>
      </c>
      <c r="I1074" s="18">
        <f t="shared" si="6"/>
        <v>45980</v>
      </c>
      <c r="J1074" s="19" t="s">
        <v>28</v>
      </c>
      <c r="K1074" s="19" t="s">
        <v>5170</v>
      </c>
      <c r="L1074" s="40"/>
    </row>
    <row r="1075" ht="22.5" customHeight="1">
      <c r="C1075" s="19" t="s">
        <v>10060</v>
      </c>
      <c r="D1075" s="39" t="s">
        <v>9537</v>
      </c>
      <c r="E1075" s="43" t="s">
        <v>10063</v>
      </c>
      <c r="F1075" s="43" t="s">
        <v>5148</v>
      </c>
      <c r="G1075" s="43" t="s">
        <v>5862</v>
      </c>
      <c r="H1075" s="42" t="s">
        <v>10064</v>
      </c>
      <c r="I1075" s="18">
        <f t="shared" si="6"/>
        <v>45980</v>
      </c>
      <c r="J1075" s="19" t="s">
        <v>28</v>
      </c>
      <c r="K1075" s="19" t="s">
        <v>5170</v>
      </c>
      <c r="L1075" s="40"/>
    </row>
    <row r="1076" ht="22.5" customHeight="1">
      <c r="C1076" s="19" t="s">
        <v>10060</v>
      </c>
      <c r="D1076" s="39" t="s">
        <v>9540</v>
      </c>
      <c r="E1076" s="43" t="s">
        <v>10065</v>
      </c>
      <c r="F1076" s="43" t="s">
        <v>10066</v>
      </c>
      <c r="G1076" s="43" t="s">
        <v>5866</v>
      </c>
      <c r="H1076" s="44">
        <v>9.174981026E9</v>
      </c>
      <c r="I1076" s="18">
        <f t="shared" si="6"/>
        <v>45980</v>
      </c>
      <c r="J1076" s="19" t="s">
        <v>28</v>
      </c>
      <c r="K1076" s="19" t="s">
        <v>5170</v>
      </c>
      <c r="L1076" s="40"/>
    </row>
    <row r="1077" ht="22.5" customHeight="1">
      <c r="C1077" s="19" t="s">
        <v>10060</v>
      </c>
      <c r="D1077" s="39" t="s">
        <v>9543</v>
      </c>
      <c r="E1077" s="43" t="s">
        <v>10067</v>
      </c>
      <c r="F1077" s="43" t="s">
        <v>10068</v>
      </c>
      <c r="G1077" s="43" t="s">
        <v>6232</v>
      </c>
      <c r="H1077" s="44">
        <v>7.184752115E9</v>
      </c>
      <c r="I1077" s="18">
        <f t="shared" si="6"/>
        <v>45980</v>
      </c>
      <c r="J1077" s="19" t="s">
        <v>28</v>
      </c>
      <c r="K1077" s="19" t="s">
        <v>5170</v>
      </c>
      <c r="L1077" s="40"/>
    </row>
    <row r="1078" ht="22.5" customHeight="1">
      <c r="C1078" s="19" t="s">
        <v>10060</v>
      </c>
      <c r="D1078" s="39" t="s">
        <v>9547</v>
      </c>
      <c r="E1078" s="43" t="s">
        <v>10069</v>
      </c>
      <c r="F1078" s="43" t="s">
        <v>1419</v>
      </c>
      <c r="G1078" s="43" t="s">
        <v>5878</v>
      </c>
      <c r="H1078" s="44">
        <v>9.172924845E9</v>
      </c>
      <c r="I1078" s="18">
        <f t="shared" si="6"/>
        <v>45980</v>
      </c>
      <c r="J1078" s="19" t="s">
        <v>28</v>
      </c>
      <c r="K1078" s="19" t="s">
        <v>5170</v>
      </c>
      <c r="L1078" s="40"/>
    </row>
    <row r="1079" ht="22.5" customHeight="1">
      <c r="C1079" s="19" t="s">
        <v>10060</v>
      </c>
      <c r="D1079" s="39" t="s">
        <v>9551</v>
      </c>
      <c r="E1079" s="43" t="s">
        <v>10070</v>
      </c>
      <c r="F1079" s="43" t="s">
        <v>10071</v>
      </c>
      <c r="G1079" s="43" t="s">
        <v>6076</v>
      </c>
      <c r="H1079" s="42" t="s">
        <v>10072</v>
      </c>
      <c r="I1079" s="18">
        <f t="shared" si="6"/>
        <v>45980</v>
      </c>
      <c r="J1079" s="19" t="s">
        <v>28</v>
      </c>
      <c r="K1079" s="19" t="s">
        <v>5170</v>
      </c>
      <c r="L1079" s="40"/>
    </row>
    <row r="1080" ht="22.5" customHeight="1">
      <c r="C1080" s="19" t="s">
        <v>10060</v>
      </c>
      <c r="D1080" s="39" t="s">
        <v>9554</v>
      </c>
      <c r="E1080" s="43" t="s">
        <v>10073</v>
      </c>
      <c r="F1080" s="43" t="s">
        <v>10074</v>
      </c>
      <c r="G1080" s="43" t="s">
        <v>5834</v>
      </c>
      <c r="H1080" s="42" t="s">
        <v>10075</v>
      </c>
      <c r="I1080" s="18">
        <f t="shared" si="6"/>
        <v>45980</v>
      </c>
      <c r="J1080" s="19" t="s">
        <v>28</v>
      </c>
      <c r="K1080" s="19" t="s">
        <v>5170</v>
      </c>
      <c r="L1080" s="40"/>
    </row>
    <row r="1081" ht="22.5" customHeight="1">
      <c r="C1081" s="19" t="s">
        <v>10060</v>
      </c>
      <c r="D1081" s="39" t="s">
        <v>9558</v>
      </c>
      <c r="E1081" s="43" t="s">
        <v>10076</v>
      </c>
      <c r="F1081" s="43" t="s">
        <v>10077</v>
      </c>
      <c r="G1081" s="43" t="s">
        <v>5882</v>
      </c>
      <c r="H1081" s="44">
        <v>3.474153458E9</v>
      </c>
      <c r="I1081" s="18">
        <f t="shared" si="6"/>
        <v>45980</v>
      </c>
      <c r="J1081" s="19" t="s">
        <v>28</v>
      </c>
      <c r="K1081" s="19" t="s">
        <v>5170</v>
      </c>
      <c r="L1081" s="40"/>
    </row>
    <row r="1082" ht="22.5" customHeight="1">
      <c r="C1082" s="19" t="s">
        <v>10060</v>
      </c>
      <c r="D1082" s="39" t="s">
        <v>9561</v>
      </c>
      <c r="E1082" s="43" t="s">
        <v>10078</v>
      </c>
      <c r="F1082" s="43" t="s">
        <v>10079</v>
      </c>
      <c r="G1082" s="43" t="s">
        <v>5949</v>
      </c>
      <c r="H1082" s="42" t="s">
        <v>10080</v>
      </c>
      <c r="I1082" s="18">
        <f t="shared" si="6"/>
        <v>45980</v>
      </c>
      <c r="J1082" s="19" t="s">
        <v>28</v>
      </c>
      <c r="K1082" s="19" t="s">
        <v>5170</v>
      </c>
      <c r="L1082" s="40"/>
    </row>
    <row r="1083" ht="22.5" customHeight="1">
      <c r="C1083" s="19" t="s">
        <v>10060</v>
      </c>
      <c r="D1083" s="39" t="s">
        <v>9564</v>
      </c>
      <c r="E1083" s="43" t="s">
        <v>10081</v>
      </c>
      <c r="F1083" s="43" t="s">
        <v>10082</v>
      </c>
      <c r="G1083" s="43" t="s">
        <v>5939</v>
      </c>
      <c r="H1083" s="44">
        <v>9.176932138E9</v>
      </c>
      <c r="I1083" s="18">
        <f t="shared" si="6"/>
        <v>45980</v>
      </c>
      <c r="J1083" s="19" t="s">
        <v>28</v>
      </c>
      <c r="K1083" s="19" t="s">
        <v>5170</v>
      </c>
      <c r="L1083" s="40"/>
    </row>
    <row r="1084" ht="22.5" customHeight="1">
      <c r="C1084" s="19" t="s">
        <v>10060</v>
      </c>
      <c r="D1084" s="39" t="s">
        <v>9567</v>
      </c>
      <c r="E1084" s="43" t="s">
        <v>10083</v>
      </c>
      <c r="F1084" s="43" t="s">
        <v>10084</v>
      </c>
      <c r="G1084" s="43" t="s">
        <v>5850</v>
      </c>
      <c r="H1084" s="42" t="s">
        <v>10085</v>
      </c>
      <c r="I1084" s="18">
        <f t="shared" si="6"/>
        <v>45980</v>
      </c>
      <c r="J1084" s="19" t="s">
        <v>28</v>
      </c>
      <c r="K1084" s="19" t="s">
        <v>5170</v>
      </c>
      <c r="L1084" s="40"/>
    </row>
    <row r="1085" ht="22.5" customHeight="1">
      <c r="C1085" s="19" t="s">
        <v>10060</v>
      </c>
      <c r="D1085" s="39" t="s">
        <v>9569</v>
      </c>
      <c r="E1085" s="43" t="s">
        <v>10086</v>
      </c>
      <c r="F1085" s="43" t="s">
        <v>10087</v>
      </c>
      <c r="G1085" s="43" t="s">
        <v>5957</v>
      </c>
      <c r="H1085" s="44">
        <v>2.125539152E9</v>
      </c>
      <c r="I1085" s="18">
        <f t="shared" si="6"/>
        <v>45980</v>
      </c>
      <c r="J1085" s="19" t="s">
        <v>28</v>
      </c>
      <c r="K1085" s="19" t="s">
        <v>5170</v>
      </c>
      <c r="L1085" s="40"/>
    </row>
    <row r="1086" ht="22.5" customHeight="1">
      <c r="C1086" s="19" t="s">
        <v>10060</v>
      </c>
      <c r="D1086" s="39" t="s">
        <v>9573</v>
      </c>
      <c r="E1086" s="43" t="s">
        <v>10088</v>
      </c>
      <c r="F1086" s="43" t="s">
        <v>10089</v>
      </c>
      <c r="G1086" s="43" t="s">
        <v>6076</v>
      </c>
      <c r="H1086" s="44">
        <v>9.732890781E9</v>
      </c>
      <c r="I1086" s="18">
        <f t="shared" si="6"/>
        <v>45980</v>
      </c>
      <c r="J1086" s="19" t="s">
        <v>28</v>
      </c>
      <c r="K1086" s="19" t="s">
        <v>5170</v>
      </c>
      <c r="L1086" s="40"/>
    </row>
    <row r="1087" ht="22.5" customHeight="1">
      <c r="C1087" s="19" t="s">
        <v>10090</v>
      </c>
      <c r="D1087" s="39" t="s">
        <v>9534</v>
      </c>
      <c r="E1087" s="43" t="s">
        <v>10091</v>
      </c>
      <c r="F1087" s="43" t="s">
        <v>10092</v>
      </c>
      <c r="G1087" s="43" t="s">
        <v>5866</v>
      </c>
      <c r="H1087" s="44">
        <v>9.082097456E9</v>
      </c>
      <c r="I1087" s="18">
        <f t="shared" si="6"/>
        <v>45980</v>
      </c>
      <c r="J1087" s="19" t="s">
        <v>28</v>
      </c>
      <c r="K1087" s="19" t="s">
        <v>5170</v>
      </c>
      <c r="L1087" s="40"/>
    </row>
    <row r="1088" ht="22.5" customHeight="1">
      <c r="C1088" s="19" t="s">
        <v>10090</v>
      </c>
      <c r="D1088" s="39" t="s">
        <v>9537</v>
      </c>
      <c r="E1088" s="43" t="s">
        <v>10093</v>
      </c>
      <c r="F1088" s="48" t="s">
        <v>10094</v>
      </c>
      <c r="G1088" s="43" t="s">
        <v>6063</v>
      </c>
      <c r="H1088" s="42" t="s">
        <v>10095</v>
      </c>
      <c r="I1088" s="18">
        <f t="shared" si="6"/>
        <v>45980</v>
      </c>
      <c r="J1088" s="19" t="s">
        <v>28</v>
      </c>
      <c r="K1088" s="19" t="s">
        <v>5170</v>
      </c>
      <c r="L1088" s="40"/>
    </row>
    <row r="1089" ht="22.5" customHeight="1">
      <c r="C1089" s="19" t="s">
        <v>10090</v>
      </c>
      <c r="D1089" s="39" t="s">
        <v>9540</v>
      </c>
      <c r="E1089" s="43" t="s">
        <v>10096</v>
      </c>
      <c r="F1089" s="43" t="s">
        <v>10097</v>
      </c>
      <c r="G1089" s="43" t="s">
        <v>5934</v>
      </c>
      <c r="H1089" s="42" t="s">
        <v>10098</v>
      </c>
      <c r="I1089" s="18">
        <f t="shared" si="6"/>
        <v>45980</v>
      </c>
      <c r="J1089" s="19" t="s">
        <v>28</v>
      </c>
      <c r="K1089" s="19" t="s">
        <v>5170</v>
      </c>
      <c r="L1089" s="40"/>
    </row>
    <row r="1090" ht="22.5" customHeight="1">
      <c r="C1090" s="19" t="s">
        <v>10090</v>
      </c>
      <c r="D1090" s="39" t="s">
        <v>9543</v>
      </c>
      <c r="E1090" s="43" t="s">
        <v>10099</v>
      </c>
      <c r="F1090" s="43" t="s">
        <v>10100</v>
      </c>
      <c r="G1090" s="43" t="s">
        <v>5878</v>
      </c>
      <c r="H1090" s="42" t="s">
        <v>10101</v>
      </c>
      <c r="I1090" s="18">
        <f t="shared" si="6"/>
        <v>45980</v>
      </c>
      <c r="J1090" s="19" t="s">
        <v>28</v>
      </c>
      <c r="K1090" s="19" t="s">
        <v>5170</v>
      </c>
      <c r="L1090" s="40"/>
    </row>
    <row r="1091" ht="22.5" customHeight="1">
      <c r="C1091" s="19" t="s">
        <v>10090</v>
      </c>
      <c r="D1091" s="39" t="s">
        <v>9547</v>
      </c>
      <c r="E1091" s="43" t="s">
        <v>10102</v>
      </c>
      <c r="F1091" s="43" t="s">
        <v>2191</v>
      </c>
      <c r="G1091" s="43" t="s">
        <v>5949</v>
      </c>
      <c r="H1091" s="42" t="s">
        <v>10103</v>
      </c>
      <c r="I1091" s="18">
        <f t="shared" si="6"/>
        <v>45980</v>
      </c>
      <c r="J1091" s="19" t="s">
        <v>28</v>
      </c>
      <c r="K1091" s="19" t="s">
        <v>5170</v>
      </c>
      <c r="L1091" s="40"/>
    </row>
    <row r="1092" ht="22.5" customHeight="1">
      <c r="C1092" s="19" t="s">
        <v>10090</v>
      </c>
      <c r="D1092" s="39" t="s">
        <v>9551</v>
      </c>
      <c r="E1092" s="43" t="s">
        <v>10104</v>
      </c>
      <c r="F1092" s="43" t="s">
        <v>3209</v>
      </c>
      <c r="G1092" s="43" t="s">
        <v>7030</v>
      </c>
      <c r="H1092" s="42" t="s">
        <v>10105</v>
      </c>
      <c r="I1092" s="18">
        <f t="shared" si="6"/>
        <v>45980</v>
      </c>
      <c r="J1092" s="19" t="s">
        <v>28</v>
      </c>
      <c r="K1092" s="19" t="s">
        <v>5170</v>
      </c>
      <c r="L1092" s="4"/>
    </row>
    <row r="1093" ht="22.5" customHeight="1">
      <c r="C1093" s="19" t="s">
        <v>10090</v>
      </c>
      <c r="D1093" s="39" t="s">
        <v>9554</v>
      </c>
      <c r="E1093" s="43" t="s">
        <v>10106</v>
      </c>
      <c r="F1093" s="43" t="s">
        <v>10107</v>
      </c>
      <c r="G1093" s="43" t="s">
        <v>6232</v>
      </c>
      <c r="H1093" s="44">
        <v>1.5163982709E10</v>
      </c>
      <c r="I1093" s="18">
        <f t="shared" si="6"/>
        <v>45980</v>
      </c>
      <c r="J1093" s="19" t="s">
        <v>28</v>
      </c>
      <c r="K1093" s="19" t="s">
        <v>5170</v>
      </c>
      <c r="L1093" s="40"/>
    </row>
    <row r="1094" ht="22.5" customHeight="1">
      <c r="C1094" s="19" t="s">
        <v>10090</v>
      </c>
      <c r="D1094" s="39" t="s">
        <v>9558</v>
      </c>
      <c r="E1094" s="43" t="s">
        <v>10108</v>
      </c>
      <c r="F1094" s="43" t="s">
        <v>5148</v>
      </c>
      <c r="G1094" s="43" t="s">
        <v>8216</v>
      </c>
      <c r="H1094" s="42" t="s">
        <v>10109</v>
      </c>
      <c r="I1094" s="18">
        <f t="shared" si="6"/>
        <v>45980</v>
      </c>
      <c r="J1094" s="19" t="s">
        <v>28</v>
      </c>
      <c r="K1094" s="19" t="s">
        <v>5170</v>
      </c>
      <c r="L1094" s="40"/>
    </row>
    <row r="1095" ht="22.5" customHeight="1">
      <c r="C1095" s="19" t="s">
        <v>10090</v>
      </c>
      <c r="D1095" s="39" t="s">
        <v>9561</v>
      </c>
      <c r="E1095" s="43" t="s">
        <v>10110</v>
      </c>
      <c r="F1095" s="43" t="s">
        <v>10111</v>
      </c>
      <c r="G1095" s="43" t="s">
        <v>7021</v>
      </c>
      <c r="H1095" s="44">
        <v>8.626862833E9</v>
      </c>
      <c r="I1095" s="18">
        <f t="shared" si="6"/>
        <v>45980</v>
      </c>
      <c r="J1095" s="19" t="s">
        <v>28</v>
      </c>
      <c r="K1095" s="19" t="s">
        <v>5170</v>
      </c>
      <c r="L1095" s="40"/>
    </row>
    <row r="1096" ht="22.5" customHeight="1">
      <c r="C1096" s="19" t="s">
        <v>10090</v>
      </c>
      <c r="D1096" s="39" t="s">
        <v>9564</v>
      </c>
      <c r="E1096" s="43" t="s">
        <v>10112</v>
      </c>
      <c r="F1096" s="43" t="s">
        <v>10113</v>
      </c>
      <c r="G1096" s="43" t="s">
        <v>5878</v>
      </c>
      <c r="H1096" s="42" t="s">
        <v>10114</v>
      </c>
      <c r="I1096" s="18">
        <f t="shared" si="6"/>
        <v>45980</v>
      </c>
      <c r="J1096" s="19" t="s">
        <v>28</v>
      </c>
      <c r="K1096" s="19" t="s">
        <v>5170</v>
      </c>
      <c r="L1096" s="40"/>
    </row>
    <row r="1097" ht="22.5" customHeight="1">
      <c r="C1097" s="19" t="s">
        <v>10090</v>
      </c>
      <c r="D1097" s="39" t="s">
        <v>9567</v>
      </c>
      <c r="E1097" s="43" t="s">
        <v>10115</v>
      </c>
      <c r="F1097" s="43" t="s">
        <v>182</v>
      </c>
      <c r="G1097" s="43" t="s">
        <v>6063</v>
      </c>
      <c r="H1097" s="44">
        <v>6.466441449E9</v>
      </c>
      <c r="I1097" s="18">
        <f t="shared" si="6"/>
        <v>45980</v>
      </c>
      <c r="J1097" s="19" t="s">
        <v>28</v>
      </c>
      <c r="K1097" s="19" t="s">
        <v>5170</v>
      </c>
      <c r="L1097" s="40"/>
    </row>
    <row r="1098" ht="22.5" customHeight="1">
      <c r="C1098" s="19" t="s">
        <v>10090</v>
      </c>
      <c r="D1098" s="39" t="s">
        <v>9569</v>
      </c>
      <c r="E1098" s="43" t="s">
        <v>10116</v>
      </c>
      <c r="F1098" s="43" t="s">
        <v>10116</v>
      </c>
      <c r="G1098" s="43" t="s">
        <v>6004</v>
      </c>
      <c r="H1098" s="42" t="s">
        <v>10117</v>
      </c>
      <c r="I1098" s="18">
        <f t="shared" si="6"/>
        <v>45980</v>
      </c>
      <c r="J1098" s="19" t="s">
        <v>28</v>
      </c>
      <c r="K1098" s="19" t="s">
        <v>5170</v>
      </c>
      <c r="L1098" s="40"/>
    </row>
    <row r="1099" ht="22.5" customHeight="1">
      <c r="C1099" s="19" t="s">
        <v>10090</v>
      </c>
      <c r="D1099" s="39" t="s">
        <v>9573</v>
      </c>
      <c r="E1099" s="43" t="s">
        <v>10118</v>
      </c>
      <c r="F1099" s="43" t="s">
        <v>10119</v>
      </c>
      <c r="G1099" s="43" t="s">
        <v>6076</v>
      </c>
      <c r="H1099" s="42" t="s">
        <v>10120</v>
      </c>
      <c r="I1099" s="18">
        <f t="shared" si="6"/>
        <v>45980</v>
      </c>
      <c r="J1099" s="19" t="s">
        <v>28</v>
      </c>
      <c r="K1099" s="19" t="s">
        <v>5170</v>
      </c>
      <c r="L1099" s="40"/>
    </row>
    <row r="1100" ht="22.5" customHeight="1">
      <c r="C1100" s="19" t="s">
        <v>10090</v>
      </c>
      <c r="D1100" s="39" t="s">
        <v>9577</v>
      </c>
      <c r="E1100" s="43" t="s">
        <v>10121</v>
      </c>
      <c r="F1100" s="43" t="s">
        <v>10082</v>
      </c>
      <c r="G1100" s="43" t="s">
        <v>5939</v>
      </c>
      <c r="H1100" s="42" t="s">
        <v>9671</v>
      </c>
      <c r="I1100" s="18">
        <f t="shared" si="6"/>
        <v>45980</v>
      </c>
      <c r="J1100" s="19" t="s">
        <v>28</v>
      </c>
      <c r="K1100" s="19" t="s">
        <v>5170</v>
      </c>
      <c r="L1100" s="40"/>
    </row>
    <row r="1101" ht="22.5" customHeight="1">
      <c r="C1101" s="19" t="s">
        <v>10090</v>
      </c>
      <c r="D1101" s="39" t="s">
        <v>9581</v>
      </c>
      <c r="E1101" s="43" t="s">
        <v>10122</v>
      </c>
      <c r="F1101" s="43" t="s">
        <v>5148</v>
      </c>
      <c r="G1101" s="43" t="s">
        <v>5878</v>
      </c>
      <c r="H1101" s="42" t="s">
        <v>10123</v>
      </c>
      <c r="I1101" s="18">
        <f t="shared" si="6"/>
        <v>45980</v>
      </c>
      <c r="J1101" s="19" t="s">
        <v>28</v>
      </c>
      <c r="K1101" s="19" t="s">
        <v>5170</v>
      </c>
      <c r="L1101" s="40"/>
    </row>
    <row r="1102" ht="22.5" customHeight="1">
      <c r="C1102" s="19" t="s">
        <v>10124</v>
      </c>
      <c r="D1102" s="39" t="s">
        <v>10125</v>
      </c>
      <c r="E1102" s="43" t="s">
        <v>10126</v>
      </c>
      <c r="F1102" s="43" t="s">
        <v>10127</v>
      </c>
      <c r="G1102" s="43" t="s">
        <v>5957</v>
      </c>
      <c r="H1102" s="44">
        <v>2.125551212E9</v>
      </c>
      <c r="I1102" s="18">
        <f t="shared" si="6"/>
        <v>45980</v>
      </c>
      <c r="J1102" s="19" t="s">
        <v>28</v>
      </c>
      <c r="K1102" s="19" t="s">
        <v>5170</v>
      </c>
      <c r="L1102" s="40"/>
    </row>
    <row r="1103" ht="22.5" customHeight="1">
      <c r="C1103" s="19" t="s">
        <v>10124</v>
      </c>
      <c r="D1103" s="39" t="s">
        <v>10125</v>
      </c>
      <c r="E1103" s="43" t="s">
        <v>10128</v>
      </c>
      <c r="F1103" s="43" t="s">
        <v>10129</v>
      </c>
      <c r="G1103" s="43" t="s">
        <v>6118</v>
      </c>
      <c r="H1103" s="42" t="s">
        <v>10130</v>
      </c>
      <c r="I1103" s="18">
        <f t="shared" si="6"/>
        <v>45980</v>
      </c>
      <c r="J1103" s="19" t="s">
        <v>28</v>
      </c>
      <c r="K1103" s="19" t="s">
        <v>5170</v>
      </c>
      <c r="L1103" s="40"/>
    </row>
    <row r="1104" ht="22.5" customHeight="1">
      <c r="C1104" s="19" t="s">
        <v>10124</v>
      </c>
      <c r="D1104" s="39" t="s">
        <v>10125</v>
      </c>
      <c r="E1104" s="43" t="s">
        <v>10131</v>
      </c>
      <c r="F1104" s="43" t="s">
        <v>10132</v>
      </c>
      <c r="G1104" s="43" t="s">
        <v>5949</v>
      </c>
      <c r="H1104" s="42" t="s">
        <v>10133</v>
      </c>
      <c r="I1104" s="18">
        <f t="shared" si="6"/>
        <v>45980</v>
      </c>
      <c r="J1104" s="19" t="s">
        <v>28</v>
      </c>
      <c r="K1104" s="19" t="s">
        <v>5170</v>
      </c>
      <c r="L1104" s="40"/>
    </row>
    <row r="1105" ht="22.5" customHeight="1">
      <c r="C1105" s="19" t="s">
        <v>10124</v>
      </c>
      <c r="D1105" s="39" t="s">
        <v>10125</v>
      </c>
      <c r="E1105" s="43" t="s">
        <v>10134</v>
      </c>
      <c r="F1105" s="43" t="s">
        <v>9028</v>
      </c>
      <c r="G1105" s="43" t="s">
        <v>5878</v>
      </c>
      <c r="H1105" s="42" t="s">
        <v>10135</v>
      </c>
      <c r="I1105" s="18">
        <f t="shared" si="6"/>
        <v>45980</v>
      </c>
      <c r="J1105" s="19" t="s">
        <v>28</v>
      </c>
      <c r="K1105" s="19" t="s">
        <v>5170</v>
      </c>
      <c r="L1105" s="40"/>
    </row>
    <row r="1106" ht="22.5" customHeight="1">
      <c r="C1106" s="19" t="s">
        <v>10124</v>
      </c>
      <c r="D1106" s="39" t="s">
        <v>10125</v>
      </c>
      <c r="E1106" s="43" t="s">
        <v>10136</v>
      </c>
      <c r="F1106" s="43" t="s">
        <v>10137</v>
      </c>
      <c r="G1106" s="43" t="s">
        <v>7398</v>
      </c>
      <c r="H1106" s="44">
        <v>7.863859601E9</v>
      </c>
      <c r="I1106" s="18">
        <f t="shared" si="6"/>
        <v>45980</v>
      </c>
      <c r="J1106" s="19" t="s">
        <v>28</v>
      </c>
      <c r="K1106" s="19" t="s">
        <v>5170</v>
      </c>
      <c r="L1106" s="40"/>
    </row>
    <row r="1107" ht="22.5" customHeight="1">
      <c r="C1107" s="19" t="s">
        <v>10124</v>
      </c>
      <c r="D1107" s="39" t="s">
        <v>10125</v>
      </c>
      <c r="E1107" s="43" t="s">
        <v>10138</v>
      </c>
      <c r="F1107" s="43" t="s">
        <v>10139</v>
      </c>
      <c r="G1107" s="43" t="s">
        <v>6376</v>
      </c>
      <c r="H1107" s="44">
        <v>9.178870201E9</v>
      </c>
      <c r="I1107" s="18">
        <f t="shared" si="6"/>
        <v>45980</v>
      </c>
      <c r="J1107" s="19" t="s">
        <v>28</v>
      </c>
      <c r="K1107" s="19" t="s">
        <v>5170</v>
      </c>
      <c r="L1107" s="40"/>
    </row>
    <row r="1108" ht="22.5" customHeight="1">
      <c r="C1108" s="19" t="s">
        <v>10124</v>
      </c>
      <c r="D1108" s="39" t="s">
        <v>10125</v>
      </c>
      <c r="E1108" s="43" t="s">
        <v>10140</v>
      </c>
      <c r="F1108" s="43" t="s">
        <v>10141</v>
      </c>
      <c r="G1108" s="43" t="s">
        <v>8640</v>
      </c>
      <c r="H1108" s="44">
        <v>9.147142153E9</v>
      </c>
      <c r="I1108" s="18">
        <f t="shared" si="6"/>
        <v>45980</v>
      </c>
      <c r="J1108" s="19" t="s">
        <v>28</v>
      </c>
      <c r="K1108" s="19" t="s">
        <v>5170</v>
      </c>
      <c r="L1108" s="40"/>
    </row>
    <row r="1109" ht="22.5" customHeight="1">
      <c r="C1109" s="19" t="s">
        <v>10124</v>
      </c>
      <c r="D1109" s="39" t="s">
        <v>10125</v>
      </c>
      <c r="E1109" s="43" t="s">
        <v>10142</v>
      </c>
      <c r="F1109" s="43" t="s">
        <v>10143</v>
      </c>
      <c r="G1109" s="43" t="s">
        <v>5878</v>
      </c>
      <c r="H1109" s="42" t="s">
        <v>10144</v>
      </c>
      <c r="I1109" s="18">
        <f t="shared" si="6"/>
        <v>45980</v>
      </c>
      <c r="J1109" s="19" t="s">
        <v>28</v>
      </c>
      <c r="K1109" s="19" t="s">
        <v>5170</v>
      </c>
      <c r="L1109" s="4"/>
    </row>
    <row r="1110" ht="22.5" customHeight="1">
      <c r="C1110" s="19" t="s">
        <v>10124</v>
      </c>
      <c r="D1110" s="39" t="s">
        <v>10125</v>
      </c>
      <c r="E1110" s="43" t="s">
        <v>10145</v>
      </c>
      <c r="F1110" s="43" t="s">
        <v>10146</v>
      </c>
      <c r="G1110" s="43" t="s">
        <v>7424</v>
      </c>
      <c r="H1110" s="44">
        <v>9.173041153E9</v>
      </c>
      <c r="I1110" s="18">
        <f t="shared" si="6"/>
        <v>45980</v>
      </c>
      <c r="J1110" s="19" t="s">
        <v>28</v>
      </c>
      <c r="K1110" s="19" t="s">
        <v>5170</v>
      </c>
      <c r="L1110" s="40"/>
    </row>
    <row r="1111" ht="22.5" customHeight="1">
      <c r="C1111" s="19" t="s">
        <v>10124</v>
      </c>
      <c r="D1111" s="39" t="s">
        <v>10125</v>
      </c>
      <c r="E1111" s="43" t="s">
        <v>10147</v>
      </c>
      <c r="F1111" s="43" t="s">
        <v>10148</v>
      </c>
      <c r="G1111" s="43" t="s">
        <v>5926</v>
      </c>
      <c r="H1111" s="42" t="s">
        <v>182</v>
      </c>
      <c r="I1111" s="18">
        <f t="shared" si="6"/>
        <v>45980</v>
      </c>
      <c r="J1111" s="19" t="s">
        <v>28</v>
      </c>
      <c r="K1111" s="19" t="s">
        <v>5170</v>
      </c>
      <c r="L1111" s="4"/>
    </row>
    <row r="1112" ht="22.5" customHeight="1">
      <c r="C1112" s="19" t="s">
        <v>10124</v>
      </c>
      <c r="D1112" s="39" t="s">
        <v>10125</v>
      </c>
      <c r="E1112" s="43" t="s">
        <v>10149</v>
      </c>
      <c r="F1112" s="43" t="s">
        <v>10150</v>
      </c>
      <c r="G1112" s="43" t="s">
        <v>7431</v>
      </c>
      <c r="H1112" s="44">
        <v>9.142630591E9</v>
      </c>
      <c r="I1112" s="18">
        <f t="shared" si="6"/>
        <v>45980</v>
      </c>
      <c r="J1112" s="19" t="s">
        <v>28</v>
      </c>
      <c r="K1112" s="19" t="s">
        <v>5170</v>
      </c>
      <c r="L1112" s="40"/>
    </row>
    <row r="1113" ht="22.5" customHeight="1">
      <c r="C1113" s="19" t="s">
        <v>10124</v>
      </c>
      <c r="D1113" s="39" t="s">
        <v>10125</v>
      </c>
      <c r="E1113" s="43" t="s">
        <v>10151</v>
      </c>
      <c r="F1113" s="43" t="s">
        <v>10152</v>
      </c>
      <c r="G1113" s="43" t="s">
        <v>6004</v>
      </c>
      <c r="H1113" s="42" t="s">
        <v>10153</v>
      </c>
      <c r="I1113" s="18">
        <f t="shared" si="6"/>
        <v>45980</v>
      </c>
      <c r="J1113" s="19" t="s">
        <v>28</v>
      </c>
      <c r="K1113" s="19" t="s">
        <v>5170</v>
      </c>
      <c r="L1113" s="40"/>
    </row>
    <row r="1114" ht="22.5" customHeight="1">
      <c r="C1114" s="19" t="s">
        <v>10124</v>
      </c>
      <c r="D1114" s="39" t="s">
        <v>10125</v>
      </c>
      <c r="E1114" s="43" t="s">
        <v>10154</v>
      </c>
      <c r="F1114" s="43" t="s">
        <v>9885</v>
      </c>
      <c r="G1114" s="43" t="s">
        <v>5953</v>
      </c>
      <c r="H1114" s="42" t="s">
        <v>10155</v>
      </c>
      <c r="I1114" s="18">
        <f t="shared" si="6"/>
        <v>45980</v>
      </c>
      <c r="J1114" s="19" t="s">
        <v>28</v>
      </c>
      <c r="K1114" s="19" t="s">
        <v>5170</v>
      </c>
      <c r="L1114" s="40"/>
    </row>
    <row r="1115" ht="22.5" customHeight="1">
      <c r="C1115" s="19" t="s">
        <v>10124</v>
      </c>
      <c r="D1115" s="39" t="s">
        <v>10125</v>
      </c>
      <c r="E1115" s="43" t="s">
        <v>10156</v>
      </c>
      <c r="F1115" s="43" t="s">
        <v>4656</v>
      </c>
      <c r="G1115" s="43" t="s">
        <v>5929</v>
      </c>
      <c r="H1115" s="44">
        <v>9.183444577E9</v>
      </c>
      <c r="I1115" s="18">
        <f t="shared" si="6"/>
        <v>45980</v>
      </c>
      <c r="J1115" s="19" t="s">
        <v>28</v>
      </c>
      <c r="K1115" s="19" t="s">
        <v>5170</v>
      </c>
      <c r="L1115" s="40"/>
    </row>
    <row r="1116" ht="22.5" customHeight="1">
      <c r="C1116" s="19" t="s">
        <v>10124</v>
      </c>
      <c r="D1116" s="39" t="s">
        <v>10125</v>
      </c>
      <c r="E1116" s="43" t="s">
        <v>10157</v>
      </c>
      <c r="F1116" s="43" t="s">
        <v>10158</v>
      </c>
      <c r="G1116" s="43" t="s">
        <v>5820</v>
      </c>
      <c r="H1116" s="42" t="s">
        <v>10159</v>
      </c>
      <c r="I1116" s="18">
        <f t="shared" si="6"/>
        <v>45980</v>
      </c>
      <c r="J1116" s="19" t="s">
        <v>28</v>
      </c>
      <c r="K1116" s="19" t="s">
        <v>5170</v>
      </c>
      <c r="L1116" s="4"/>
    </row>
    <row r="1117" ht="22.5" customHeight="1">
      <c r="C1117" s="19" t="s">
        <v>10124</v>
      </c>
      <c r="D1117" s="39" t="s">
        <v>10125</v>
      </c>
      <c r="E1117" s="43" t="s">
        <v>10160</v>
      </c>
      <c r="F1117" s="43" t="s">
        <v>10161</v>
      </c>
      <c r="G1117" s="43" t="s">
        <v>5882</v>
      </c>
      <c r="H1117" s="42" t="s">
        <v>10162</v>
      </c>
      <c r="I1117" s="18">
        <f t="shared" si="6"/>
        <v>45980</v>
      </c>
      <c r="J1117" s="19" t="s">
        <v>28</v>
      </c>
      <c r="K1117" s="19" t="s">
        <v>5170</v>
      </c>
      <c r="L1117" s="40"/>
    </row>
    <row r="1118" ht="22.5" customHeight="1">
      <c r="C1118" s="19" t="s">
        <v>10124</v>
      </c>
      <c r="D1118" s="39" t="s">
        <v>10125</v>
      </c>
      <c r="E1118" s="43" t="s">
        <v>10163</v>
      </c>
      <c r="F1118" s="43" t="s">
        <v>1419</v>
      </c>
      <c r="G1118" s="43" t="s">
        <v>5878</v>
      </c>
      <c r="H1118" s="42" t="s">
        <v>10164</v>
      </c>
      <c r="I1118" s="18">
        <f t="shared" si="6"/>
        <v>45980</v>
      </c>
      <c r="J1118" s="19" t="s">
        <v>28</v>
      </c>
      <c r="K1118" s="19" t="s">
        <v>5170</v>
      </c>
      <c r="L1118" s="40"/>
    </row>
    <row r="1119" ht="22.5" customHeight="1">
      <c r="C1119" s="19" t="s">
        <v>10124</v>
      </c>
      <c r="D1119" s="39" t="s">
        <v>10125</v>
      </c>
      <c r="E1119" s="43" t="s">
        <v>10165</v>
      </c>
      <c r="F1119" s="43" t="s">
        <v>10166</v>
      </c>
      <c r="G1119" s="43" t="s">
        <v>6548</v>
      </c>
      <c r="H1119" s="42" t="s">
        <v>10167</v>
      </c>
      <c r="I1119" s="18">
        <f t="shared" si="6"/>
        <v>45980</v>
      </c>
      <c r="J1119" s="19" t="s">
        <v>28</v>
      </c>
      <c r="K1119" s="19" t="s">
        <v>5170</v>
      </c>
      <c r="L1119" s="40"/>
    </row>
    <row r="1120" ht="22.5" customHeight="1">
      <c r="C1120" s="19" t="s">
        <v>10124</v>
      </c>
      <c r="D1120" s="39" t="s">
        <v>10125</v>
      </c>
      <c r="E1120" s="43" t="s">
        <v>10168</v>
      </c>
      <c r="F1120" s="43" t="s">
        <v>767</v>
      </c>
      <c r="G1120" s="43" t="s">
        <v>5988</v>
      </c>
      <c r="H1120" s="44">
        <v>9.17890012E9</v>
      </c>
      <c r="I1120" s="18">
        <f t="shared" si="6"/>
        <v>45980</v>
      </c>
      <c r="J1120" s="19" t="s">
        <v>28</v>
      </c>
      <c r="K1120" s="19" t="s">
        <v>5170</v>
      </c>
      <c r="L1120" s="40"/>
    </row>
    <row r="1121" ht="22.5" customHeight="1">
      <c r="C1121" s="19" t="s">
        <v>10124</v>
      </c>
      <c r="D1121" s="39" t="s">
        <v>10125</v>
      </c>
      <c r="E1121" s="43" t="s">
        <v>10169</v>
      </c>
      <c r="F1121" s="43" t="s">
        <v>10170</v>
      </c>
      <c r="G1121" s="43" t="s">
        <v>10171</v>
      </c>
      <c r="H1121" s="44">
        <v>5.104997979E9</v>
      </c>
      <c r="I1121" s="18">
        <f t="shared" si="6"/>
        <v>45980</v>
      </c>
      <c r="J1121" s="19" t="s">
        <v>28</v>
      </c>
      <c r="K1121" s="19" t="s">
        <v>5170</v>
      </c>
      <c r="L1121" s="40"/>
    </row>
    <row r="1122" ht="22.5" customHeight="1">
      <c r="C1122" s="19" t="s">
        <v>10124</v>
      </c>
      <c r="D1122" s="39" t="s">
        <v>10125</v>
      </c>
      <c r="E1122" s="43" t="s">
        <v>10172</v>
      </c>
      <c r="F1122" s="43" t="s">
        <v>4286</v>
      </c>
      <c r="G1122" s="43" t="s">
        <v>5866</v>
      </c>
      <c r="H1122" s="42" t="s">
        <v>10173</v>
      </c>
      <c r="I1122" s="18">
        <f t="shared" si="6"/>
        <v>45980</v>
      </c>
      <c r="J1122" s="19" t="s">
        <v>28</v>
      </c>
      <c r="K1122" s="19" t="s">
        <v>5170</v>
      </c>
      <c r="L1122" s="40"/>
    </row>
    <row r="1123" ht="22.5" customHeight="1">
      <c r="C1123" s="19" t="s">
        <v>10124</v>
      </c>
      <c r="D1123" s="39" t="s">
        <v>10125</v>
      </c>
      <c r="E1123" s="43" t="s">
        <v>10174</v>
      </c>
      <c r="F1123" s="43" t="s">
        <v>10175</v>
      </c>
      <c r="G1123" s="43" t="s">
        <v>5900</v>
      </c>
      <c r="H1123" s="42" t="s">
        <v>10176</v>
      </c>
      <c r="I1123" s="18">
        <f t="shared" si="6"/>
        <v>45980</v>
      </c>
      <c r="J1123" s="19" t="s">
        <v>28</v>
      </c>
      <c r="K1123" s="19" t="s">
        <v>5170</v>
      </c>
      <c r="L1123" s="40"/>
    </row>
    <row r="1124" ht="22.5" customHeight="1">
      <c r="C1124" s="19" t="s">
        <v>10124</v>
      </c>
      <c r="D1124" s="39" t="s">
        <v>10125</v>
      </c>
      <c r="E1124" s="43" t="s">
        <v>10177</v>
      </c>
      <c r="F1124" s="43" t="s">
        <v>10177</v>
      </c>
      <c r="G1124" s="43" t="s">
        <v>6098</v>
      </c>
      <c r="H1124" s="42" t="s">
        <v>10178</v>
      </c>
      <c r="I1124" s="18">
        <f t="shared" si="6"/>
        <v>45980</v>
      </c>
      <c r="J1124" s="19" t="s">
        <v>28</v>
      </c>
      <c r="K1124" s="19" t="s">
        <v>5170</v>
      </c>
      <c r="L1124" s="40"/>
    </row>
    <row r="1125" ht="22.5" customHeight="1">
      <c r="C1125" s="19" t="s">
        <v>10124</v>
      </c>
      <c r="D1125" s="39" t="s">
        <v>10125</v>
      </c>
      <c r="E1125" s="43" t="s">
        <v>10179</v>
      </c>
      <c r="F1125" s="43" t="s">
        <v>182</v>
      </c>
      <c r="G1125" s="43" t="s">
        <v>6076</v>
      </c>
      <c r="H1125" s="42" t="s">
        <v>10180</v>
      </c>
      <c r="I1125" s="18">
        <f t="shared" si="6"/>
        <v>45980</v>
      </c>
      <c r="J1125" s="19" t="s">
        <v>28</v>
      </c>
      <c r="K1125" s="19" t="s">
        <v>5170</v>
      </c>
      <c r="L1125" s="40"/>
    </row>
    <row r="1126" ht="22.5" customHeight="1">
      <c r="C1126" s="19" t="s">
        <v>10124</v>
      </c>
      <c r="D1126" s="39" t="s">
        <v>10125</v>
      </c>
      <c r="E1126" s="43" t="s">
        <v>10181</v>
      </c>
      <c r="F1126" s="43" t="s">
        <v>10182</v>
      </c>
      <c r="G1126" s="43" t="s">
        <v>6181</v>
      </c>
      <c r="H1126" s="44">
        <v>5.613138157E9</v>
      </c>
      <c r="I1126" s="18">
        <f t="shared" si="6"/>
        <v>45980</v>
      </c>
      <c r="J1126" s="19" t="s">
        <v>28</v>
      </c>
      <c r="K1126" s="19" t="s">
        <v>5170</v>
      </c>
      <c r="L1126" s="40"/>
    </row>
    <row r="1127" ht="22.5" customHeight="1">
      <c r="C1127" s="19" t="s">
        <v>10124</v>
      </c>
      <c r="D1127" s="39" t="s">
        <v>10125</v>
      </c>
      <c r="E1127" s="43" t="s">
        <v>10183</v>
      </c>
      <c r="F1127" s="43" t="s">
        <v>10184</v>
      </c>
      <c r="G1127" s="43" t="s">
        <v>6459</v>
      </c>
      <c r="H1127" s="42" t="s">
        <v>10185</v>
      </c>
      <c r="I1127" s="18">
        <f t="shared" si="6"/>
        <v>45980</v>
      </c>
      <c r="J1127" s="19" t="s">
        <v>28</v>
      </c>
      <c r="K1127" s="19" t="s">
        <v>5170</v>
      </c>
      <c r="L1127" s="40"/>
    </row>
    <row r="1128" ht="22.5" customHeight="1">
      <c r="C1128" s="19" t="s">
        <v>10124</v>
      </c>
      <c r="D1128" s="39" t="s">
        <v>10125</v>
      </c>
      <c r="E1128" s="43" t="s">
        <v>10186</v>
      </c>
      <c r="F1128" s="43" t="s">
        <v>10187</v>
      </c>
      <c r="G1128" s="43" t="s">
        <v>6063</v>
      </c>
      <c r="H1128" s="42" t="s">
        <v>10188</v>
      </c>
      <c r="I1128" s="18">
        <f t="shared" si="6"/>
        <v>45980</v>
      </c>
      <c r="J1128" s="19" t="s">
        <v>28</v>
      </c>
      <c r="K1128" s="19" t="s">
        <v>5170</v>
      </c>
      <c r="L1128" s="4"/>
    </row>
    <row r="1129" ht="22.5" customHeight="1">
      <c r="C1129" s="19" t="s">
        <v>10189</v>
      </c>
      <c r="D1129" s="39" t="s">
        <v>9534</v>
      </c>
      <c r="E1129" s="43" t="s">
        <v>10190</v>
      </c>
      <c r="F1129" s="43" t="s">
        <v>4656</v>
      </c>
      <c r="G1129" s="43" t="s">
        <v>5929</v>
      </c>
      <c r="H1129" s="44">
        <v>6.466389863E9</v>
      </c>
      <c r="I1129" s="18">
        <f t="shared" si="6"/>
        <v>45980</v>
      </c>
      <c r="J1129" s="19" t="s">
        <v>28</v>
      </c>
      <c r="K1129" s="19" t="s">
        <v>5170</v>
      </c>
      <c r="L1129" s="40"/>
    </row>
    <row r="1130" ht="22.5" customHeight="1">
      <c r="C1130" s="19" t="s">
        <v>10189</v>
      </c>
      <c r="D1130" s="39" t="s">
        <v>9537</v>
      </c>
      <c r="E1130" s="43" t="s">
        <v>10191</v>
      </c>
      <c r="F1130" s="43" t="s">
        <v>10192</v>
      </c>
      <c r="G1130" s="43" t="s">
        <v>9744</v>
      </c>
      <c r="H1130" s="42" t="s">
        <v>182</v>
      </c>
      <c r="I1130" s="18">
        <f t="shared" si="6"/>
        <v>45980</v>
      </c>
      <c r="J1130" s="19" t="s">
        <v>28</v>
      </c>
      <c r="K1130" s="19" t="s">
        <v>5170</v>
      </c>
      <c r="L1130" s="40"/>
    </row>
    <row r="1131" ht="22.5" customHeight="1">
      <c r="C1131" s="19" t="s">
        <v>10189</v>
      </c>
      <c r="D1131" s="39" t="s">
        <v>9540</v>
      </c>
      <c r="E1131" s="43" t="s">
        <v>10193</v>
      </c>
      <c r="F1131" s="43" t="s">
        <v>4656</v>
      </c>
      <c r="G1131" s="43" t="s">
        <v>5866</v>
      </c>
      <c r="H1131" s="42" t="s">
        <v>10194</v>
      </c>
      <c r="I1131" s="18">
        <f t="shared" si="6"/>
        <v>45980</v>
      </c>
      <c r="J1131" s="19" t="s">
        <v>28</v>
      </c>
      <c r="K1131" s="19" t="s">
        <v>5170</v>
      </c>
      <c r="L1131" s="40"/>
    </row>
    <row r="1132" ht="22.5" customHeight="1">
      <c r="C1132" s="19" t="s">
        <v>10189</v>
      </c>
      <c r="D1132" s="39" t="s">
        <v>9543</v>
      </c>
      <c r="E1132" s="43" t="s">
        <v>10195</v>
      </c>
      <c r="F1132" s="43" t="s">
        <v>10196</v>
      </c>
      <c r="G1132" s="43" t="s">
        <v>7398</v>
      </c>
      <c r="H1132" s="42" t="s">
        <v>10197</v>
      </c>
      <c r="I1132" s="18">
        <f t="shared" si="6"/>
        <v>45980</v>
      </c>
      <c r="J1132" s="19" t="s">
        <v>28</v>
      </c>
      <c r="K1132" s="19" t="s">
        <v>5170</v>
      </c>
      <c r="L1132" s="40"/>
    </row>
    <row r="1133" ht="22.5" customHeight="1">
      <c r="C1133" s="19" t="s">
        <v>10189</v>
      </c>
      <c r="D1133" s="39" t="s">
        <v>9547</v>
      </c>
      <c r="E1133" s="43" t="s">
        <v>10198</v>
      </c>
      <c r="F1133" s="43" t="s">
        <v>9398</v>
      </c>
      <c r="G1133" s="43" t="s">
        <v>5939</v>
      </c>
      <c r="H1133" s="44">
        <v>7.322076295E9</v>
      </c>
      <c r="I1133" s="18">
        <f t="shared" si="6"/>
        <v>45980</v>
      </c>
      <c r="J1133" s="19" t="s">
        <v>28</v>
      </c>
      <c r="K1133" s="19" t="s">
        <v>5170</v>
      </c>
      <c r="L1133" s="40"/>
    </row>
    <row r="1134" ht="22.5" customHeight="1">
      <c r="C1134" s="19" t="s">
        <v>10189</v>
      </c>
      <c r="D1134" s="39" t="s">
        <v>9551</v>
      </c>
      <c r="E1134" s="43" t="s">
        <v>10199</v>
      </c>
      <c r="F1134" s="43" t="s">
        <v>1419</v>
      </c>
      <c r="G1134" s="43" t="s">
        <v>5878</v>
      </c>
      <c r="H1134" s="42" t="s">
        <v>10200</v>
      </c>
      <c r="I1134" s="18">
        <f t="shared" si="6"/>
        <v>45980</v>
      </c>
      <c r="J1134" s="19" t="s">
        <v>28</v>
      </c>
      <c r="K1134" s="19" t="s">
        <v>5170</v>
      </c>
      <c r="L1134" s="40"/>
    </row>
    <row r="1135" ht="22.5" customHeight="1">
      <c r="C1135" s="19" t="s">
        <v>10189</v>
      </c>
      <c r="D1135" s="39" t="s">
        <v>9554</v>
      </c>
      <c r="E1135" s="43" t="s">
        <v>10201</v>
      </c>
      <c r="F1135" s="43" t="s">
        <v>10202</v>
      </c>
      <c r="G1135" s="43" t="s">
        <v>5908</v>
      </c>
      <c r="H1135" s="44">
        <v>9.147144227E9</v>
      </c>
      <c r="I1135" s="18">
        <f t="shared" si="6"/>
        <v>45980</v>
      </c>
      <c r="J1135" s="19" t="s">
        <v>28</v>
      </c>
      <c r="K1135" s="19" t="s">
        <v>5170</v>
      </c>
      <c r="L1135" s="40"/>
    </row>
    <row r="1136" ht="22.5" customHeight="1">
      <c r="C1136" s="19" t="s">
        <v>10189</v>
      </c>
      <c r="D1136" s="39" t="s">
        <v>9558</v>
      </c>
      <c r="E1136" s="43" t="s">
        <v>10203</v>
      </c>
      <c r="F1136" s="43" t="s">
        <v>10204</v>
      </c>
      <c r="G1136" s="43" t="s">
        <v>5850</v>
      </c>
      <c r="H1136" s="42" t="s">
        <v>10205</v>
      </c>
      <c r="I1136" s="18">
        <f t="shared" si="6"/>
        <v>45980</v>
      </c>
      <c r="J1136" s="19" t="s">
        <v>28</v>
      </c>
      <c r="K1136" s="19" t="s">
        <v>5170</v>
      </c>
      <c r="L1136" s="40"/>
    </row>
    <row r="1137" ht="22.5" customHeight="1">
      <c r="C1137" s="19" t="s">
        <v>10189</v>
      </c>
      <c r="D1137" s="39" t="s">
        <v>9561</v>
      </c>
      <c r="E1137" s="43" t="s">
        <v>10206</v>
      </c>
      <c r="F1137" s="43" t="s">
        <v>10207</v>
      </c>
      <c r="G1137" s="43" t="s">
        <v>5957</v>
      </c>
      <c r="H1137" s="42" t="s">
        <v>10208</v>
      </c>
      <c r="I1137" s="18">
        <f t="shared" si="6"/>
        <v>45980</v>
      </c>
      <c r="J1137" s="19" t="s">
        <v>28</v>
      </c>
      <c r="K1137" s="19" t="s">
        <v>5170</v>
      </c>
      <c r="L1137" s="40"/>
    </row>
    <row r="1138" ht="22.5" customHeight="1">
      <c r="C1138" s="19" t="s">
        <v>10189</v>
      </c>
      <c r="D1138" s="39" t="s">
        <v>9564</v>
      </c>
      <c r="E1138" s="43" t="s">
        <v>10209</v>
      </c>
      <c r="F1138" s="43" t="s">
        <v>10210</v>
      </c>
      <c r="G1138" s="43" t="s">
        <v>6459</v>
      </c>
      <c r="H1138" s="42" t="s">
        <v>10211</v>
      </c>
      <c r="I1138" s="18">
        <f t="shared" si="6"/>
        <v>45980</v>
      </c>
      <c r="J1138" s="19" t="s">
        <v>28</v>
      </c>
      <c r="K1138" s="19" t="s">
        <v>5170</v>
      </c>
      <c r="L1138" s="40"/>
    </row>
    <row r="1139" ht="22.5" customHeight="1">
      <c r="C1139" s="19" t="s">
        <v>10189</v>
      </c>
      <c r="D1139" s="39" t="s">
        <v>9567</v>
      </c>
      <c r="E1139" s="43" t="s">
        <v>10212</v>
      </c>
      <c r="F1139" s="43" t="s">
        <v>10213</v>
      </c>
      <c r="G1139" s="43" t="s">
        <v>5949</v>
      </c>
      <c r="H1139" s="44">
        <v>9.176262341E9</v>
      </c>
      <c r="I1139" s="18">
        <f t="shared" si="6"/>
        <v>45980</v>
      </c>
      <c r="J1139" s="19" t="s">
        <v>28</v>
      </c>
      <c r="K1139" s="19" t="s">
        <v>5170</v>
      </c>
      <c r="L1139" s="40"/>
    </row>
    <row r="1140" ht="22.5" customHeight="1">
      <c r="C1140" s="19" t="s">
        <v>10189</v>
      </c>
      <c r="D1140" s="39" t="s">
        <v>9569</v>
      </c>
      <c r="E1140" s="43" t="s">
        <v>10214</v>
      </c>
      <c r="F1140" s="43" t="s">
        <v>10215</v>
      </c>
      <c r="G1140" s="43" t="s">
        <v>7030</v>
      </c>
      <c r="H1140" s="44">
        <v>5.1687295E9</v>
      </c>
      <c r="I1140" s="18">
        <f t="shared" si="6"/>
        <v>45980</v>
      </c>
      <c r="J1140" s="19" t="s">
        <v>28</v>
      </c>
      <c r="K1140" s="19" t="s">
        <v>5170</v>
      </c>
      <c r="L1140" s="40"/>
    </row>
    <row r="1141" ht="22.5" customHeight="1">
      <c r="C1141" s="19" t="s">
        <v>10189</v>
      </c>
      <c r="D1141" s="39" t="s">
        <v>9573</v>
      </c>
      <c r="E1141" s="43" t="s">
        <v>10216</v>
      </c>
      <c r="F1141" s="43" t="s">
        <v>10217</v>
      </c>
      <c r="G1141" s="43" t="s">
        <v>7482</v>
      </c>
      <c r="H1141" s="42" t="s">
        <v>10218</v>
      </c>
      <c r="I1141" s="18">
        <f t="shared" si="6"/>
        <v>45980</v>
      </c>
      <c r="J1141" s="19" t="s">
        <v>28</v>
      </c>
      <c r="K1141" s="19" t="s">
        <v>5170</v>
      </c>
      <c r="L1141" s="40"/>
    </row>
    <row r="1142" ht="22.5" customHeight="1">
      <c r="C1142" s="19" t="s">
        <v>10189</v>
      </c>
      <c r="D1142" s="39" t="s">
        <v>9577</v>
      </c>
      <c r="E1142" s="43" t="s">
        <v>10219</v>
      </c>
      <c r="F1142" s="43" t="s">
        <v>10220</v>
      </c>
      <c r="G1142" s="43" t="s">
        <v>6063</v>
      </c>
      <c r="H1142" s="44">
        <v>6.465187273E9</v>
      </c>
      <c r="I1142" s="18">
        <f t="shared" si="6"/>
        <v>45980</v>
      </c>
      <c r="J1142" s="19" t="s">
        <v>28</v>
      </c>
      <c r="K1142" s="19" t="s">
        <v>5170</v>
      </c>
      <c r="L1142" s="40"/>
    </row>
    <row r="1143" ht="22.5" customHeight="1">
      <c r="C1143" s="19" t="s">
        <v>10189</v>
      </c>
      <c r="D1143" s="39" t="s">
        <v>9581</v>
      </c>
      <c r="E1143" s="43" t="s">
        <v>10221</v>
      </c>
      <c r="F1143" s="43" t="s">
        <v>10222</v>
      </c>
      <c r="G1143" s="43" t="s">
        <v>8748</v>
      </c>
      <c r="H1143" s="42" t="s">
        <v>10223</v>
      </c>
      <c r="I1143" s="18">
        <f t="shared" si="6"/>
        <v>45980</v>
      </c>
      <c r="J1143" s="19" t="s">
        <v>28</v>
      </c>
      <c r="K1143" s="19" t="s">
        <v>5170</v>
      </c>
      <c r="L1143" s="40"/>
    </row>
    <row r="1144" ht="22.5" customHeight="1">
      <c r="C1144" s="19" t="s">
        <v>10224</v>
      </c>
      <c r="D1144" s="39" t="s">
        <v>9534</v>
      </c>
      <c r="E1144" s="43" t="s">
        <v>10225</v>
      </c>
      <c r="F1144" s="48" t="s">
        <v>10226</v>
      </c>
      <c r="G1144" s="43" t="s">
        <v>5957</v>
      </c>
      <c r="H1144" s="44">
        <v>9.174007871E9</v>
      </c>
      <c r="I1144" s="18">
        <f t="shared" si="6"/>
        <v>45980</v>
      </c>
      <c r="J1144" s="19" t="s">
        <v>28</v>
      </c>
      <c r="K1144" s="19" t="s">
        <v>5170</v>
      </c>
      <c r="L1144" s="40"/>
    </row>
    <row r="1145" ht="22.5" customHeight="1">
      <c r="C1145" s="19" t="s">
        <v>10224</v>
      </c>
      <c r="D1145" s="39" t="s">
        <v>9537</v>
      </c>
      <c r="E1145" s="43" t="s">
        <v>10227</v>
      </c>
      <c r="F1145" s="43" t="s">
        <v>10228</v>
      </c>
      <c r="G1145" s="43" t="s">
        <v>6459</v>
      </c>
      <c r="H1145" s="42" t="s">
        <v>10229</v>
      </c>
      <c r="I1145" s="18">
        <f t="shared" si="6"/>
        <v>45980</v>
      </c>
      <c r="J1145" s="19" t="s">
        <v>28</v>
      </c>
      <c r="K1145" s="19" t="s">
        <v>5170</v>
      </c>
      <c r="L1145" s="40"/>
    </row>
    <row r="1146" ht="22.5" customHeight="1">
      <c r="C1146" s="19" t="s">
        <v>10224</v>
      </c>
      <c r="D1146" s="39" t="s">
        <v>9540</v>
      </c>
      <c r="E1146" s="43" t="s">
        <v>10230</v>
      </c>
      <c r="F1146" s="43" t="s">
        <v>10231</v>
      </c>
      <c r="G1146" s="43" t="s">
        <v>6063</v>
      </c>
      <c r="H1146" s="42" t="s">
        <v>10232</v>
      </c>
      <c r="I1146" s="18">
        <f t="shared" si="6"/>
        <v>45980</v>
      </c>
      <c r="J1146" s="19" t="s">
        <v>28</v>
      </c>
      <c r="K1146" s="19" t="s">
        <v>5170</v>
      </c>
      <c r="L1146" s="4"/>
    </row>
    <row r="1147" ht="22.5" customHeight="1">
      <c r="C1147" s="19" t="s">
        <v>10224</v>
      </c>
      <c r="D1147" s="39" t="s">
        <v>9543</v>
      </c>
      <c r="E1147" s="43" t="s">
        <v>10233</v>
      </c>
      <c r="F1147" s="43" t="s">
        <v>10234</v>
      </c>
      <c r="G1147" s="43" t="s">
        <v>6004</v>
      </c>
      <c r="H1147" s="44">
        <v>2.017876542E9</v>
      </c>
      <c r="I1147" s="18">
        <f t="shared" si="6"/>
        <v>45980</v>
      </c>
      <c r="J1147" s="19" t="s">
        <v>28</v>
      </c>
      <c r="K1147" s="19" t="s">
        <v>5170</v>
      </c>
      <c r="L1147" s="40"/>
    </row>
    <row r="1148" ht="22.5" customHeight="1">
      <c r="C1148" s="19" t="s">
        <v>10224</v>
      </c>
      <c r="D1148" s="39" t="s">
        <v>9547</v>
      </c>
      <c r="E1148" s="43" t="s">
        <v>10235</v>
      </c>
      <c r="F1148" s="43" t="s">
        <v>10236</v>
      </c>
      <c r="G1148" s="43" t="s">
        <v>6548</v>
      </c>
      <c r="H1148" s="42" t="s">
        <v>10237</v>
      </c>
      <c r="I1148" s="18">
        <f t="shared" si="6"/>
        <v>45980</v>
      </c>
      <c r="J1148" s="19" t="s">
        <v>28</v>
      </c>
      <c r="K1148" s="19" t="s">
        <v>5170</v>
      </c>
      <c r="L1148" s="40"/>
    </row>
    <row r="1149" ht="22.5" customHeight="1">
      <c r="C1149" s="19" t="s">
        <v>10224</v>
      </c>
      <c r="D1149" s="39" t="s">
        <v>9551</v>
      </c>
      <c r="E1149" s="43" t="s">
        <v>10238</v>
      </c>
      <c r="F1149" s="43" t="s">
        <v>10239</v>
      </c>
      <c r="G1149" s="43" t="s">
        <v>5820</v>
      </c>
      <c r="H1149" s="44">
        <v>9.176876045E9</v>
      </c>
      <c r="I1149" s="18">
        <f t="shared" si="6"/>
        <v>45980</v>
      </c>
      <c r="J1149" s="19" t="s">
        <v>28</v>
      </c>
      <c r="K1149" s="19" t="s">
        <v>5170</v>
      </c>
      <c r="L1149" s="40"/>
    </row>
    <row r="1150" ht="22.5" customHeight="1">
      <c r="C1150" s="19" t="s">
        <v>10224</v>
      </c>
      <c r="D1150" s="39" t="s">
        <v>9554</v>
      </c>
      <c r="E1150" s="43" t="s">
        <v>10240</v>
      </c>
      <c r="F1150" s="43" t="s">
        <v>10241</v>
      </c>
      <c r="G1150" s="43" t="s">
        <v>6068</v>
      </c>
      <c r="H1150" s="42" t="s">
        <v>10242</v>
      </c>
      <c r="I1150" s="18">
        <f t="shared" si="6"/>
        <v>45980</v>
      </c>
      <c r="J1150" s="19" t="s">
        <v>28</v>
      </c>
      <c r="K1150" s="19" t="s">
        <v>5170</v>
      </c>
      <c r="L1150" s="40"/>
    </row>
    <row r="1151" ht="22.5" customHeight="1">
      <c r="C1151" s="19" t="s">
        <v>10224</v>
      </c>
      <c r="D1151" s="39" t="s">
        <v>9558</v>
      </c>
      <c r="E1151" s="43" t="s">
        <v>10243</v>
      </c>
      <c r="F1151" s="43" t="s">
        <v>2452</v>
      </c>
      <c r="G1151" s="43" t="s">
        <v>10244</v>
      </c>
      <c r="H1151" s="44">
        <v>4.406232405E9</v>
      </c>
      <c r="I1151" s="18">
        <f t="shared" si="6"/>
        <v>45980</v>
      </c>
      <c r="J1151" s="19" t="s">
        <v>28</v>
      </c>
      <c r="K1151" s="19" t="s">
        <v>5170</v>
      </c>
      <c r="L1151" s="40"/>
    </row>
    <row r="1152" ht="22.5" customHeight="1">
      <c r="C1152" s="19" t="s">
        <v>10224</v>
      </c>
      <c r="D1152" s="39" t="s">
        <v>9561</v>
      </c>
      <c r="E1152" s="43" t="s">
        <v>10245</v>
      </c>
      <c r="F1152" s="43" t="s">
        <v>8732</v>
      </c>
      <c r="G1152" s="43" t="s">
        <v>5878</v>
      </c>
      <c r="H1152" s="44">
        <v>9.17935814E9</v>
      </c>
      <c r="I1152" s="18">
        <f t="shared" si="6"/>
        <v>45980</v>
      </c>
      <c r="J1152" s="19" t="s">
        <v>28</v>
      </c>
      <c r="K1152" s="19" t="s">
        <v>5170</v>
      </c>
      <c r="L1152" s="40"/>
    </row>
    <row r="1153" ht="22.5" customHeight="1">
      <c r="C1153" s="19" t="s">
        <v>10224</v>
      </c>
      <c r="D1153" s="39" t="s">
        <v>9564</v>
      </c>
      <c r="E1153" s="43" t="s">
        <v>10246</v>
      </c>
      <c r="F1153" s="43" t="s">
        <v>10247</v>
      </c>
      <c r="G1153" s="43" t="s">
        <v>5917</v>
      </c>
      <c r="H1153" s="44">
        <v>6.468877772E9</v>
      </c>
      <c r="I1153" s="18">
        <f t="shared" si="6"/>
        <v>45980</v>
      </c>
      <c r="J1153" s="19" t="s">
        <v>28</v>
      </c>
      <c r="K1153" s="19" t="s">
        <v>5170</v>
      </c>
      <c r="L1153" s="40"/>
    </row>
    <row r="1154" ht="22.5" customHeight="1">
      <c r="C1154" s="19" t="s">
        <v>10224</v>
      </c>
      <c r="D1154" s="39" t="s">
        <v>9567</v>
      </c>
      <c r="E1154" s="43" t="s">
        <v>10248</v>
      </c>
      <c r="F1154" s="43" t="s">
        <v>10249</v>
      </c>
      <c r="G1154" s="43" t="s">
        <v>6957</v>
      </c>
      <c r="H1154" s="44">
        <v>2.078077522E9</v>
      </c>
      <c r="I1154" s="18">
        <f t="shared" si="6"/>
        <v>45980</v>
      </c>
      <c r="J1154" s="19" t="s">
        <v>28</v>
      </c>
      <c r="K1154" s="19" t="s">
        <v>5170</v>
      </c>
      <c r="L1154" s="40"/>
    </row>
    <row r="1155" ht="22.5" customHeight="1">
      <c r="C1155" s="19" t="s">
        <v>10224</v>
      </c>
      <c r="D1155" s="39" t="s">
        <v>9569</v>
      </c>
      <c r="E1155" s="43" t="s">
        <v>10250</v>
      </c>
      <c r="F1155" s="43" t="s">
        <v>10251</v>
      </c>
      <c r="G1155" s="43" t="s">
        <v>5949</v>
      </c>
      <c r="H1155" s="44">
        <v>2.502178782E9</v>
      </c>
      <c r="I1155" s="18">
        <f t="shared" si="6"/>
        <v>45980</v>
      </c>
      <c r="J1155" s="19" t="s">
        <v>28</v>
      </c>
      <c r="K1155" s="19" t="s">
        <v>5170</v>
      </c>
      <c r="L1155" s="40"/>
    </row>
    <row r="1156" ht="22.5" customHeight="1">
      <c r="C1156" s="19" t="s">
        <v>10224</v>
      </c>
      <c r="D1156" s="39" t="s">
        <v>9573</v>
      </c>
      <c r="E1156" s="43" t="s">
        <v>10252</v>
      </c>
      <c r="F1156" s="43" t="s">
        <v>8823</v>
      </c>
      <c r="G1156" s="43" t="s">
        <v>7030</v>
      </c>
      <c r="H1156" s="42" t="s">
        <v>10253</v>
      </c>
      <c r="I1156" s="18">
        <f t="shared" si="6"/>
        <v>45980</v>
      </c>
      <c r="J1156" s="19" t="s">
        <v>28</v>
      </c>
      <c r="K1156" s="19" t="s">
        <v>5170</v>
      </c>
      <c r="L1156" s="40"/>
    </row>
    <row r="1157" ht="22.5" customHeight="1">
      <c r="C1157" s="19" t="s">
        <v>10224</v>
      </c>
      <c r="D1157" s="39" t="s">
        <v>9577</v>
      </c>
      <c r="E1157" s="43" t="s">
        <v>10254</v>
      </c>
      <c r="F1157" s="43" t="s">
        <v>10255</v>
      </c>
      <c r="G1157" s="43" t="s">
        <v>5878</v>
      </c>
      <c r="H1157" s="44">
        <v>7.149143219E9</v>
      </c>
      <c r="I1157" s="18">
        <f t="shared" si="6"/>
        <v>45980</v>
      </c>
      <c r="J1157" s="19" t="s">
        <v>28</v>
      </c>
      <c r="K1157" s="19" t="s">
        <v>5170</v>
      </c>
      <c r="L1157" s="40"/>
    </row>
    <row r="1158" ht="22.5" customHeight="1">
      <c r="C1158" s="19" t="s">
        <v>10224</v>
      </c>
      <c r="D1158" s="39" t="s">
        <v>9581</v>
      </c>
      <c r="E1158" s="43" t="s">
        <v>10256</v>
      </c>
      <c r="F1158" s="43" t="s">
        <v>10257</v>
      </c>
      <c r="G1158" s="43" t="s">
        <v>5908</v>
      </c>
      <c r="H1158" s="42" t="s">
        <v>10258</v>
      </c>
      <c r="I1158" s="18">
        <f t="shared" si="6"/>
        <v>45980</v>
      </c>
      <c r="J1158" s="19" t="s">
        <v>28</v>
      </c>
      <c r="K1158" s="19" t="s">
        <v>5170</v>
      </c>
      <c r="L1158" s="40"/>
    </row>
    <row r="1159" ht="22.5" customHeight="1">
      <c r="C1159" s="19" t="s">
        <v>10224</v>
      </c>
      <c r="D1159" s="39" t="s">
        <v>9584</v>
      </c>
      <c r="E1159" s="43" t="s">
        <v>10259</v>
      </c>
      <c r="F1159" s="43" t="s">
        <v>10260</v>
      </c>
      <c r="G1159" s="43" t="s">
        <v>5866</v>
      </c>
      <c r="H1159" s="42" t="s">
        <v>10261</v>
      </c>
      <c r="I1159" s="18">
        <f t="shared" si="6"/>
        <v>45980</v>
      </c>
      <c r="J1159" s="19" t="s">
        <v>28</v>
      </c>
      <c r="K1159" s="19" t="s">
        <v>5170</v>
      </c>
      <c r="L1159" s="40"/>
    </row>
    <row r="1160" ht="22.5" customHeight="1">
      <c r="C1160" s="19"/>
      <c r="E1160" s="43"/>
      <c r="F1160" s="28"/>
      <c r="G1160" s="43"/>
      <c r="H1160" s="42"/>
      <c r="I1160" s="12"/>
      <c r="J1160" s="19"/>
      <c r="K1160" s="19"/>
      <c r="L1160" s="40"/>
    </row>
    <row r="1161" ht="22.5" customHeight="1">
      <c r="C1161" s="19"/>
      <c r="E1161" s="43"/>
      <c r="F1161" s="43"/>
      <c r="G1161" s="43"/>
      <c r="H1161" s="42"/>
      <c r="I1161" s="12"/>
      <c r="J1161" s="19"/>
      <c r="K1161" s="19"/>
      <c r="L1161" s="40"/>
    </row>
    <row r="1162" ht="22.5" customHeight="1">
      <c r="C1162" s="19"/>
      <c r="E1162" s="43"/>
      <c r="F1162" s="43"/>
      <c r="G1162" s="43"/>
      <c r="H1162" s="42"/>
      <c r="I1162" s="12"/>
      <c r="J1162" s="19"/>
      <c r="K1162" s="19"/>
      <c r="L1162" s="40"/>
    </row>
    <row r="1163" ht="22.5" customHeight="1">
      <c r="C1163" s="19"/>
      <c r="E1163" s="43"/>
      <c r="F1163" s="43"/>
      <c r="G1163" s="43"/>
      <c r="H1163" s="44"/>
      <c r="I1163" s="12"/>
      <c r="J1163" s="19"/>
      <c r="K1163" s="19"/>
      <c r="L1163" s="40"/>
    </row>
    <row r="1164" ht="22.5" customHeight="1">
      <c r="C1164" s="19"/>
      <c r="E1164" s="43"/>
      <c r="F1164" s="43"/>
      <c r="G1164" s="43"/>
      <c r="H1164" s="44"/>
      <c r="I1164" s="12"/>
      <c r="J1164" s="19"/>
      <c r="K1164" s="19"/>
      <c r="L1164" s="40"/>
    </row>
    <row r="1165" ht="22.5" customHeight="1">
      <c r="C1165" s="19"/>
      <c r="E1165" s="43"/>
      <c r="F1165" s="43"/>
      <c r="G1165" s="43"/>
      <c r="H1165" s="42"/>
      <c r="I1165" s="12"/>
      <c r="J1165" s="19"/>
      <c r="K1165" s="19"/>
      <c r="L1165" s="40"/>
    </row>
    <row r="1166" ht="22.5" customHeight="1">
      <c r="C1166" s="19"/>
      <c r="E1166" s="43"/>
      <c r="F1166" s="43"/>
      <c r="G1166" s="43"/>
      <c r="H1166" s="42"/>
      <c r="I1166" s="12"/>
      <c r="J1166" s="19"/>
      <c r="K1166" s="19"/>
      <c r="L1166" s="40"/>
    </row>
    <row r="1167" ht="22.5" customHeight="1">
      <c r="C1167" s="19"/>
      <c r="E1167" s="43"/>
      <c r="F1167" s="43"/>
      <c r="G1167" s="43"/>
      <c r="H1167" s="42"/>
      <c r="I1167" s="12"/>
      <c r="J1167" s="19"/>
      <c r="K1167" s="19"/>
      <c r="L1167" s="40"/>
    </row>
    <row r="1168" ht="22.5" customHeight="1">
      <c r="C1168" s="19"/>
      <c r="E1168" s="43"/>
      <c r="F1168" s="43"/>
      <c r="G1168" s="43"/>
      <c r="H1168" s="44"/>
      <c r="I1168" s="12"/>
      <c r="J1168" s="19"/>
      <c r="K1168" s="19"/>
      <c r="L1168" s="40"/>
    </row>
    <row r="1169" ht="22.5" customHeight="1">
      <c r="C1169" s="19"/>
      <c r="E1169" s="43"/>
      <c r="F1169" s="43"/>
      <c r="G1169" s="43"/>
      <c r="H1169" s="44"/>
      <c r="I1169" s="12"/>
      <c r="J1169" s="19"/>
      <c r="K1169" s="19"/>
      <c r="L1169" s="40"/>
    </row>
    <row r="1170" ht="22.5" customHeight="1">
      <c r="C1170" s="19"/>
      <c r="E1170" s="43"/>
      <c r="F1170" s="43"/>
      <c r="G1170" s="43"/>
      <c r="H1170" s="44"/>
      <c r="I1170" s="12"/>
      <c r="J1170" s="19"/>
      <c r="K1170" s="19"/>
      <c r="L1170" s="40"/>
    </row>
    <row r="1171" ht="22.5" customHeight="1">
      <c r="C1171" s="19"/>
      <c r="E1171" s="43"/>
      <c r="F1171" s="43"/>
      <c r="G1171" s="43"/>
      <c r="H1171" s="44"/>
      <c r="I1171" s="12"/>
      <c r="J1171" s="19"/>
      <c r="K1171" s="19"/>
      <c r="L1171" s="40"/>
    </row>
    <row r="1172" ht="22.5" customHeight="1">
      <c r="C1172" s="19"/>
      <c r="E1172" s="43"/>
      <c r="F1172" s="43"/>
      <c r="G1172" s="43"/>
      <c r="H1172" s="44"/>
      <c r="I1172" s="12"/>
      <c r="J1172" s="19"/>
      <c r="K1172" s="19"/>
      <c r="L1172" s="40"/>
    </row>
    <row r="1173" ht="22.5" customHeight="1">
      <c r="C1173" s="19"/>
      <c r="E1173" s="43"/>
      <c r="F1173" s="43"/>
      <c r="G1173" s="43"/>
      <c r="H1173" s="44"/>
      <c r="I1173" s="12"/>
      <c r="J1173" s="19"/>
      <c r="K1173" s="19"/>
      <c r="L1173" s="40"/>
    </row>
    <row r="1174" ht="22.5" customHeight="1">
      <c r="C1174" s="19"/>
      <c r="E1174" s="43"/>
      <c r="F1174" s="43"/>
      <c r="G1174" s="43"/>
      <c r="H1174" s="42"/>
      <c r="I1174" s="12"/>
      <c r="J1174" s="19"/>
      <c r="K1174" s="19"/>
      <c r="L1174" s="40"/>
    </row>
    <row r="1175" ht="22.5" customHeight="1">
      <c r="C1175" s="19"/>
      <c r="E1175" s="43"/>
      <c r="F1175" s="43"/>
      <c r="G1175" s="43"/>
      <c r="H1175" s="42"/>
      <c r="I1175" s="12"/>
      <c r="J1175" s="19"/>
      <c r="K1175" s="19"/>
      <c r="L1175" s="40"/>
    </row>
    <row r="1176" ht="22.5" customHeight="1">
      <c r="C1176" s="19"/>
      <c r="E1176" s="43"/>
      <c r="F1176" s="43"/>
      <c r="G1176" s="43"/>
      <c r="H1176" s="42"/>
      <c r="I1176" s="12"/>
      <c r="J1176" s="19"/>
      <c r="K1176" s="19"/>
      <c r="L1176" s="40"/>
    </row>
    <row r="1177" ht="22.5" customHeight="1">
      <c r="C1177" s="19"/>
      <c r="E1177" s="43"/>
      <c r="F1177" s="43"/>
      <c r="G1177" s="43"/>
      <c r="H1177" s="42"/>
      <c r="I1177" s="12"/>
      <c r="J1177" s="19"/>
      <c r="K1177" s="19"/>
      <c r="L1177" s="40"/>
    </row>
    <row r="1178" ht="22.5" customHeight="1">
      <c r="C1178" s="19"/>
      <c r="E1178" s="43"/>
      <c r="F1178" s="43"/>
      <c r="G1178" s="43"/>
      <c r="H1178" s="44"/>
      <c r="I1178" s="12"/>
      <c r="J1178" s="19"/>
      <c r="K1178" s="19"/>
      <c r="L1178" s="4"/>
    </row>
    <row r="1179" ht="22.5" customHeight="1">
      <c r="C1179" s="19"/>
      <c r="E1179" s="43"/>
      <c r="F1179" s="43"/>
      <c r="G1179" s="43"/>
      <c r="H1179" s="42"/>
      <c r="I1179" s="12"/>
      <c r="J1179" s="19"/>
      <c r="K1179" s="19"/>
      <c r="L1179" s="40"/>
    </row>
    <row r="1180" ht="22.5" customHeight="1">
      <c r="C1180" s="19"/>
      <c r="E1180" s="43"/>
      <c r="F1180" s="43"/>
      <c r="G1180" s="43"/>
      <c r="H1180" s="44"/>
      <c r="I1180" s="12"/>
      <c r="J1180" s="19"/>
      <c r="K1180" s="19"/>
      <c r="L1180" s="40"/>
    </row>
    <row r="1181" ht="22.5" customHeight="1">
      <c r="C1181" s="19"/>
      <c r="E1181" s="43"/>
      <c r="F1181" s="43"/>
      <c r="G1181" s="43"/>
      <c r="H1181" s="44"/>
      <c r="I1181" s="12"/>
      <c r="J1181" s="19"/>
      <c r="K1181" s="19"/>
      <c r="L1181" s="40"/>
    </row>
    <row r="1182" ht="22.5" customHeight="1">
      <c r="C1182" s="19"/>
      <c r="E1182" s="43"/>
      <c r="F1182" s="43"/>
      <c r="G1182" s="43"/>
      <c r="H1182" s="42"/>
      <c r="I1182" s="12"/>
      <c r="J1182" s="19"/>
      <c r="K1182" s="19"/>
      <c r="L1182" s="40"/>
    </row>
    <row r="1183" ht="22.5" customHeight="1">
      <c r="C1183" s="19"/>
      <c r="E1183" s="43"/>
      <c r="F1183" s="43"/>
      <c r="G1183" s="43"/>
      <c r="H1183" s="44"/>
      <c r="I1183" s="12"/>
      <c r="J1183" s="19"/>
      <c r="K1183" s="19"/>
      <c r="L1183" s="40"/>
    </row>
    <row r="1184" ht="22.5" customHeight="1">
      <c r="C1184" s="19"/>
      <c r="E1184" s="43"/>
      <c r="F1184" s="43"/>
      <c r="G1184" s="43"/>
      <c r="H1184" s="44"/>
      <c r="I1184" s="12"/>
      <c r="J1184" s="19"/>
      <c r="K1184" s="19"/>
      <c r="L1184" s="40"/>
    </row>
    <row r="1185" ht="22.5" customHeight="1">
      <c r="C1185" s="19"/>
      <c r="E1185" s="43"/>
      <c r="F1185" s="43"/>
      <c r="G1185" s="43"/>
      <c r="H1185" s="44"/>
      <c r="I1185" s="12"/>
      <c r="J1185" s="19"/>
      <c r="K1185" s="19"/>
      <c r="L1185" s="40"/>
    </row>
    <row r="1186" ht="22.5" customHeight="1">
      <c r="C1186" s="19"/>
      <c r="E1186" s="43"/>
      <c r="F1186" s="43"/>
      <c r="G1186" s="43"/>
      <c r="H1186" s="44"/>
      <c r="I1186" s="12"/>
      <c r="J1186" s="19"/>
      <c r="K1186" s="19"/>
      <c r="L1186" s="40"/>
    </row>
    <row r="1187" ht="22.5" customHeight="1">
      <c r="C1187" s="19"/>
      <c r="E1187" s="43"/>
      <c r="F1187" s="43"/>
      <c r="G1187" s="43"/>
      <c r="H1187" s="44"/>
      <c r="I1187" s="12"/>
      <c r="J1187" s="19"/>
      <c r="K1187" s="19"/>
      <c r="L1187" s="40"/>
    </row>
    <row r="1188" ht="22.5" customHeight="1">
      <c r="C1188" s="19"/>
      <c r="E1188" s="43"/>
      <c r="F1188" s="43"/>
      <c r="G1188" s="43"/>
      <c r="H1188" s="42"/>
      <c r="I1188" s="12"/>
      <c r="J1188" s="19"/>
      <c r="K1188" s="19"/>
      <c r="L1188" s="40"/>
    </row>
    <row r="1189" ht="22.5" customHeight="1">
      <c r="C1189" s="19"/>
      <c r="E1189" s="43"/>
      <c r="F1189" s="43"/>
      <c r="G1189" s="43"/>
      <c r="H1189" s="42"/>
      <c r="I1189" s="12"/>
      <c r="J1189" s="19"/>
      <c r="K1189" s="19"/>
      <c r="L1189" s="40"/>
    </row>
    <row r="1190" ht="22.5" customHeight="1">
      <c r="C1190" s="19"/>
      <c r="E1190" s="43"/>
      <c r="F1190" s="43"/>
      <c r="G1190" s="43"/>
      <c r="H1190" s="44"/>
      <c r="I1190" s="12"/>
      <c r="J1190" s="19"/>
      <c r="K1190" s="19"/>
      <c r="L1190" s="40"/>
    </row>
    <row r="1191" ht="22.5" customHeight="1">
      <c r="C1191" s="19"/>
      <c r="E1191" s="43"/>
      <c r="F1191" s="43"/>
      <c r="G1191" s="43"/>
      <c r="H1191" s="42"/>
      <c r="I1191" s="12"/>
      <c r="J1191" s="19"/>
      <c r="K1191" s="19"/>
      <c r="L1191" s="4"/>
    </row>
    <row r="1192" ht="22.5" customHeight="1">
      <c r="C1192" s="19"/>
      <c r="E1192" s="43"/>
      <c r="F1192" s="43"/>
      <c r="G1192" s="43"/>
      <c r="H1192" s="42"/>
      <c r="I1192" s="12"/>
      <c r="J1192" s="19"/>
      <c r="K1192" s="19"/>
      <c r="L1192" s="40"/>
    </row>
    <row r="1193" ht="22.5" customHeight="1">
      <c r="C1193" s="19"/>
      <c r="E1193" s="43"/>
      <c r="F1193" s="43"/>
      <c r="G1193" s="43"/>
      <c r="H1193" s="42"/>
      <c r="I1193" s="12"/>
      <c r="J1193" s="19"/>
      <c r="K1193" s="19"/>
      <c r="L1193" s="40"/>
    </row>
    <row r="1194" ht="22.5" customHeight="1">
      <c r="C1194" s="19"/>
      <c r="E1194" s="43"/>
      <c r="F1194" s="43"/>
      <c r="G1194" s="43"/>
      <c r="H1194" s="44"/>
      <c r="I1194" s="12"/>
      <c r="J1194" s="19"/>
      <c r="K1194" s="19"/>
      <c r="L1194" s="40"/>
    </row>
    <row r="1195" ht="22.5" customHeight="1">
      <c r="C1195" s="19"/>
      <c r="E1195" s="43"/>
      <c r="F1195" s="43"/>
      <c r="G1195" s="43"/>
      <c r="H1195" s="44"/>
      <c r="I1195" s="12"/>
      <c r="J1195" s="19"/>
      <c r="K1195" s="19"/>
      <c r="L1195" s="40"/>
    </row>
    <row r="1196" ht="22.5" customHeight="1">
      <c r="C1196" s="19"/>
      <c r="E1196" s="43"/>
      <c r="F1196" s="43"/>
      <c r="G1196" s="43"/>
      <c r="H1196" s="44"/>
      <c r="I1196" s="12"/>
      <c r="J1196" s="19"/>
      <c r="K1196" s="19"/>
      <c r="L1196" s="40"/>
    </row>
    <row r="1197" ht="22.5" customHeight="1">
      <c r="C1197" s="19"/>
      <c r="E1197" s="43"/>
      <c r="F1197" s="43"/>
      <c r="G1197" s="43"/>
      <c r="H1197" s="42"/>
      <c r="I1197" s="12"/>
      <c r="J1197" s="19"/>
      <c r="K1197" s="19"/>
      <c r="L1197" s="40"/>
    </row>
    <row r="1198" ht="22.5" customHeight="1">
      <c r="C1198" s="19"/>
      <c r="E1198" s="43"/>
      <c r="F1198" s="43"/>
      <c r="G1198" s="43"/>
      <c r="H1198" s="44"/>
      <c r="I1198" s="12"/>
      <c r="J1198" s="19"/>
      <c r="K1198" s="19"/>
      <c r="L1198" s="40"/>
    </row>
    <row r="1199" ht="22.5" customHeight="1">
      <c r="C1199" s="19"/>
      <c r="E1199" s="43"/>
      <c r="F1199" s="43"/>
      <c r="G1199" s="43"/>
      <c r="H1199" s="42"/>
      <c r="I1199" s="12"/>
      <c r="J1199" s="19"/>
      <c r="K1199" s="19"/>
      <c r="L1199" s="40"/>
    </row>
    <row r="1200" ht="22.5" customHeight="1">
      <c r="C1200" s="19"/>
      <c r="E1200" s="43"/>
      <c r="F1200" s="43"/>
      <c r="G1200" s="43"/>
      <c r="H1200" s="44"/>
      <c r="I1200" s="12"/>
      <c r="J1200" s="19"/>
      <c r="K1200" s="19"/>
      <c r="L1200" s="40"/>
    </row>
    <row r="1201" ht="22.5" customHeight="1">
      <c r="C1201" s="19"/>
      <c r="E1201" s="43"/>
      <c r="F1201" s="43"/>
      <c r="G1201" s="43"/>
      <c r="H1201" s="44"/>
      <c r="I1201" s="12"/>
      <c r="J1201" s="19"/>
      <c r="K1201" s="19"/>
      <c r="L1201" s="40"/>
    </row>
    <row r="1202" ht="22.5" customHeight="1">
      <c r="C1202" s="19"/>
      <c r="E1202" s="43"/>
      <c r="F1202" s="43"/>
      <c r="G1202" s="43"/>
      <c r="H1202" s="42"/>
      <c r="I1202" s="12"/>
      <c r="J1202" s="19"/>
      <c r="K1202" s="19"/>
      <c r="L1202" s="40"/>
    </row>
    <row r="1203" ht="22.5" customHeight="1">
      <c r="C1203" s="19"/>
      <c r="E1203" s="43"/>
      <c r="F1203" s="43"/>
      <c r="G1203" s="43"/>
      <c r="H1203" s="42"/>
      <c r="I1203" s="12"/>
      <c r="J1203" s="19"/>
      <c r="K1203" s="19"/>
      <c r="L1203" s="40"/>
    </row>
    <row r="1204" ht="22.5" customHeight="1">
      <c r="C1204" s="19"/>
      <c r="E1204" s="43"/>
      <c r="F1204" s="43"/>
      <c r="G1204" s="43"/>
      <c r="H1204" s="42"/>
      <c r="I1204" s="12"/>
      <c r="J1204" s="19"/>
      <c r="K1204" s="19"/>
      <c r="L1204" s="40"/>
    </row>
    <row r="1205" ht="22.5" customHeight="1">
      <c r="C1205" s="19"/>
      <c r="E1205" s="43"/>
      <c r="F1205" s="43"/>
      <c r="G1205" s="43"/>
      <c r="H1205" s="44"/>
      <c r="I1205" s="12"/>
      <c r="J1205" s="19"/>
      <c r="K1205" s="19"/>
      <c r="L1205" s="40"/>
    </row>
    <row r="1206" ht="22.5" customHeight="1">
      <c r="C1206" s="19"/>
      <c r="E1206" s="43"/>
      <c r="F1206" s="43"/>
      <c r="G1206" s="43"/>
      <c r="H1206" s="42"/>
      <c r="I1206" s="12"/>
      <c r="J1206" s="19"/>
      <c r="K1206" s="19"/>
      <c r="L1206" s="40"/>
    </row>
    <row r="1207" ht="22.5" customHeight="1">
      <c r="C1207" s="19"/>
      <c r="E1207" s="43"/>
      <c r="F1207" s="43"/>
      <c r="G1207" s="43"/>
      <c r="H1207" s="44"/>
      <c r="I1207" s="12"/>
      <c r="J1207" s="19"/>
      <c r="K1207" s="19"/>
      <c r="L1207" s="40"/>
    </row>
    <row r="1208" ht="22.5" customHeight="1">
      <c r="C1208" s="19"/>
      <c r="E1208" s="43"/>
      <c r="F1208" s="43"/>
      <c r="G1208" s="43"/>
      <c r="H1208" s="42"/>
      <c r="I1208" s="12"/>
      <c r="J1208" s="19"/>
      <c r="K1208" s="19"/>
      <c r="L1208" s="40"/>
    </row>
    <row r="1209" ht="22.5" customHeight="1">
      <c r="C1209" s="19"/>
      <c r="E1209" s="43"/>
      <c r="F1209" s="43"/>
      <c r="G1209" s="43"/>
      <c r="H1209" s="42"/>
      <c r="I1209" s="12"/>
      <c r="J1209" s="19"/>
      <c r="K1209" s="19"/>
      <c r="L1209" s="40"/>
    </row>
    <row r="1210" ht="22.5" customHeight="1">
      <c r="C1210" s="19"/>
      <c r="E1210" s="43"/>
      <c r="F1210" s="43"/>
      <c r="G1210" s="43"/>
      <c r="H1210" s="42"/>
      <c r="I1210" s="12"/>
      <c r="J1210" s="19"/>
      <c r="K1210" s="19"/>
      <c r="L1210" s="40"/>
    </row>
    <row r="1211" ht="22.5" customHeight="1">
      <c r="C1211" s="19"/>
      <c r="E1211" s="43"/>
      <c r="F1211" s="43"/>
      <c r="G1211" s="43"/>
      <c r="H1211" s="42"/>
      <c r="I1211" s="12"/>
      <c r="J1211" s="19"/>
      <c r="K1211" s="19"/>
      <c r="L1211" s="40"/>
    </row>
    <row r="1212" ht="22.5" customHeight="1">
      <c r="C1212" s="19"/>
      <c r="E1212" s="43"/>
      <c r="F1212" s="43"/>
      <c r="G1212" s="43"/>
      <c r="H1212" s="44"/>
      <c r="I1212" s="12"/>
      <c r="J1212" s="19"/>
      <c r="K1212" s="19"/>
      <c r="L1212" s="40"/>
    </row>
    <row r="1213" ht="22.5" customHeight="1">
      <c r="C1213" s="19"/>
      <c r="E1213" s="43"/>
      <c r="F1213" s="43"/>
      <c r="G1213" s="43"/>
      <c r="H1213" s="42"/>
      <c r="I1213" s="12"/>
      <c r="J1213" s="19"/>
      <c r="K1213" s="19"/>
      <c r="L1213" s="40"/>
    </row>
    <row r="1214" ht="22.5" customHeight="1">
      <c r="C1214" s="19"/>
      <c r="E1214" s="43"/>
      <c r="F1214" s="43"/>
      <c r="G1214" s="43"/>
      <c r="H1214" s="44"/>
      <c r="I1214" s="12"/>
      <c r="J1214" s="19"/>
      <c r="K1214" s="19"/>
      <c r="L1214" s="40"/>
    </row>
    <row r="1215" ht="22.5" customHeight="1">
      <c r="C1215" s="19"/>
      <c r="E1215" s="43"/>
      <c r="F1215" s="43"/>
      <c r="G1215" s="43"/>
      <c r="H1215" s="42"/>
      <c r="I1215" s="12"/>
      <c r="J1215" s="19"/>
      <c r="K1215" s="19"/>
      <c r="L1215" s="40"/>
    </row>
    <row r="1216" ht="22.5" customHeight="1">
      <c r="C1216" s="19"/>
      <c r="E1216" s="43"/>
      <c r="F1216" s="43"/>
      <c r="G1216" s="43"/>
      <c r="H1216" s="42"/>
      <c r="I1216" s="12"/>
      <c r="J1216" s="19"/>
      <c r="K1216" s="19"/>
      <c r="L1216" s="40"/>
    </row>
    <row r="1217" ht="22.5" customHeight="1">
      <c r="C1217" s="19"/>
      <c r="E1217" s="43"/>
      <c r="F1217" s="43"/>
      <c r="G1217" s="43"/>
      <c r="H1217" s="44"/>
      <c r="I1217" s="12"/>
      <c r="J1217" s="19"/>
      <c r="K1217" s="19"/>
      <c r="L1217" s="40"/>
    </row>
    <row r="1218" ht="22.5" customHeight="1">
      <c r="C1218" s="19"/>
      <c r="E1218" s="43"/>
      <c r="F1218" s="43"/>
      <c r="G1218" s="43"/>
      <c r="H1218" s="44"/>
      <c r="I1218" s="12"/>
      <c r="J1218" s="19"/>
      <c r="K1218" s="19"/>
      <c r="L1218" s="40"/>
    </row>
    <row r="1219" ht="22.5" customHeight="1">
      <c r="C1219" s="19"/>
      <c r="E1219" s="43"/>
      <c r="F1219" s="43"/>
      <c r="G1219" s="43"/>
      <c r="H1219" s="44"/>
      <c r="I1219" s="12"/>
      <c r="J1219" s="19"/>
      <c r="K1219" s="19"/>
      <c r="L1219" s="40"/>
    </row>
    <row r="1220" ht="22.5" customHeight="1">
      <c r="C1220" s="19"/>
      <c r="E1220" s="43"/>
      <c r="F1220" s="43"/>
      <c r="G1220" s="43"/>
      <c r="H1220" s="42"/>
      <c r="I1220" s="12"/>
      <c r="J1220" s="19"/>
      <c r="K1220" s="19"/>
      <c r="L1220" s="40"/>
    </row>
    <row r="1221" ht="22.5" customHeight="1">
      <c r="C1221" s="19"/>
      <c r="E1221" s="43"/>
      <c r="F1221" s="43"/>
      <c r="G1221" s="43"/>
      <c r="H1221" s="44"/>
      <c r="I1221" s="12"/>
      <c r="J1221" s="19"/>
      <c r="K1221" s="19"/>
      <c r="L1221" s="40"/>
    </row>
    <row r="1222" ht="22.5" customHeight="1">
      <c r="C1222" s="19"/>
      <c r="E1222" s="43"/>
      <c r="F1222" s="43"/>
      <c r="G1222" s="43"/>
      <c r="H1222" s="42"/>
      <c r="I1222" s="12"/>
      <c r="J1222" s="19"/>
      <c r="K1222" s="19"/>
      <c r="L1222" s="40"/>
    </row>
    <row r="1223" ht="22.5" customHeight="1">
      <c r="C1223" s="19"/>
      <c r="E1223" s="43"/>
      <c r="F1223" s="43"/>
      <c r="G1223" s="43"/>
      <c r="H1223" s="42"/>
      <c r="I1223" s="12"/>
      <c r="J1223" s="19"/>
      <c r="K1223" s="19"/>
      <c r="L1223" s="40"/>
    </row>
    <row r="1224" ht="22.5" customHeight="1">
      <c r="C1224" s="19"/>
      <c r="E1224" s="43"/>
      <c r="F1224" s="43"/>
      <c r="G1224" s="43"/>
      <c r="H1224" s="44"/>
      <c r="I1224" s="12"/>
      <c r="J1224" s="19"/>
      <c r="K1224" s="19"/>
      <c r="L1224" s="40"/>
    </row>
    <row r="1225" ht="22.5" customHeight="1">
      <c r="C1225" s="19"/>
      <c r="E1225" s="43"/>
      <c r="F1225" s="43"/>
      <c r="G1225" s="43"/>
      <c r="H1225" s="42"/>
      <c r="I1225" s="12"/>
      <c r="J1225" s="19"/>
      <c r="K1225" s="19"/>
      <c r="L1225" s="12"/>
    </row>
    <row r="1226" ht="22.5" customHeight="1">
      <c r="C1226" s="19"/>
      <c r="E1226" s="43"/>
      <c r="F1226" s="43"/>
      <c r="G1226" s="43"/>
      <c r="H1226" s="42"/>
      <c r="I1226" s="12"/>
      <c r="J1226" s="19"/>
      <c r="K1226" s="19"/>
      <c r="L1226" s="40"/>
    </row>
    <row r="1227" ht="22.5" customHeight="1">
      <c r="C1227" s="19"/>
      <c r="E1227" s="43"/>
      <c r="F1227" s="43"/>
      <c r="G1227" s="43"/>
      <c r="H1227" s="42"/>
      <c r="I1227" s="12"/>
      <c r="J1227" s="19"/>
      <c r="K1227" s="19"/>
      <c r="L1227" s="40"/>
    </row>
    <row r="1228" ht="22.5" customHeight="1">
      <c r="C1228" s="19"/>
      <c r="E1228" s="43"/>
      <c r="F1228" s="43"/>
      <c r="G1228" s="43"/>
      <c r="H1228" s="42"/>
      <c r="I1228" s="12"/>
      <c r="J1228" s="19"/>
      <c r="K1228" s="19"/>
      <c r="L1228" s="40"/>
    </row>
    <row r="1229" ht="22.5" customHeight="1">
      <c r="C1229" s="19"/>
      <c r="E1229" s="43"/>
      <c r="F1229" s="43"/>
      <c r="G1229" s="43"/>
      <c r="H1229" s="42"/>
      <c r="I1229" s="12"/>
      <c r="J1229" s="19"/>
      <c r="K1229" s="19"/>
      <c r="L1229" s="40"/>
    </row>
    <row r="1230" ht="22.5" customHeight="1">
      <c r="C1230" s="19"/>
      <c r="E1230" s="43"/>
      <c r="F1230" s="43"/>
      <c r="G1230" s="43"/>
      <c r="H1230" s="44"/>
      <c r="I1230" s="12"/>
      <c r="J1230" s="19"/>
      <c r="K1230" s="19"/>
      <c r="L1230" s="40"/>
    </row>
    <row r="1231" ht="22.5" customHeight="1">
      <c r="C1231" s="19"/>
      <c r="E1231" s="43"/>
      <c r="F1231" s="43"/>
      <c r="G1231" s="43"/>
      <c r="H1231" s="42"/>
      <c r="I1231" s="12"/>
      <c r="J1231" s="19"/>
      <c r="K1231" s="19"/>
      <c r="L1231" s="40"/>
    </row>
    <row r="1232" ht="22.5" customHeight="1">
      <c r="C1232" s="19"/>
      <c r="E1232" s="43"/>
      <c r="F1232" s="43"/>
      <c r="G1232" s="43"/>
      <c r="H1232" s="42"/>
      <c r="I1232" s="12"/>
      <c r="J1232" s="19"/>
      <c r="K1232" s="19"/>
      <c r="L1232" s="40"/>
    </row>
    <row r="1233" ht="22.5" customHeight="1">
      <c r="C1233" s="19"/>
      <c r="E1233" s="43"/>
      <c r="F1233" s="43"/>
      <c r="G1233" s="43"/>
      <c r="H1233" s="42"/>
      <c r="I1233" s="12"/>
      <c r="J1233" s="19"/>
      <c r="K1233" s="19"/>
      <c r="L1233" s="40"/>
    </row>
    <row r="1234" ht="22.5" customHeight="1">
      <c r="C1234" s="19"/>
      <c r="E1234" s="43"/>
      <c r="F1234" s="28"/>
      <c r="G1234" s="43"/>
      <c r="H1234" s="42"/>
      <c r="I1234" s="12"/>
      <c r="J1234" s="19"/>
      <c r="K1234" s="19"/>
      <c r="L1234" s="40"/>
    </row>
    <row r="1235" ht="22.5" customHeight="1">
      <c r="C1235" s="19"/>
      <c r="E1235" s="43"/>
      <c r="F1235" s="43"/>
      <c r="G1235" s="43"/>
      <c r="H1235" s="42"/>
      <c r="I1235" s="12"/>
      <c r="J1235" s="19"/>
      <c r="K1235" s="19"/>
      <c r="L1235" s="40"/>
    </row>
    <row r="1236" ht="22.5" customHeight="1">
      <c r="C1236" s="19"/>
      <c r="E1236" s="43"/>
      <c r="F1236" s="43"/>
      <c r="G1236" s="43"/>
      <c r="H1236" s="44"/>
      <c r="I1236" s="12"/>
      <c r="J1236" s="19"/>
      <c r="K1236" s="19"/>
      <c r="L1236" s="40"/>
    </row>
    <row r="1237" ht="22.5" customHeight="1">
      <c r="C1237" s="19"/>
      <c r="E1237" s="43"/>
      <c r="F1237" s="43"/>
      <c r="G1237" s="43"/>
      <c r="H1237" s="42"/>
      <c r="I1237" s="12"/>
      <c r="J1237" s="19"/>
      <c r="K1237" s="19"/>
      <c r="L1237" s="40"/>
    </row>
    <row r="1238" ht="22.5" customHeight="1">
      <c r="C1238" s="19"/>
      <c r="E1238" s="43"/>
      <c r="F1238" s="43"/>
      <c r="G1238" s="43"/>
      <c r="H1238" s="44"/>
      <c r="I1238" s="12"/>
      <c r="J1238" s="19"/>
      <c r="K1238" s="19"/>
      <c r="L1238" s="40"/>
    </row>
    <row r="1239" ht="22.5" customHeight="1">
      <c r="C1239" s="19"/>
      <c r="E1239" s="43"/>
      <c r="F1239" s="43"/>
      <c r="G1239" s="43"/>
      <c r="H1239" s="42"/>
      <c r="I1239" s="12"/>
      <c r="J1239" s="19"/>
      <c r="K1239" s="19"/>
      <c r="L1239" s="40"/>
    </row>
    <row r="1240" ht="22.5" customHeight="1">
      <c r="C1240" s="19"/>
      <c r="E1240" s="43"/>
      <c r="F1240" s="43"/>
      <c r="G1240" s="43"/>
      <c r="H1240" s="42"/>
      <c r="I1240" s="12"/>
      <c r="J1240" s="19"/>
      <c r="K1240" s="19"/>
      <c r="L1240" s="40"/>
    </row>
    <row r="1241" ht="22.5" customHeight="1">
      <c r="C1241" s="19"/>
      <c r="E1241" s="43"/>
      <c r="F1241" s="43"/>
      <c r="G1241" s="43"/>
      <c r="H1241" s="42"/>
      <c r="I1241" s="12"/>
      <c r="J1241" s="19"/>
      <c r="K1241" s="19"/>
      <c r="L1241" s="40"/>
    </row>
    <row r="1242" ht="22.5" customHeight="1">
      <c r="C1242" s="19"/>
      <c r="E1242" s="43"/>
      <c r="F1242" s="43"/>
      <c r="G1242" s="43"/>
      <c r="H1242" s="42"/>
      <c r="I1242" s="12"/>
      <c r="J1242" s="19"/>
      <c r="K1242" s="19"/>
      <c r="L1242" s="40"/>
    </row>
    <row r="1243" ht="22.5" customHeight="1">
      <c r="C1243" s="19"/>
      <c r="E1243" s="43"/>
      <c r="F1243" s="43"/>
      <c r="G1243" s="43"/>
      <c r="H1243" s="42"/>
      <c r="I1243" s="12"/>
      <c r="J1243" s="19"/>
      <c r="K1243" s="19"/>
      <c r="L1243" s="40"/>
    </row>
    <row r="1244" ht="22.5" customHeight="1">
      <c r="C1244" s="19"/>
      <c r="E1244" s="43"/>
      <c r="F1244" s="43"/>
      <c r="G1244" s="43"/>
      <c r="H1244" s="42"/>
      <c r="I1244" s="12"/>
      <c r="J1244" s="19"/>
      <c r="K1244" s="19"/>
      <c r="L1244" s="40"/>
    </row>
    <row r="1245" ht="22.5" customHeight="1">
      <c r="C1245" s="19"/>
      <c r="E1245" s="43"/>
      <c r="F1245" s="43"/>
      <c r="G1245" s="43"/>
      <c r="H1245" s="42"/>
      <c r="I1245" s="12"/>
      <c r="J1245" s="19"/>
      <c r="K1245" s="19"/>
      <c r="L1245" s="40"/>
    </row>
    <row r="1246" ht="22.5" customHeight="1">
      <c r="C1246" s="19"/>
      <c r="E1246" s="43"/>
      <c r="F1246" s="43"/>
      <c r="G1246" s="43"/>
      <c r="H1246" s="42"/>
      <c r="I1246" s="12"/>
      <c r="J1246" s="19"/>
      <c r="K1246" s="19"/>
      <c r="L1246" s="40"/>
    </row>
    <row r="1247" ht="22.5" customHeight="1">
      <c r="C1247" s="19"/>
      <c r="E1247" s="43"/>
      <c r="F1247" s="43"/>
      <c r="G1247" s="43"/>
      <c r="H1247" s="44"/>
      <c r="I1247" s="12"/>
      <c r="J1247" s="19"/>
      <c r="K1247" s="19"/>
      <c r="L1247" s="40"/>
    </row>
    <row r="1248" ht="22.5" customHeight="1">
      <c r="C1248" s="19"/>
      <c r="E1248" s="43"/>
      <c r="F1248" s="43"/>
      <c r="G1248" s="43"/>
      <c r="H1248" s="42"/>
      <c r="I1248" s="12"/>
      <c r="J1248" s="19"/>
      <c r="K1248" s="19"/>
      <c r="L1248" s="40"/>
    </row>
    <row r="1249" ht="22.5" customHeight="1">
      <c r="C1249" s="19"/>
      <c r="E1249" s="43"/>
      <c r="F1249" s="43"/>
      <c r="G1249" s="43"/>
      <c r="H1249" s="42"/>
      <c r="I1249" s="12"/>
      <c r="J1249" s="19"/>
      <c r="K1249" s="19"/>
      <c r="L1249" s="40"/>
    </row>
    <row r="1250" ht="22.5" customHeight="1">
      <c r="C1250" s="19"/>
      <c r="E1250" s="43"/>
      <c r="F1250" s="43"/>
      <c r="G1250" s="43"/>
      <c r="H1250" s="44"/>
      <c r="I1250" s="12"/>
      <c r="J1250" s="19"/>
      <c r="K1250" s="19"/>
      <c r="L1250" s="40"/>
    </row>
    <row r="1251" ht="22.5" customHeight="1">
      <c r="C1251" s="19"/>
      <c r="E1251" s="43"/>
      <c r="F1251" s="43"/>
      <c r="G1251" s="43"/>
      <c r="H1251" s="42"/>
      <c r="I1251" s="12"/>
      <c r="J1251" s="19"/>
      <c r="K1251" s="19"/>
      <c r="L1251" s="40"/>
    </row>
    <row r="1252" ht="22.5" customHeight="1">
      <c r="C1252" s="19"/>
      <c r="E1252" s="43"/>
      <c r="F1252" s="43"/>
      <c r="G1252" s="43"/>
      <c r="H1252" s="44"/>
      <c r="I1252" s="12"/>
      <c r="J1252" s="19"/>
      <c r="K1252" s="19"/>
      <c r="L1252" s="40"/>
    </row>
    <row r="1253" ht="22.5" customHeight="1">
      <c r="C1253" s="19"/>
      <c r="E1253" s="43"/>
      <c r="F1253" s="43"/>
      <c r="G1253" s="43"/>
      <c r="H1253" s="42"/>
      <c r="I1253" s="12"/>
      <c r="J1253" s="19"/>
      <c r="K1253" s="19"/>
      <c r="L1253" s="40"/>
    </row>
    <row r="1254" ht="22.5" customHeight="1">
      <c r="C1254" s="19"/>
      <c r="E1254" s="43"/>
      <c r="F1254" s="43"/>
      <c r="G1254" s="43"/>
      <c r="H1254" s="42"/>
      <c r="I1254" s="12"/>
      <c r="J1254" s="19"/>
      <c r="K1254" s="19"/>
      <c r="L1254" s="40"/>
    </row>
    <row r="1255" ht="22.5" customHeight="1">
      <c r="C1255" s="19"/>
      <c r="E1255" s="43"/>
      <c r="F1255" s="43"/>
      <c r="G1255" s="43"/>
      <c r="H1255" s="42"/>
      <c r="I1255" s="12"/>
      <c r="J1255" s="19"/>
      <c r="K1255" s="19"/>
      <c r="L1255" s="40"/>
    </row>
    <row r="1256" ht="22.5" customHeight="1">
      <c r="C1256" s="19"/>
      <c r="E1256" s="43"/>
      <c r="F1256" s="43"/>
      <c r="G1256" s="43"/>
      <c r="H1256" s="42"/>
      <c r="I1256" s="12"/>
      <c r="J1256" s="19"/>
      <c r="K1256" s="19"/>
      <c r="L1256" s="40"/>
    </row>
    <row r="1257" ht="22.5" customHeight="1">
      <c r="C1257" s="19"/>
      <c r="E1257" s="43"/>
      <c r="F1257" s="43"/>
      <c r="G1257" s="43"/>
      <c r="H1257" s="42"/>
      <c r="I1257" s="12"/>
      <c r="J1257" s="19"/>
      <c r="K1257" s="19"/>
      <c r="L1257" s="40"/>
    </row>
    <row r="1258" ht="22.5" customHeight="1">
      <c r="C1258" s="19"/>
      <c r="E1258" s="43"/>
      <c r="F1258" s="43"/>
      <c r="G1258" s="43"/>
      <c r="H1258" s="44"/>
      <c r="I1258" s="12"/>
      <c r="J1258" s="19"/>
      <c r="K1258" s="19"/>
      <c r="L1258" s="40"/>
    </row>
    <row r="1259" ht="22.5" customHeight="1">
      <c r="C1259" s="19"/>
      <c r="E1259" s="43"/>
      <c r="F1259" s="43"/>
      <c r="G1259" s="43"/>
      <c r="H1259" s="42"/>
      <c r="I1259" s="12"/>
      <c r="J1259" s="19"/>
      <c r="K1259" s="19"/>
      <c r="L1259" s="40"/>
    </row>
    <row r="1260" ht="22.5" customHeight="1">
      <c r="C1260" s="19"/>
      <c r="E1260" s="43"/>
      <c r="F1260" s="43"/>
      <c r="G1260" s="43"/>
      <c r="H1260" s="44"/>
      <c r="I1260" s="12"/>
      <c r="J1260" s="19"/>
      <c r="K1260" s="19"/>
      <c r="L1260" s="40"/>
    </row>
    <row r="1261" ht="22.5" customHeight="1">
      <c r="C1261" s="19"/>
      <c r="E1261" s="43"/>
      <c r="F1261" s="43"/>
      <c r="G1261" s="43"/>
      <c r="H1261" s="42"/>
      <c r="I1261" s="12"/>
      <c r="J1261" s="19"/>
      <c r="K1261" s="19"/>
      <c r="L1261" s="40"/>
    </row>
    <row r="1262" ht="22.5" customHeight="1">
      <c r="C1262" s="19"/>
      <c r="E1262" s="43"/>
      <c r="F1262" s="43"/>
      <c r="G1262" s="43"/>
      <c r="H1262" s="42"/>
      <c r="I1262" s="12"/>
      <c r="J1262" s="19"/>
      <c r="K1262" s="19"/>
      <c r="L1262" s="40"/>
    </row>
    <row r="1263" ht="22.5" customHeight="1">
      <c r="C1263" s="19"/>
      <c r="E1263" s="43"/>
      <c r="F1263" s="43"/>
      <c r="G1263" s="43"/>
      <c r="H1263" s="42"/>
      <c r="I1263" s="12"/>
      <c r="J1263" s="19"/>
      <c r="K1263" s="19"/>
      <c r="L1263" s="40"/>
    </row>
    <row r="1264" ht="22.5" customHeight="1">
      <c r="C1264" s="19"/>
      <c r="E1264" s="43"/>
      <c r="F1264" s="43"/>
      <c r="G1264" s="43"/>
      <c r="H1264" s="42"/>
      <c r="I1264" s="12"/>
      <c r="J1264" s="19"/>
      <c r="K1264" s="19"/>
      <c r="L1264" s="40"/>
    </row>
    <row r="1265" ht="22.5" customHeight="1">
      <c r="C1265" s="19"/>
      <c r="E1265" s="43"/>
      <c r="F1265" s="43"/>
      <c r="G1265" s="43"/>
      <c r="H1265" s="44"/>
      <c r="I1265" s="12"/>
      <c r="J1265" s="19"/>
      <c r="K1265" s="19"/>
      <c r="L1265" s="40"/>
    </row>
    <row r="1266" ht="22.5" customHeight="1">
      <c r="C1266" s="19"/>
      <c r="E1266" s="43"/>
      <c r="F1266" s="43"/>
      <c r="G1266" s="43"/>
      <c r="H1266" s="42"/>
      <c r="I1266" s="12"/>
      <c r="J1266" s="19"/>
      <c r="K1266" s="19"/>
      <c r="L1266" s="40"/>
    </row>
    <row r="1267" ht="22.5" customHeight="1">
      <c r="C1267" s="19"/>
      <c r="E1267" s="43"/>
      <c r="F1267" s="43"/>
      <c r="G1267" s="43"/>
      <c r="H1267" s="42"/>
      <c r="I1267" s="12"/>
      <c r="J1267" s="19"/>
      <c r="K1267" s="19"/>
      <c r="L1267" s="40"/>
    </row>
    <row r="1268" ht="22.5" customHeight="1">
      <c r="C1268" s="19"/>
      <c r="E1268" s="43"/>
      <c r="F1268" s="43"/>
      <c r="G1268" s="43"/>
      <c r="H1268" s="42"/>
      <c r="I1268" s="12"/>
      <c r="J1268" s="19"/>
      <c r="K1268" s="19"/>
      <c r="L1268" s="40"/>
    </row>
    <row r="1269" ht="22.5" customHeight="1">
      <c r="C1269" s="19"/>
      <c r="E1269" s="43"/>
      <c r="F1269" s="43"/>
      <c r="G1269" s="43"/>
      <c r="H1269" s="42"/>
      <c r="I1269" s="12"/>
      <c r="J1269" s="19"/>
      <c r="K1269" s="19"/>
      <c r="L1269" s="40"/>
    </row>
    <row r="1270" ht="22.5" customHeight="1">
      <c r="C1270" s="19"/>
      <c r="E1270" s="43"/>
      <c r="F1270" s="43"/>
      <c r="G1270" s="43"/>
      <c r="H1270" s="42"/>
      <c r="I1270" s="12"/>
      <c r="J1270" s="19"/>
      <c r="K1270" s="19"/>
      <c r="L1270" s="40"/>
    </row>
    <row r="1271" ht="22.5" customHeight="1">
      <c r="C1271" s="19"/>
      <c r="E1271" s="43"/>
      <c r="F1271" s="43"/>
      <c r="G1271" s="43"/>
      <c r="H1271" s="42"/>
      <c r="I1271" s="12"/>
      <c r="J1271" s="19"/>
      <c r="K1271" s="19"/>
      <c r="L1271" s="40"/>
    </row>
    <row r="1272" ht="22.5" customHeight="1">
      <c r="C1272" s="19"/>
      <c r="E1272" s="43"/>
      <c r="F1272" s="43"/>
      <c r="G1272" s="43"/>
      <c r="H1272" s="42"/>
      <c r="I1272" s="12"/>
      <c r="J1272" s="19"/>
      <c r="K1272" s="19"/>
      <c r="L1272" s="40"/>
    </row>
    <row r="1273" ht="22.5" customHeight="1">
      <c r="C1273" s="19"/>
      <c r="E1273" s="43"/>
      <c r="F1273" s="43"/>
      <c r="G1273" s="43"/>
      <c r="H1273" s="42"/>
      <c r="I1273" s="12"/>
      <c r="J1273" s="19"/>
      <c r="K1273" s="19"/>
      <c r="L1273" s="40"/>
    </row>
    <row r="1274" ht="22.5" customHeight="1">
      <c r="C1274" s="19"/>
      <c r="E1274" s="43"/>
      <c r="F1274" s="43"/>
      <c r="G1274" s="43"/>
      <c r="H1274" s="42"/>
      <c r="I1274" s="12"/>
      <c r="J1274" s="19"/>
      <c r="K1274" s="19"/>
      <c r="L1274" s="40"/>
    </row>
    <row r="1275" ht="22.5" customHeight="1">
      <c r="C1275" s="19"/>
      <c r="E1275" s="43"/>
      <c r="F1275" s="43"/>
      <c r="G1275" s="43"/>
      <c r="H1275" s="42"/>
      <c r="I1275" s="12"/>
      <c r="J1275" s="19"/>
      <c r="K1275" s="19"/>
      <c r="L1275" s="40"/>
    </row>
    <row r="1276" ht="22.5" customHeight="1">
      <c r="C1276" s="19"/>
      <c r="E1276" s="43"/>
      <c r="F1276" s="43"/>
      <c r="G1276" s="43"/>
      <c r="H1276" s="42"/>
      <c r="I1276" s="12"/>
      <c r="J1276" s="19"/>
      <c r="K1276" s="19"/>
      <c r="L1276" s="40"/>
    </row>
    <row r="1277" ht="22.5" customHeight="1">
      <c r="C1277" s="19"/>
      <c r="E1277" s="43"/>
      <c r="F1277" s="43"/>
      <c r="G1277" s="43"/>
      <c r="H1277" s="42"/>
      <c r="I1277" s="12"/>
      <c r="J1277" s="19"/>
      <c r="K1277" s="19"/>
      <c r="L1277" s="40"/>
    </row>
    <row r="1278" ht="22.5" customHeight="1">
      <c r="C1278" s="19"/>
      <c r="E1278" s="43"/>
      <c r="F1278" s="43"/>
      <c r="G1278" s="43"/>
      <c r="H1278" s="42"/>
      <c r="I1278" s="12"/>
      <c r="J1278" s="19"/>
      <c r="K1278" s="19"/>
      <c r="L1278" s="40"/>
    </row>
    <row r="1279" ht="22.5" customHeight="1">
      <c r="C1279" s="19"/>
      <c r="E1279" s="43"/>
      <c r="F1279" s="43"/>
      <c r="G1279" s="43"/>
      <c r="H1279" s="42"/>
      <c r="I1279" s="12"/>
      <c r="J1279" s="19"/>
      <c r="K1279" s="19"/>
      <c r="L1279" s="40"/>
    </row>
    <row r="1280" ht="22.5" customHeight="1">
      <c r="C1280" s="19"/>
      <c r="E1280" s="43"/>
      <c r="F1280" s="43"/>
      <c r="G1280" s="43"/>
      <c r="H1280" s="44"/>
      <c r="I1280" s="12"/>
      <c r="J1280" s="19"/>
      <c r="K1280" s="19"/>
      <c r="L1280" s="40"/>
    </row>
    <row r="1281" ht="22.5" customHeight="1">
      <c r="C1281" s="19"/>
      <c r="E1281" s="43"/>
      <c r="F1281" s="43"/>
      <c r="G1281" s="43"/>
      <c r="H1281" s="42"/>
      <c r="I1281" s="12"/>
      <c r="J1281" s="19"/>
      <c r="K1281" s="19"/>
      <c r="L1281" s="40"/>
    </row>
    <row r="1282" ht="22.5" customHeight="1">
      <c r="C1282" s="19"/>
      <c r="E1282" s="43"/>
      <c r="F1282" s="43"/>
      <c r="G1282" s="43"/>
      <c r="H1282" s="42"/>
      <c r="I1282" s="12"/>
      <c r="J1282" s="19"/>
      <c r="K1282" s="19"/>
      <c r="L1282" s="40"/>
    </row>
    <row r="1283" ht="22.5" customHeight="1">
      <c r="C1283" s="19"/>
      <c r="E1283" s="43"/>
      <c r="F1283" s="43"/>
      <c r="G1283" s="43"/>
      <c r="H1283" s="42"/>
      <c r="I1283" s="12"/>
      <c r="J1283" s="19"/>
      <c r="K1283" s="19"/>
      <c r="L1283" s="4"/>
    </row>
    <row r="1284" ht="22.5" customHeight="1">
      <c r="C1284" s="19"/>
      <c r="E1284" s="43"/>
      <c r="F1284" s="43"/>
      <c r="G1284" s="43"/>
      <c r="H1284" s="42"/>
      <c r="I1284" s="12"/>
      <c r="J1284" s="19"/>
      <c r="K1284" s="19"/>
      <c r="L1284" s="40"/>
    </row>
    <row r="1285" ht="22.5" customHeight="1">
      <c r="C1285" s="19"/>
      <c r="E1285" s="43"/>
      <c r="F1285" s="43"/>
      <c r="G1285" s="43"/>
      <c r="H1285" s="44"/>
      <c r="I1285" s="12"/>
      <c r="J1285" s="19"/>
      <c r="K1285" s="19"/>
      <c r="L1285" s="40"/>
    </row>
    <row r="1286" ht="22.5" customHeight="1">
      <c r="C1286" s="19"/>
      <c r="E1286" s="43"/>
      <c r="F1286" s="43"/>
      <c r="G1286" s="43"/>
      <c r="H1286" s="42"/>
      <c r="I1286" s="12"/>
      <c r="J1286" s="19"/>
      <c r="K1286" s="19"/>
      <c r="L1286" s="40"/>
    </row>
    <row r="1287" ht="22.5" customHeight="1">
      <c r="C1287" s="19"/>
      <c r="E1287" s="43"/>
      <c r="F1287" s="43"/>
      <c r="G1287" s="43"/>
      <c r="H1287" s="42"/>
      <c r="I1287" s="12"/>
      <c r="J1287" s="19"/>
      <c r="K1287" s="19"/>
      <c r="L1287" s="40"/>
    </row>
    <row r="1288" ht="22.5" customHeight="1">
      <c r="C1288" s="19"/>
      <c r="E1288" s="43"/>
      <c r="F1288" s="43"/>
      <c r="G1288" s="43"/>
      <c r="H1288" s="42"/>
      <c r="I1288" s="12"/>
      <c r="J1288" s="19"/>
      <c r="K1288" s="19"/>
      <c r="L1288" s="40"/>
    </row>
    <row r="1289" ht="22.5" customHeight="1">
      <c r="C1289" s="19"/>
      <c r="E1289" s="43"/>
      <c r="F1289" s="43"/>
      <c r="G1289" s="43"/>
      <c r="H1289" s="42"/>
      <c r="I1289" s="12"/>
      <c r="J1289" s="19"/>
      <c r="K1289" s="19"/>
      <c r="L1289" s="40"/>
    </row>
    <row r="1290" ht="22.5" customHeight="1">
      <c r="C1290" s="19"/>
      <c r="E1290" s="43"/>
      <c r="F1290" s="43"/>
      <c r="G1290" s="43"/>
      <c r="H1290" s="42"/>
      <c r="I1290" s="12"/>
      <c r="J1290" s="19"/>
      <c r="K1290" s="19"/>
      <c r="L1290" s="40"/>
    </row>
    <row r="1291" ht="22.5" customHeight="1">
      <c r="C1291" s="19"/>
      <c r="E1291" s="43"/>
      <c r="F1291" s="43"/>
      <c r="G1291" s="43"/>
      <c r="H1291" s="42"/>
      <c r="I1291" s="12"/>
      <c r="J1291" s="19"/>
      <c r="K1291" s="19"/>
      <c r="L1291" s="40"/>
    </row>
    <row r="1292" ht="22.5" customHeight="1">
      <c r="C1292" s="19"/>
      <c r="E1292" s="43"/>
      <c r="F1292" s="43"/>
      <c r="G1292" s="43"/>
      <c r="H1292" s="42"/>
      <c r="I1292" s="12"/>
      <c r="J1292" s="19"/>
      <c r="K1292" s="19"/>
      <c r="L1292" s="40"/>
    </row>
    <row r="1293" ht="22.5" customHeight="1">
      <c r="C1293" s="19"/>
      <c r="E1293" s="43"/>
      <c r="F1293" s="43"/>
      <c r="G1293" s="43"/>
      <c r="H1293" s="44"/>
      <c r="I1293" s="12"/>
      <c r="J1293" s="19"/>
      <c r="K1293" s="19"/>
      <c r="L1293" s="40"/>
    </row>
    <row r="1294" ht="22.5" customHeight="1">
      <c r="C1294" s="19"/>
      <c r="E1294" s="43"/>
      <c r="F1294" s="43"/>
      <c r="G1294" s="43"/>
      <c r="H1294" s="42"/>
      <c r="I1294" s="12"/>
      <c r="J1294" s="19"/>
      <c r="K1294" s="19"/>
      <c r="L1294" s="40"/>
    </row>
    <row r="1295" ht="22.5" customHeight="1">
      <c r="C1295" s="19"/>
      <c r="E1295" s="43"/>
      <c r="F1295" s="43"/>
      <c r="G1295" s="43"/>
      <c r="H1295" s="44"/>
      <c r="I1295" s="12"/>
      <c r="J1295" s="19"/>
      <c r="K1295" s="19"/>
      <c r="L1295" s="40"/>
    </row>
    <row r="1296" ht="22.5" customHeight="1">
      <c r="C1296" s="19"/>
      <c r="E1296" s="43"/>
      <c r="F1296" s="43"/>
      <c r="G1296" s="43"/>
      <c r="H1296" s="42"/>
      <c r="I1296" s="12"/>
      <c r="J1296" s="19"/>
      <c r="K1296" s="19"/>
      <c r="L1296" s="40"/>
    </row>
    <row r="1297" ht="22.5" customHeight="1">
      <c r="C1297" s="19"/>
      <c r="E1297" s="43"/>
      <c r="F1297" s="43"/>
      <c r="G1297" s="43"/>
      <c r="H1297" s="44"/>
      <c r="I1297" s="12"/>
      <c r="J1297" s="19"/>
      <c r="K1297" s="19"/>
      <c r="L1297" s="40"/>
    </row>
    <row r="1298" ht="22.5" customHeight="1">
      <c r="C1298" s="19"/>
      <c r="E1298" s="43"/>
      <c r="F1298" s="43"/>
      <c r="G1298" s="43"/>
      <c r="H1298" s="42"/>
      <c r="I1298" s="12"/>
      <c r="J1298" s="19"/>
      <c r="K1298" s="19"/>
      <c r="L1298" s="40"/>
    </row>
    <row r="1299" ht="22.5" customHeight="1">
      <c r="C1299" s="19"/>
      <c r="E1299" s="43"/>
      <c r="F1299" s="43"/>
      <c r="G1299" s="43"/>
      <c r="H1299" s="42"/>
      <c r="I1299" s="12"/>
      <c r="J1299" s="19"/>
      <c r="K1299" s="19"/>
      <c r="L1299" s="40"/>
    </row>
    <row r="1300" ht="22.5" customHeight="1">
      <c r="C1300" s="19"/>
      <c r="E1300" s="43"/>
      <c r="F1300" s="43"/>
      <c r="G1300" s="43"/>
      <c r="H1300" s="42"/>
      <c r="I1300" s="12"/>
      <c r="J1300" s="19"/>
      <c r="K1300" s="19"/>
      <c r="L1300" s="40"/>
    </row>
    <row r="1301" ht="22.5" customHeight="1">
      <c r="C1301" s="19"/>
      <c r="E1301" s="43"/>
      <c r="F1301" s="43"/>
      <c r="G1301" s="43"/>
      <c r="H1301" s="42"/>
      <c r="I1301" s="12"/>
      <c r="J1301" s="19"/>
      <c r="K1301" s="19"/>
      <c r="L1301" s="40"/>
    </row>
    <row r="1302" ht="22.5" customHeight="1">
      <c r="C1302" s="19"/>
      <c r="E1302" s="43"/>
      <c r="F1302" s="43"/>
      <c r="G1302" s="43"/>
      <c r="H1302" s="42"/>
      <c r="I1302" s="12"/>
      <c r="J1302" s="19"/>
      <c r="K1302" s="19"/>
      <c r="L1302" s="40"/>
    </row>
    <row r="1303" ht="22.5" customHeight="1">
      <c r="C1303" s="19"/>
      <c r="E1303" s="43"/>
      <c r="F1303" s="43"/>
      <c r="G1303" s="43"/>
      <c r="H1303" s="44"/>
      <c r="I1303" s="12"/>
      <c r="J1303" s="19"/>
      <c r="K1303" s="19"/>
      <c r="L1303" s="40"/>
    </row>
    <row r="1304" ht="22.5" customHeight="1">
      <c r="C1304" s="19"/>
      <c r="E1304" s="43"/>
      <c r="F1304" s="43"/>
      <c r="G1304" s="43"/>
      <c r="H1304" s="44"/>
      <c r="I1304" s="12"/>
      <c r="J1304" s="19"/>
      <c r="K1304" s="19"/>
      <c r="L1304" s="40"/>
    </row>
    <row r="1305" ht="22.5" customHeight="1">
      <c r="C1305" s="19"/>
      <c r="E1305" s="43"/>
      <c r="F1305" s="43"/>
      <c r="G1305" s="43"/>
      <c r="H1305" s="42"/>
      <c r="I1305" s="12"/>
      <c r="J1305" s="19"/>
      <c r="K1305" s="19"/>
      <c r="L1305" s="40"/>
    </row>
    <row r="1306" ht="22.5" customHeight="1">
      <c r="C1306" s="19"/>
      <c r="E1306" s="43"/>
      <c r="F1306" s="43"/>
      <c r="G1306" s="43"/>
      <c r="H1306" s="42"/>
      <c r="I1306" s="12"/>
      <c r="J1306" s="19"/>
      <c r="K1306" s="19"/>
      <c r="L1306" s="40"/>
    </row>
    <row r="1307" ht="22.5" customHeight="1">
      <c r="C1307" s="19"/>
      <c r="E1307" s="43"/>
      <c r="F1307" s="43"/>
      <c r="G1307" s="43"/>
      <c r="H1307" s="44"/>
      <c r="I1307" s="12"/>
      <c r="J1307" s="19"/>
      <c r="K1307" s="19"/>
      <c r="L1307" s="40"/>
    </row>
    <row r="1308" ht="22.5" customHeight="1">
      <c r="C1308" s="19"/>
      <c r="E1308" s="43"/>
      <c r="F1308" s="43"/>
      <c r="G1308" s="43"/>
      <c r="H1308" s="42"/>
      <c r="I1308" s="12"/>
      <c r="J1308" s="19"/>
      <c r="K1308" s="19"/>
      <c r="L1308" s="40"/>
    </row>
    <row r="1309" ht="22.5" customHeight="1">
      <c r="C1309" s="19"/>
      <c r="E1309" s="43"/>
      <c r="F1309" s="43"/>
      <c r="G1309" s="43"/>
      <c r="H1309" s="42"/>
      <c r="I1309" s="12"/>
      <c r="J1309" s="19"/>
      <c r="K1309" s="19"/>
      <c r="L1309" s="40"/>
    </row>
    <row r="1310" ht="22.5" customHeight="1">
      <c r="C1310" s="19"/>
      <c r="E1310" s="43"/>
      <c r="F1310" s="43"/>
      <c r="G1310" s="43"/>
      <c r="H1310" s="42"/>
      <c r="I1310" s="12"/>
      <c r="J1310" s="19"/>
      <c r="K1310" s="19"/>
      <c r="L1310" s="40"/>
    </row>
    <row r="1311" ht="22.5" customHeight="1">
      <c r="C1311" s="19"/>
      <c r="E1311" s="43"/>
      <c r="F1311" s="43"/>
      <c r="G1311" s="43"/>
      <c r="H1311" s="42"/>
      <c r="I1311" s="12"/>
      <c r="J1311" s="19"/>
      <c r="K1311" s="19"/>
      <c r="L1311" s="40"/>
    </row>
    <row r="1312" ht="22.5" customHeight="1">
      <c r="C1312" s="19"/>
      <c r="E1312" s="43"/>
      <c r="F1312" s="43"/>
      <c r="G1312" s="43"/>
      <c r="H1312" s="42"/>
      <c r="I1312" s="12"/>
      <c r="J1312" s="19"/>
      <c r="K1312" s="19"/>
      <c r="L1312" s="40"/>
    </row>
    <row r="1313" ht="22.5" customHeight="1">
      <c r="C1313" s="19"/>
      <c r="E1313" s="43"/>
      <c r="F1313" s="43"/>
      <c r="G1313" s="43"/>
      <c r="H1313" s="42"/>
      <c r="I1313" s="12"/>
      <c r="J1313" s="19"/>
      <c r="K1313" s="19"/>
      <c r="L1313" s="40"/>
    </row>
    <row r="1314" ht="22.5" customHeight="1">
      <c r="C1314" s="19"/>
      <c r="E1314" s="43"/>
      <c r="F1314" s="43"/>
      <c r="G1314" s="43"/>
      <c r="H1314" s="42"/>
      <c r="I1314" s="12"/>
      <c r="J1314" s="19"/>
      <c r="K1314" s="19"/>
      <c r="L1314" s="40"/>
    </row>
    <row r="1315" ht="22.5" customHeight="1">
      <c r="C1315" s="19"/>
      <c r="E1315" s="43"/>
      <c r="F1315" s="43"/>
      <c r="G1315" s="43"/>
      <c r="H1315" s="42"/>
      <c r="I1315" s="12"/>
      <c r="J1315" s="19"/>
      <c r="K1315" s="19"/>
      <c r="L1315" s="40"/>
    </row>
    <row r="1316" ht="22.5" customHeight="1">
      <c r="C1316" s="19"/>
      <c r="E1316" s="43"/>
      <c r="F1316" s="43"/>
      <c r="G1316" s="43"/>
      <c r="H1316" s="42"/>
      <c r="I1316" s="12"/>
      <c r="J1316" s="19"/>
      <c r="K1316" s="19"/>
      <c r="L1316" s="40"/>
    </row>
    <row r="1317" ht="22.5" customHeight="1">
      <c r="C1317" s="19"/>
      <c r="E1317" s="43"/>
      <c r="F1317" s="43"/>
      <c r="G1317" s="43"/>
      <c r="H1317" s="42"/>
      <c r="I1317" s="12"/>
      <c r="J1317" s="19"/>
      <c r="K1317" s="19"/>
      <c r="L1317" s="40"/>
    </row>
    <row r="1318" ht="22.5" customHeight="1">
      <c r="C1318" s="19"/>
      <c r="E1318" s="43"/>
      <c r="F1318" s="43"/>
      <c r="G1318" s="43"/>
      <c r="H1318" s="44"/>
      <c r="I1318" s="12"/>
      <c r="J1318" s="19"/>
      <c r="K1318" s="19"/>
      <c r="L1318" s="40"/>
    </row>
    <row r="1319" ht="22.5" customHeight="1">
      <c r="C1319" s="19"/>
      <c r="E1319" s="43"/>
      <c r="F1319" s="43"/>
      <c r="G1319" s="43"/>
      <c r="H1319" s="42"/>
      <c r="I1319" s="12"/>
      <c r="J1319" s="19"/>
      <c r="K1319" s="19"/>
      <c r="L1319" s="40"/>
    </row>
    <row r="1320" ht="22.5" customHeight="1">
      <c r="C1320" s="19"/>
      <c r="E1320" s="43"/>
      <c r="F1320" s="43"/>
      <c r="G1320" s="43"/>
      <c r="H1320" s="42"/>
      <c r="I1320" s="12"/>
      <c r="J1320" s="19"/>
      <c r="K1320" s="19"/>
      <c r="L1320" s="40"/>
    </row>
    <row r="1321" ht="22.5" customHeight="1">
      <c r="C1321" s="19"/>
      <c r="E1321" s="43"/>
      <c r="F1321" s="43"/>
      <c r="G1321" s="43"/>
      <c r="H1321" s="44"/>
      <c r="I1321" s="12"/>
      <c r="J1321" s="19"/>
      <c r="K1321" s="19"/>
      <c r="L1321" s="40"/>
    </row>
    <row r="1322" ht="22.5" customHeight="1">
      <c r="C1322" s="19"/>
      <c r="E1322" s="43"/>
      <c r="F1322" s="43"/>
      <c r="G1322" s="43"/>
      <c r="H1322" s="42"/>
      <c r="I1322" s="12"/>
      <c r="J1322" s="19"/>
      <c r="K1322" s="19"/>
      <c r="L1322" s="40"/>
    </row>
    <row r="1323" ht="22.5" customHeight="1">
      <c r="C1323" s="19"/>
      <c r="E1323" s="43"/>
      <c r="F1323" s="43"/>
      <c r="G1323" s="43"/>
      <c r="H1323" s="42"/>
      <c r="I1323" s="12"/>
      <c r="J1323" s="19"/>
      <c r="K1323" s="19"/>
      <c r="L1323" s="40"/>
    </row>
    <row r="1324" ht="22.5" customHeight="1">
      <c r="C1324" s="19"/>
      <c r="E1324" s="43"/>
      <c r="F1324" s="43"/>
      <c r="G1324" s="43"/>
      <c r="H1324" s="42"/>
      <c r="I1324" s="12"/>
      <c r="J1324" s="19"/>
      <c r="K1324" s="19"/>
      <c r="L1324" s="40"/>
    </row>
    <row r="1325" ht="22.5" customHeight="1">
      <c r="C1325" s="19"/>
      <c r="E1325" s="43"/>
      <c r="F1325" s="43"/>
      <c r="G1325" s="43"/>
      <c r="H1325" s="42"/>
      <c r="I1325" s="12"/>
      <c r="J1325" s="19"/>
      <c r="K1325" s="19"/>
      <c r="L1325" s="40"/>
    </row>
    <row r="1326" ht="22.5" customHeight="1">
      <c r="C1326" s="19"/>
      <c r="E1326" s="43"/>
      <c r="F1326" s="43"/>
      <c r="G1326" s="43"/>
      <c r="H1326" s="44"/>
      <c r="I1326" s="12"/>
      <c r="J1326" s="19"/>
      <c r="K1326" s="19"/>
      <c r="L1326" s="40"/>
    </row>
    <row r="1327" ht="22.5" customHeight="1">
      <c r="C1327" s="19"/>
      <c r="E1327" s="43"/>
      <c r="F1327" s="43"/>
      <c r="G1327" s="43"/>
      <c r="H1327" s="44"/>
      <c r="I1327" s="12"/>
      <c r="J1327" s="19"/>
      <c r="K1327" s="19"/>
      <c r="L1327" s="40"/>
    </row>
    <row r="1328" ht="22.5" customHeight="1">
      <c r="C1328" s="19"/>
      <c r="E1328" s="43"/>
      <c r="F1328" s="43"/>
      <c r="G1328" s="43"/>
      <c r="H1328" s="44"/>
      <c r="I1328" s="12"/>
      <c r="J1328" s="19"/>
      <c r="K1328" s="19"/>
      <c r="L1328" s="40"/>
    </row>
    <row r="1329" ht="22.5" customHeight="1">
      <c r="C1329" s="19"/>
      <c r="E1329" s="43"/>
      <c r="F1329" s="43"/>
      <c r="G1329" s="43"/>
      <c r="H1329" s="44"/>
      <c r="I1329" s="12"/>
      <c r="J1329" s="19"/>
      <c r="K1329" s="19"/>
      <c r="L1329" s="40"/>
    </row>
    <row r="1330" ht="22.5" customHeight="1">
      <c r="C1330" s="19"/>
      <c r="E1330" s="43"/>
      <c r="F1330" s="43"/>
      <c r="G1330" s="43"/>
      <c r="H1330" s="42"/>
      <c r="I1330" s="12"/>
      <c r="J1330" s="19"/>
      <c r="K1330" s="19"/>
      <c r="L1330" s="40"/>
    </row>
    <row r="1331" ht="22.5" customHeight="1">
      <c r="C1331" s="19"/>
      <c r="E1331" s="43"/>
      <c r="F1331" s="43"/>
      <c r="G1331" s="43"/>
      <c r="H1331" s="42"/>
      <c r="I1331" s="12"/>
      <c r="J1331" s="19"/>
      <c r="K1331" s="19"/>
      <c r="L1331" s="40"/>
    </row>
    <row r="1332" ht="22.5" customHeight="1">
      <c r="C1332" s="19"/>
      <c r="E1332" s="43"/>
      <c r="F1332" s="43"/>
      <c r="G1332" s="43"/>
      <c r="H1332" s="42"/>
      <c r="I1332" s="12"/>
      <c r="J1332" s="19"/>
      <c r="K1332" s="19"/>
      <c r="L1332" s="40"/>
    </row>
    <row r="1333" ht="22.5" customHeight="1">
      <c r="C1333" s="19"/>
      <c r="E1333" s="43"/>
      <c r="F1333" s="43"/>
      <c r="G1333" s="43"/>
      <c r="H1333" s="42"/>
      <c r="I1333" s="12"/>
      <c r="J1333" s="19"/>
      <c r="K1333" s="19"/>
      <c r="L1333" s="40"/>
    </row>
    <row r="1334" ht="22.5" customHeight="1">
      <c r="C1334" s="19"/>
      <c r="E1334" s="43"/>
      <c r="F1334" s="43"/>
      <c r="G1334" s="43"/>
      <c r="H1334" s="42"/>
      <c r="I1334" s="12"/>
      <c r="J1334" s="19"/>
      <c r="K1334" s="19"/>
      <c r="L1334" s="40"/>
    </row>
    <row r="1335" ht="22.5" customHeight="1">
      <c r="C1335" s="19"/>
      <c r="E1335" s="43"/>
      <c r="F1335" s="43"/>
      <c r="G1335" s="43"/>
      <c r="H1335" s="42"/>
      <c r="I1335" s="12"/>
      <c r="J1335" s="19"/>
      <c r="K1335" s="19"/>
      <c r="L1335" s="40"/>
    </row>
    <row r="1336" ht="22.5" customHeight="1">
      <c r="C1336" s="19"/>
      <c r="E1336" s="43"/>
      <c r="F1336" s="43"/>
      <c r="G1336" s="43"/>
      <c r="H1336" s="42"/>
      <c r="I1336" s="12"/>
      <c r="J1336" s="19"/>
      <c r="K1336" s="19"/>
      <c r="L1336" s="40"/>
    </row>
    <row r="1337" ht="22.5" customHeight="1">
      <c r="C1337" s="19"/>
      <c r="E1337" s="43"/>
      <c r="F1337" s="43"/>
      <c r="G1337" s="43"/>
      <c r="H1337" s="42"/>
      <c r="I1337" s="12"/>
      <c r="J1337" s="19"/>
      <c r="K1337" s="19"/>
      <c r="L1337" s="40"/>
    </row>
    <row r="1338" ht="22.5" customHeight="1">
      <c r="C1338" s="19"/>
      <c r="E1338" s="43"/>
      <c r="F1338" s="43"/>
      <c r="G1338" s="43"/>
      <c r="H1338" s="42"/>
      <c r="I1338" s="12"/>
      <c r="J1338" s="19"/>
      <c r="K1338" s="19"/>
      <c r="L1338" s="40"/>
    </row>
    <row r="1339" ht="22.5" customHeight="1">
      <c r="C1339" s="19"/>
      <c r="E1339" s="43"/>
      <c r="F1339" s="28"/>
      <c r="G1339" s="43"/>
      <c r="H1339" s="42"/>
      <c r="I1339" s="12"/>
      <c r="J1339" s="19"/>
      <c r="K1339" s="19"/>
      <c r="L1339" s="40"/>
    </row>
    <row r="1340" ht="22.5" customHeight="1">
      <c r="C1340" s="19"/>
      <c r="E1340" s="43"/>
      <c r="F1340" s="43"/>
      <c r="G1340" s="43"/>
      <c r="H1340" s="42"/>
      <c r="I1340" s="12"/>
      <c r="J1340" s="19"/>
      <c r="K1340" s="19"/>
      <c r="L1340" s="40"/>
    </row>
    <row r="1341" ht="22.5" customHeight="1">
      <c r="C1341" s="19"/>
      <c r="E1341" s="43"/>
      <c r="F1341" s="43"/>
      <c r="G1341" s="43"/>
      <c r="H1341" s="42"/>
      <c r="I1341" s="12"/>
      <c r="J1341" s="19"/>
      <c r="K1341" s="19"/>
      <c r="L1341" s="40"/>
    </row>
    <row r="1342" ht="22.5" customHeight="1">
      <c r="C1342" s="19"/>
      <c r="E1342" s="43"/>
      <c r="F1342" s="43"/>
      <c r="G1342" s="43"/>
      <c r="H1342" s="42"/>
      <c r="I1342" s="12"/>
      <c r="J1342" s="19"/>
      <c r="K1342" s="19"/>
      <c r="L1342" s="40"/>
    </row>
    <row r="1343" ht="22.5" customHeight="1">
      <c r="C1343" s="19"/>
      <c r="E1343" s="43"/>
      <c r="F1343" s="43"/>
      <c r="G1343" s="43"/>
      <c r="H1343" s="42"/>
      <c r="I1343" s="12"/>
      <c r="J1343" s="19"/>
      <c r="K1343" s="19"/>
      <c r="L1343" s="40"/>
    </row>
    <row r="1344" ht="22.5" customHeight="1">
      <c r="C1344" s="19"/>
      <c r="E1344" s="43"/>
      <c r="F1344" s="43"/>
      <c r="G1344" s="43"/>
      <c r="H1344" s="42"/>
      <c r="I1344" s="12"/>
      <c r="J1344" s="19"/>
      <c r="K1344" s="19"/>
      <c r="L1344" s="40"/>
    </row>
    <row r="1345" ht="22.5" customHeight="1">
      <c r="C1345" s="19"/>
      <c r="E1345" s="43"/>
      <c r="F1345" s="43"/>
      <c r="G1345" s="43"/>
      <c r="H1345" s="42"/>
      <c r="I1345" s="12"/>
      <c r="J1345" s="19"/>
      <c r="K1345" s="19"/>
      <c r="L1345" s="4"/>
    </row>
    <row r="1346" ht="22.5" customHeight="1">
      <c r="C1346" s="19"/>
      <c r="E1346" s="43"/>
      <c r="F1346" s="43"/>
      <c r="G1346" s="43"/>
      <c r="H1346" s="42"/>
      <c r="I1346" s="12"/>
      <c r="J1346" s="19"/>
      <c r="K1346" s="19"/>
      <c r="L1346" s="40"/>
    </row>
    <row r="1347" ht="22.5" customHeight="1">
      <c r="C1347" s="19"/>
      <c r="E1347" s="43"/>
      <c r="F1347" s="43"/>
      <c r="G1347" s="43"/>
      <c r="H1347" s="42"/>
      <c r="I1347" s="12"/>
      <c r="J1347" s="19"/>
      <c r="K1347" s="19"/>
      <c r="L1347" s="40"/>
    </row>
    <row r="1348" ht="22.5" customHeight="1">
      <c r="C1348" s="19"/>
      <c r="E1348" s="43"/>
      <c r="F1348" s="43"/>
      <c r="G1348" s="43"/>
      <c r="H1348" s="42"/>
      <c r="I1348" s="12"/>
      <c r="J1348" s="19"/>
      <c r="K1348" s="19"/>
      <c r="L1348" s="40"/>
    </row>
    <row r="1349" ht="22.5" customHeight="1">
      <c r="C1349" s="19"/>
      <c r="E1349" s="43"/>
      <c r="F1349" s="43"/>
      <c r="G1349" s="43"/>
      <c r="H1349" s="44"/>
      <c r="I1349" s="12"/>
      <c r="J1349" s="19"/>
      <c r="K1349" s="19"/>
      <c r="L1349" s="40"/>
    </row>
    <row r="1350" ht="22.5" customHeight="1">
      <c r="C1350" s="19"/>
      <c r="E1350" s="43"/>
      <c r="F1350" s="43"/>
      <c r="G1350" s="43"/>
      <c r="H1350" s="44"/>
      <c r="I1350" s="12"/>
      <c r="J1350" s="19"/>
      <c r="K1350" s="19"/>
      <c r="L1350" s="40"/>
    </row>
    <row r="1351" ht="22.5" customHeight="1">
      <c r="C1351" s="19"/>
      <c r="E1351" s="43"/>
      <c r="F1351" s="43"/>
      <c r="G1351" s="43"/>
      <c r="H1351" s="44"/>
      <c r="I1351" s="12"/>
      <c r="J1351" s="19"/>
      <c r="K1351" s="19"/>
      <c r="L1351" s="40"/>
    </row>
    <row r="1352" ht="22.5" customHeight="1">
      <c r="C1352" s="19"/>
      <c r="E1352" s="43"/>
      <c r="F1352" s="43"/>
      <c r="G1352" s="43"/>
      <c r="H1352" s="42"/>
      <c r="I1352" s="12"/>
      <c r="J1352" s="19"/>
      <c r="K1352" s="19"/>
      <c r="L1352" s="40"/>
    </row>
    <row r="1353" ht="22.5" customHeight="1">
      <c r="C1353" s="19"/>
      <c r="E1353" s="43"/>
      <c r="F1353" s="43"/>
      <c r="G1353" s="43"/>
      <c r="H1353" s="42"/>
      <c r="I1353" s="12"/>
      <c r="J1353" s="19"/>
      <c r="K1353" s="19"/>
      <c r="L1353" s="40"/>
    </row>
    <row r="1354" ht="22.5" customHeight="1">
      <c r="C1354" s="19"/>
      <c r="E1354" s="43"/>
      <c r="F1354" s="43"/>
      <c r="G1354" s="43"/>
      <c r="H1354" s="42"/>
      <c r="I1354" s="12"/>
      <c r="J1354" s="19"/>
      <c r="K1354" s="19"/>
      <c r="L1354" s="40"/>
    </row>
    <row r="1355" ht="22.5" customHeight="1">
      <c r="C1355" s="19"/>
      <c r="E1355" s="43"/>
      <c r="F1355" s="43"/>
      <c r="G1355" s="43"/>
      <c r="H1355" s="42"/>
      <c r="I1355" s="12"/>
      <c r="J1355" s="19"/>
      <c r="K1355" s="19"/>
      <c r="L1355" s="40"/>
    </row>
    <row r="1356" ht="22.5" customHeight="1">
      <c r="C1356" s="19"/>
      <c r="E1356" s="43"/>
      <c r="F1356" s="43"/>
      <c r="G1356" s="43"/>
      <c r="H1356" s="42"/>
      <c r="I1356" s="12"/>
      <c r="J1356" s="19"/>
      <c r="K1356" s="19"/>
      <c r="L1356" s="40"/>
    </row>
    <row r="1357" ht="22.5" customHeight="1">
      <c r="C1357" s="19"/>
      <c r="E1357" s="43"/>
      <c r="F1357" s="43"/>
      <c r="G1357" s="43"/>
      <c r="H1357" s="42"/>
      <c r="I1357" s="12"/>
      <c r="J1357" s="19"/>
      <c r="K1357" s="19"/>
      <c r="L1357" s="40"/>
    </row>
    <row r="1358" ht="22.5" customHeight="1">
      <c r="C1358" s="19"/>
      <c r="E1358" s="43"/>
      <c r="F1358" s="43"/>
      <c r="G1358" s="43"/>
      <c r="H1358" s="44"/>
      <c r="I1358" s="12"/>
      <c r="J1358" s="19"/>
      <c r="K1358" s="19"/>
      <c r="L1358" s="40"/>
    </row>
    <row r="1359" ht="22.5" customHeight="1">
      <c r="C1359" s="19"/>
      <c r="E1359" s="43"/>
      <c r="F1359" s="43"/>
      <c r="G1359" s="43"/>
      <c r="H1359" s="42"/>
      <c r="I1359" s="12"/>
      <c r="J1359" s="19"/>
      <c r="K1359" s="19"/>
      <c r="L1359" s="40"/>
    </row>
    <row r="1360" ht="22.5" customHeight="1">
      <c r="C1360" s="19"/>
      <c r="E1360" s="43"/>
      <c r="F1360" s="43"/>
      <c r="G1360" s="43"/>
      <c r="H1360" s="42"/>
      <c r="I1360" s="12"/>
      <c r="J1360" s="19"/>
      <c r="K1360" s="19"/>
      <c r="L1360" s="40"/>
    </row>
    <row r="1361" ht="22.5" customHeight="1">
      <c r="C1361" s="19"/>
      <c r="E1361" s="43"/>
      <c r="F1361" s="43"/>
      <c r="G1361" s="43"/>
      <c r="H1361" s="42"/>
      <c r="I1361" s="12"/>
      <c r="J1361" s="19"/>
      <c r="K1361" s="19"/>
      <c r="L1361" s="40"/>
    </row>
    <row r="1362" ht="22.5" customHeight="1">
      <c r="C1362" s="19"/>
      <c r="E1362" s="43"/>
      <c r="F1362" s="43"/>
      <c r="G1362" s="43"/>
      <c r="H1362" s="42"/>
      <c r="I1362" s="12"/>
      <c r="J1362" s="19"/>
      <c r="K1362" s="19"/>
      <c r="L1362" s="40"/>
    </row>
    <row r="1363" ht="22.5" customHeight="1">
      <c r="C1363" s="19"/>
      <c r="E1363" s="43"/>
      <c r="F1363" s="43"/>
      <c r="G1363" s="43"/>
      <c r="H1363" s="44"/>
      <c r="I1363" s="12"/>
      <c r="J1363" s="19"/>
      <c r="K1363" s="19"/>
      <c r="L1363" s="40"/>
    </row>
    <row r="1364" ht="22.5" customHeight="1">
      <c r="C1364" s="19"/>
      <c r="E1364" s="43"/>
      <c r="F1364" s="43"/>
      <c r="G1364" s="43"/>
      <c r="H1364" s="44"/>
      <c r="I1364" s="12"/>
      <c r="J1364" s="19"/>
      <c r="K1364" s="19"/>
      <c r="L1364" s="40"/>
    </row>
    <row r="1365" ht="22.5" customHeight="1">
      <c r="C1365" s="19"/>
      <c r="E1365" s="43"/>
      <c r="F1365" s="43"/>
      <c r="G1365" s="43"/>
      <c r="H1365" s="42"/>
      <c r="I1365" s="12"/>
      <c r="J1365" s="19"/>
      <c r="K1365" s="19"/>
      <c r="L1365" s="40"/>
    </row>
    <row r="1366" ht="22.5" customHeight="1">
      <c r="C1366" s="19"/>
      <c r="E1366" s="43"/>
      <c r="F1366" s="43"/>
      <c r="G1366" s="43"/>
      <c r="H1366" s="42"/>
      <c r="I1366" s="12"/>
      <c r="J1366" s="19"/>
      <c r="K1366" s="19"/>
      <c r="L1366" s="40"/>
    </row>
    <row r="1367" ht="22.5" customHeight="1">
      <c r="C1367" s="19"/>
      <c r="E1367" s="43"/>
      <c r="F1367" s="43"/>
      <c r="G1367" s="43"/>
      <c r="H1367" s="42"/>
      <c r="I1367" s="12"/>
      <c r="J1367" s="19"/>
      <c r="K1367" s="19"/>
      <c r="L1367" s="40"/>
    </row>
    <row r="1368" ht="22.5" customHeight="1">
      <c r="C1368" s="19"/>
      <c r="E1368" s="43"/>
      <c r="F1368" s="43"/>
      <c r="G1368" s="43"/>
      <c r="H1368" s="42"/>
      <c r="I1368" s="12"/>
      <c r="J1368" s="19"/>
      <c r="K1368" s="19"/>
      <c r="L1368" s="40"/>
    </row>
    <row r="1369" ht="22.5" customHeight="1">
      <c r="C1369" s="19"/>
      <c r="E1369" s="43"/>
      <c r="F1369" s="43"/>
      <c r="G1369" s="43"/>
      <c r="H1369" s="44"/>
      <c r="I1369" s="12"/>
      <c r="J1369" s="19"/>
      <c r="K1369" s="19"/>
      <c r="L1369" s="40"/>
    </row>
    <row r="1370" ht="22.5" customHeight="1">
      <c r="C1370" s="19"/>
      <c r="E1370" s="43"/>
      <c r="F1370" s="43"/>
      <c r="G1370" s="43"/>
      <c r="H1370" s="42"/>
      <c r="I1370" s="12"/>
      <c r="J1370" s="19"/>
      <c r="K1370" s="19"/>
      <c r="L1370" s="40"/>
    </row>
    <row r="1371" ht="22.5" customHeight="1">
      <c r="C1371" s="19"/>
      <c r="E1371" s="43"/>
      <c r="F1371" s="43"/>
      <c r="G1371" s="43"/>
      <c r="H1371" s="44"/>
      <c r="I1371" s="12"/>
      <c r="J1371" s="19"/>
      <c r="K1371" s="19"/>
      <c r="L1371" s="40"/>
    </row>
    <row r="1372" ht="22.5" customHeight="1">
      <c r="C1372" s="19"/>
      <c r="E1372" s="43"/>
      <c r="F1372" s="43"/>
      <c r="G1372" s="43"/>
      <c r="H1372" s="42"/>
      <c r="I1372" s="12"/>
      <c r="J1372" s="19"/>
      <c r="K1372" s="19"/>
      <c r="L1372" s="40"/>
    </row>
    <row r="1373" ht="22.5" customHeight="1">
      <c r="C1373" s="19"/>
      <c r="E1373" s="43"/>
      <c r="F1373" s="43"/>
      <c r="G1373" s="43"/>
      <c r="H1373" s="42"/>
      <c r="I1373" s="12"/>
      <c r="J1373" s="19"/>
      <c r="K1373" s="19"/>
      <c r="L1373" s="40"/>
    </row>
    <row r="1374" ht="22.5" customHeight="1">
      <c r="C1374" s="19"/>
      <c r="E1374" s="43"/>
      <c r="F1374" s="43"/>
      <c r="G1374" s="43"/>
      <c r="H1374" s="44"/>
      <c r="I1374" s="12"/>
      <c r="J1374" s="19"/>
      <c r="K1374" s="19"/>
      <c r="L1374" s="40"/>
    </row>
    <row r="1375" ht="22.5" customHeight="1">
      <c r="C1375" s="19"/>
      <c r="E1375" s="43"/>
      <c r="F1375" s="43"/>
      <c r="G1375" s="43"/>
      <c r="H1375" s="44"/>
      <c r="I1375" s="12"/>
      <c r="J1375" s="19"/>
      <c r="K1375" s="19"/>
      <c r="L1375" s="40"/>
    </row>
    <row r="1376" ht="22.5" customHeight="1">
      <c r="C1376" s="19"/>
      <c r="E1376" s="43"/>
      <c r="F1376" s="43"/>
      <c r="G1376" s="43"/>
      <c r="H1376" s="44"/>
      <c r="I1376" s="12"/>
      <c r="J1376" s="19"/>
      <c r="K1376" s="19"/>
      <c r="L1376" s="40"/>
    </row>
    <row r="1377" ht="22.5" customHeight="1">
      <c r="C1377" s="19"/>
      <c r="E1377" s="43"/>
      <c r="F1377" s="43"/>
      <c r="G1377" s="43"/>
      <c r="H1377" s="44"/>
      <c r="I1377" s="12"/>
      <c r="J1377" s="19"/>
      <c r="K1377" s="19"/>
      <c r="L1377" s="40"/>
    </row>
    <row r="1378" ht="22.5" customHeight="1">
      <c r="C1378" s="19"/>
      <c r="E1378" s="43"/>
      <c r="F1378" s="43"/>
      <c r="G1378" s="43"/>
      <c r="H1378" s="42"/>
      <c r="I1378" s="12"/>
      <c r="J1378" s="19"/>
      <c r="K1378" s="19"/>
      <c r="L1378" s="40"/>
    </row>
    <row r="1379" ht="22.5" customHeight="1">
      <c r="C1379" s="19"/>
      <c r="E1379" s="43"/>
      <c r="F1379" s="43"/>
      <c r="G1379" s="43"/>
      <c r="H1379" s="42"/>
      <c r="I1379" s="12"/>
      <c r="J1379" s="19"/>
      <c r="K1379" s="19"/>
      <c r="L1379" s="40"/>
    </row>
    <row r="1380" ht="22.5" customHeight="1">
      <c r="C1380" s="19"/>
      <c r="E1380" s="43"/>
      <c r="F1380" s="43"/>
      <c r="G1380" s="43"/>
      <c r="H1380" s="42"/>
      <c r="I1380" s="12"/>
      <c r="J1380" s="19"/>
      <c r="K1380" s="19"/>
      <c r="L1380" s="40"/>
    </row>
    <row r="1381" ht="22.5" customHeight="1">
      <c r="C1381" s="19"/>
      <c r="E1381" s="43"/>
      <c r="F1381" s="43"/>
      <c r="G1381" s="43"/>
      <c r="H1381" s="42"/>
      <c r="I1381" s="12"/>
      <c r="J1381" s="19"/>
      <c r="K1381" s="19"/>
      <c r="L1381" s="40"/>
    </row>
    <row r="1382" ht="22.5" customHeight="1">
      <c r="C1382" s="19"/>
      <c r="E1382" s="43"/>
      <c r="F1382" s="43"/>
      <c r="G1382" s="43"/>
      <c r="H1382" s="44"/>
      <c r="I1382" s="12"/>
      <c r="J1382" s="19"/>
      <c r="K1382" s="19"/>
      <c r="L1382" s="4"/>
    </row>
    <row r="1383" ht="22.5" customHeight="1">
      <c r="C1383" s="19"/>
      <c r="E1383" s="43"/>
      <c r="F1383" s="43"/>
      <c r="G1383" s="43"/>
      <c r="H1383" s="42"/>
      <c r="I1383" s="12"/>
      <c r="J1383" s="19"/>
      <c r="K1383" s="19"/>
      <c r="L1383" s="40"/>
    </row>
    <row r="1384" ht="22.5" customHeight="1">
      <c r="C1384" s="19"/>
      <c r="E1384" s="43"/>
      <c r="F1384" s="43"/>
      <c r="G1384" s="43"/>
      <c r="H1384" s="42"/>
      <c r="I1384" s="12"/>
      <c r="J1384" s="19"/>
      <c r="K1384" s="19"/>
      <c r="L1384" s="40"/>
    </row>
    <row r="1385" ht="22.5" customHeight="1">
      <c r="C1385" s="19"/>
      <c r="E1385" s="43"/>
      <c r="F1385" s="43"/>
      <c r="G1385" s="43"/>
      <c r="H1385" s="42"/>
      <c r="I1385" s="12"/>
      <c r="J1385" s="19"/>
      <c r="K1385" s="19"/>
      <c r="L1385" s="40"/>
    </row>
    <row r="1386" ht="22.5" customHeight="1">
      <c r="C1386" s="19"/>
      <c r="E1386" s="43"/>
      <c r="F1386" s="43"/>
      <c r="G1386" s="43"/>
      <c r="H1386" s="42"/>
      <c r="I1386" s="12"/>
      <c r="J1386" s="19"/>
      <c r="K1386" s="19"/>
      <c r="L1386" s="40"/>
    </row>
    <row r="1387" ht="22.5" customHeight="1">
      <c r="C1387" s="19"/>
      <c r="E1387" s="43"/>
      <c r="F1387" s="43"/>
      <c r="G1387" s="43"/>
      <c r="H1387" s="42"/>
      <c r="I1387" s="12"/>
      <c r="J1387" s="19"/>
      <c r="K1387" s="19"/>
      <c r="L1387" s="40"/>
    </row>
    <row r="1388" ht="22.5" customHeight="1">
      <c r="C1388" s="19"/>
      <c r="E1388" s="43"/>
      <c r="F1388" s="43"/>
      <c r="G1388" s="43"/>
      <c r="H1388" s="42"/>
      <c r="I1388" s="12"/>
      <c r="J1388" s="19"/>
      <c r="K1388" s="19"/>
      <c r="L1388" s="40"/>
    </row>
    <row r="1389" ht="22.5" customHeight="1">
      <c r="C1389" s="19"/>
      <c r="E1389" s="43"/>
      <c r="F1389" s="43"/>
      <c r="G1389" s="43"/>
      <c r="H1389" s="42"/>
      <c r="I1389" s="12"/>
      <c r="J1389" s="19"/>
      <c r="K1389" s="19"/>
      <c r="L1389" s="40"/>
    </row>
    <row r="1390" ht="22.5" customHeight="1">
      <c r="C1390" s="19"/>
      <c r="E1390" s="43"/>
      <c r="F1390" s="43"/>
      <c r="G1390" s="43"/>
      <c r="H1390" s="42"/>
      <c r="I1390" s="12"/>
      <c r="J1390" s="19"/>
      <c r="K1390" s="19"/>
      <c r="L1390" s="40"/>
    </row>
    <row r="1391" ht="22.5" customHeight="1">
      <c r="C1391" s="19"/>
      <c r="E1391" s="43"/>
      <c r="F1391" s="43"/>
      <c r="G1391" s="43"/>
      <c r="H1391" s="42"/>
      <c r="I1391" s="12"/>
      <c r="J1391" s="19"/>
      <c r="K1391" s="19"/>
      <c r="L1391" s="40"/>
    </row>
    <row r="1392" ht="22.5" customHeight="1">
      <c r="C1392" s="19"/>
      <c r="E1392" s="43"/>
      <c r="F1392" s="43"/>
      <c r="G1392" s="43"/>
      <c r="H1392" s="42"/>
      <c r="I1392" s="12"/>
      <c r="J1392" s="19"/>
      <c r="K1392" s="19"/>
      <c r="L1392" s="40"/>
    </row>
    <row r="1393" ht="22.5" customHeight="1">
      <c r="C1393" s="19"/>
      <c r="E1393" s="43"/>
      <c r="F1393" s="43"/>
      <c r="G1393" s="43"/>
      <c r="H1393" s="44"/>
      <c r="I1393" s="12"/>
      <c r="J1393" s="19"/>
      <c r="K1393" s="19"/>
      <c r="L1393" s="40"/>
    </row>
    <row r="1394" ht="22.5" customHeight="1">
      <c r="C1394" s="19"/>
      <c r="E1394" s="43"/>
      <c r="F1394" s="43"/>
      <c r="G1394" s="43"/>
      <c r="H1394" s="44"/>
      <c r="I1394" s="12"/>
      <c r="J1394" s="19"/>
      <c r="K1394" s="19"/>
      <c r="L1394" s="40"/>
    </row>
    <row r="1395" ht="22.5" customHeight="1">
      <c r="C1395" s="19"/>
      <c r="E1395" s="43"/>
      <c r="F1395" s="43"/>
      <c r="G1395" s="43"/>
      <c r="H1395" s="42"/>
      <c r="I1395" s="12"/>
      <c r="J1395" s="19"/>
      <c r="K1395" s="19"/>
      <c r="L1395" s="40"/>
    </row>
    <row r="1396" ht="22.5" customHeight="1">
      <c r="C1396" s="19"/>
      <c r="E1396" s="43"/>
      <c r="F1396" s="43"/>
      <c r="G1396" s="43"/>
      <c r="H1396" s="42"/>
      <c r="I1396" s="12"/>
      <c r="J1396" s="19"/>
      <c r="K1396" s="19"/>
      <c r="L1396" s="40"/>
    </row>
    <row r="1397" ht="22.5" customHeight="1">
      <c r="C1397" s="19"/>
      <c r="E1397" s="43"/>
      <c r="F1397" s="43"/>
      <c r="G1397" s="43"/>
      <c r="H1397" s="44"/>
      <c r="I1397" s="12"/>
      <c r="J1397" s="19"/>
      <c r="K1397" s="19"/>
      <c r="L1397" s="40"/>
    </row>
    <row r="1398" ht="22.5" customHeight="1">
      <c r="C1398" s="19"/>
      <c r="E1398" s="43"/>
      <c r="F1398" s="43"/>
      <c r="G1398" s="43"/>
      <c r="H1398" s="42"/>
      <c r="I1398" s="12"/>
      <c r="J1398" s="19"/>
      <c r="K1398" s="19"/>
      <c r="L1398" s="40"/>
    </row>
    <row r="1399" ht="22.5" customHeight="1">
      <c r="C1399" s="19"/>
      <c r="E1399" s="43"/>
      <c r="F1399" s="43"/>
      <c r="G1399" s="43"/>
      <c r="H1399" s="42"/>
      <c r="I1399" s="12"/>
      <c r="J1399" s="19"/>
      <c r="K1399" s="19"/>
      <c r="L1399" s="40"/>
    </row>
    <row r="1400" ht="22.5" customHeight="1">
      <c r="C1400" s="19"/>
      <c r="E1400" s="43"/>
      <c r="F1400" s="43"/>
      <c r="G1400" s="43"/>
      <c r="H1400" s="44"/>
      <c r="I1400" s="12"/>
      <c r="J1400" s="19"/>
      <c r="K1400" s="19"/>
      <c r="L1400" s="40"/>
    </row>
    <row r="1401" ht="22.5" customHeight="1">
      <c r="C1401" s="19"/>
      <c r="E1401" s="43"/>
      <c r="F1401" s="43"/>
      <c r="G1401" s="43"/>
      <c r="H1401" s="42"/>
      <c r="I1401" s="12"/>
      <c r="J1401" s="19"/>
      <c r="K1401" s="19"/>
      <c r="L1401" s="40"/>
    </row>
    <row r="1402" ht="22.5" customHeight="1">
      <c r="C1402" s="19"/>
      <c r="E1402" s="43"/>
      <c r="F1402" s="43"/>
      <c r="G1402" s="43"/>
      <c r="H1402" s="44"/>
      <c r="I1402" s="12"/>
      <c r="J1402" s="19"/>
      <c r="K1402" s="19"/>
      <c r="L1402" s="40"/>
    </row>
    <row r="1403" ht="22.5" customHeight="1">
      <c r="C1403" s="19"/>
      <c r="E1403" s="43"/>
      <c r="F1403" s="43"/>
      <c r="G1403" s="43"/>
      <c r="H1403" s="42"/>
      <c r="I1403" s="12"/>
      <c r="J1403" s="19"/>
      <c r="K1403" s="19"/>
      <c r="L1403" s="40"/>
    </row>
    <row r="1404" ht="22.5" customHeight="1">
      <c r="C1404" s="19"/>
      <c r="E1404" s="43"/>
      <c r="F1404" s="43"/>
      <c r="G1404" s="43"/>
      <c r="H1404" s="44"/>
      <c r="I1404" s="12"/>
      <c r="J1404" s="19"/>
      <c r="K1404" s="19"/>
      <c r="L1404" s="40"/>
    </row>
    <row r="1405" ht="22.5" customHeight="1">
      <c r="C1405" s="19"/>
      <c r="E1405" s="43"/>
      <c r="F1405" s="43"/>
      <c r="G1405" s="43"/>
      <c r="H1405" s="42"/>
      <c r="I1405" s="12"/>
      <c r="J1405" s="19"/>
      <c r="K1405" s="19"/>
      <c r="L1405" s="40"/>
    </row>
    <row r="1406" ht="22.5" customHeight="1">
      <c r="C1406" s="19"/>
      <c r="E1406" s="43"/>
      <c r="F1406" s="43"/>
      <c r="G1406" s="43"/>
      <c r="H1406" s="42"/>
      <c r="I1406" s="12"/>
      <c r="J1406" s="19"/>
      <c r="K1406" s="19"/>
      <c r="L1406" s="40"/>
    </row>
    <row r="1407" ht="22.5" customHeight="1">
      <c r="C1407" s="19"/>
      <c r="E1407" s="43"/>
      <c r="F1407" s="43"/>
      <c r="G1407" s="43"/>
      <c r="H1407" s="44"/>
      <c r="I1407" s="12"/>
      <c r="J1407" s="19"/>
      <c r="K1407" s="19"/>
      <c r="L1407" s="40"/>
    </row>
    <row r="1408" ht="22.5" customHeight="1">
      <c r="C1408" s="19"/>
      <c r="E1408" s="43"/>
      <c r="F1408" s="43"/>
      <c r="G1408" s="43"/>
      <c r="H1408" s="44"/>
      <c r="I1408" s="12"/>
      <c r="J1408" s="19"/>
      <c r="K1408" s="19"/>
      <c r="L1408" s="40"/>
    </row>
    <row r="1409" ht="22.5" customHeight="1">
      <c r="C1409" s="19"/>
      <c r="E1409" s="43"/>
      <c r="F1409" s="43"/>
      <c r="G1409" s="43"/>
      <c r="H1409" s="42"/>
      <c r="I1409" s="12"/>
      <c r="J1409" s="19"/>
      <c r="K1409" s="19"/>
      <c r="L1409" s="40"/>
    </row>
    <row r="1410" ht="22.5" customHeight="1">
      <c r="C1410" s="19"/>
      <c r="E1410" s="43"/>
      <c r="F1410" s="43"/>
      <c r="G1410" s="43"/>
      <c r="H1410" s="42"/>
      <c r="I1410" s="12"/>
      <c r="J1410" s="19"/>
      <c r="K1410" s="19"/>
      <c r="L1410" s="40"/>
    </row>
    <row r="1411" ht="22.5" customHeight="1">
      <c r="C1411" s="19"/>
      <c r="E1411" s="43"/>
      <c r="F1411" s="43"/>
      <c r="G1411" s="43"/>
      <c r="H1411" s="44"/>
      <c r="I1411" s="12"/>
      <c r="J1411" s="19"/>
      <c r="K1411" s="19"/>
      <c r="L1411" s="40"/>
    </row>
    <row r="1412" ht="22.5" customHeight="1">
      <c r="C1412" s="19"/>
      <c r="E1412" s="43"/>
      <c r="F1412" s="43"/>
      <c r="G1412" s="43"/>
      <c r="H1412" s="42"/>
      <c r="I1412" s="12"/>
      <c r="J1412" s="19"/>
      <c r="K1412" s="19"/>
      <c r="L1412" s="40"/>
    </row>
    <row r="1413" ht="22.5" customHeight="1">
      <c r="C1413" s="19"/>
      <c r="E1413" s="43"/>
      <c r="F1413" s="43"/>
      <c r="G1413" s="43"/>
      <c r="H1413" s="44"/>
      <c r="I1413" s="12"/>
      <c r="J1413" s="19"/>
      <c r="K1413" s="19"/>
      <c r="L1413" s="40"/>
    </row>
    <row r="1414" ht="22.5" customHeight="1">
      <c r="C1414" s="19"/>
      <c r="E1414" s="43"/>
      <c r="F1414" s="43"/>
      <c r="G1414" s="43"/>
      <c r="H1414" s="42"/>
      <c r="I1414" s="12"/>
      <c r="J1414" s="19"/>
      <c r="K1414" s="19"/>
      <c r="L1414" s="40"/>
    </row>
    <row r="1415" ht="22.5" customHeight="1">
      <c r="C1415" s="19"/>
      <c r="E1415" s="43"/>
      <c r="F1415" s="43"/>
      <c r="G1415" s="43"/>
      <c r="H1415" s="42"/>
      <c r="I1415" s="12"/>
      <c r="J1415" s="19"/>
      <c r="K1415" s="19"/>
      <c r="L1415" s="40"/>
    </row>
    <row r="1416" ht="22.5" customHeight="1">
      <c r="C1416" s="19"/>
      <c r="E1416" s="43"/>
      <c r="F1416" s="43"/>
      <c r="G1416" s="43"/>
      <c r="H1416" s="44"/>
      <c r="I1416" s="12"/>
      <c r="J1416" s="19"/>
      <c r="K1416" s="19"/>
      <c r="L1416" s="40"/>
    </row>
    <row r="1417" ht="22.5" customHeight="1">
      <c r="C1417" s="19"/>
      <c r="E1417" s="43"/>
      <c r="F1417" s="43"/>
      <c r="G1417" s="43"/>
      <c r="H1417" s="42"/>
      <c r="I1417" s="12"/>
      <c r="J1417" s="19"/>
      <c r="K1417" s="19"/>
      <c r="L1417" s="40"/>
    </row>
    <row r="1418" ht="22.5" customHeight="1">
      <c r="C1418" s="19"/>
      <c r="E1418" s="43"/>
      <c r="F1418" s="43"/>
      <c r="G1418" s="43"/>
      <c r="H1418" s="44"/>
      <c r="I1418" s="12"/>
      <c r="J1418" s="19"/>
      <c r="K1418" s="19"/>
      <c r="L1418" s="40"/>
    </row>
    <row r="1419" ht="22.5" customHeight="1">
      <c r="C1419" s="19"/>
      <c r="E1419" s="43"/>
      <c r="F1419" s="43"/>
      <c r="G1419" s="43"/>
      <c r="H1419" s="42"/>
      <c r="I1419" s="12"/>
      <c r="J1419" s="19"/>
      <c r="K1419" s="19"/>
      <c r="L1419" s="40"/>
    </row>
    <row r="1420" ht="22.5" customHeight="1">
      <c r="C1420" s="19"/>
      <c r="E1420" s="43"/>
      <c r="F1420" s="43"/>
      <c r="G1420" s="43"/>
      <c r="H1420" s="42"/>
      <c r="I1420" s="12"/>
      <c r="J1420" s="19"/>
      <c r="K1420" s="19"/>
      <c r="L1420" s="40"/>
    </row>
    <row r="1421" ht="22.5" customHeight="1">
      <c r="C1421" s="19"/>
      <c r="E1421" s="43"/>
      <c r="F1421" s="43"/>
      <c r="G1421" s="43"/>
      <c r="H1421" s="44"/>
      <c r="I1421" s="12"/>
      <c r="J1421" s="19"/>
      <c r="K1421" s="19"/>
      <c r="L1421" s="40"/>
    </row>
    <row r="1422" ht="22.5" customHeight="1">
      <c r="C1422" s="19"/>
      <c r="E1422" s="43"/>
      <c r="F1422" s="43"/>
      <c r="G1422" s="43"/>
      <c r="H1422" s="42"/>
      <c r="I1422" s="12"/>
      <c r="J1422" s="19"/>
      <c r="K1422" s="19"/>
      <c r="L1422" s="40"/>
    </row>
    <row r="1423" ht="22.5" customHeight="1">
      <c r="C1423" s="19"/>
      <c r="E1423" s="43"/>
      <c r="F1423" s="43"/>
      <c r="G1423" s="43"/>
      <c r="H1423" s="44"/>
      <c r="I1423" s="12"/>
      <c r="J1423" s="19"/>
      <c r="K1423" s="19"/>
      <c r="L1423" s="40"/>
    </row>
    <row r="1424" ht="22.5" customHeight="1">
      <c r="C1424" s="19"/>
      <c r="E1424" s="43"/>
      <c r="F1424" s="43"/>
      <c r="G1424" s="43"/>
      <c r="H1424" s="42"/>
      <c r="I1424" s="12"/>
      <c r="J1424" s="19"/>
      <c r="K1424" s="19"/>
      <c r="L1424" s="40"/>
    </row>
    <row r="1425" ht="22.5" customHeight="1">
      <c r="C1425" s="19"/>
      <c r="E1425" s="43"/>
      <c r="F1425" s="43"/>
      <c r="G1425" s="43"/>
      <c r="H1425" s="42"/>
      <c r="I1425" s="12"/>
      <c r="J1425" s="19"/>
      <c r="K1425" s="19"/>
      <c r="L1425" s="40"/>
    </row>
    <row r="1426" ht="22.5" customHeight="1">
      <c r="C1426" s="19"/>
      <c r="E1426" s="43"/>
      <c r="F1426" s="43"/>
      <c r="G1426" s="43"/>
      <c r="H1426" s="42"/>
      <c r="I1426" s="12"/>
      <c r="J1426" s="19"/>
      <c r="K1426" s="19"/>
      <c r="L1426" s="40"/>
    </row>
    <row r="1427" ht="22.5" customHeight="1">
      <c r="C1427" s="19"/>
      <c r="E1427" s="43"/>
      <c r="F1427" s="43"/>
      <c r="G1427" s="43"/>
      <c r="H1427" s="44"/>
      <c r="I1427" s="12"/>
      <c r="J1427" s="19"/>
      <c r="K1427" s="19"/>
      <c r="L1427" s="40"/>
    </row>
    <row r="1428" ht="22.5" customHeight="1">
      <c r="C1428" s="19"/>
      <c r="E1428" s="43"/>
      <c r="F1428" s="43"/>
      <c r="G1428" s="43"/>
      <c r="H1428" s="44"/>
      <c r="I1428" s="12"/>
      <c r="J1428" s="19"/>
      <c r="K1428" s="19"/>
      <c r="L1428" s="40"/>
    </row>
    <row r="1429" ht="22.5" customHeight="1">
      <c r="C1429" s="19"/>
      <c r="E1429" s="43"/>
      <c r="F1429" s="43"/>
      <c r="G1429" s="43"/>
      <c r="H1429" s="44"/>
      <c r="I1429" s="12"/>
      <c r="J1429" s="19"/>
      <c r="K1429" s="19"/>
      <c r="L1429" s="40"/>
    </row>
    <row r="1430" ht="22.5" customHeight="1">
      <c r="C1430" s="19"/>
      <c r="E1430" s="43"/>
      <c r="F1430" s="43"/>
      <c r="G1430" s="43"/>
      <c r="H1430" s="42"/>
      <c r="I1430" s="12"/>
      <c r="J1430" s="19"/>
      <c r="K1430" s="19"/>
      <c r="L1430" s="40"/>
    </row>
    <row r="1431" ht="22.5" customHeight="1">
      <c r="C1431" s="19"/>
      <c r="E1431" s="43"/>
      <c r="F1431" s="43"/>
      <c r="G1431" s="43"/>
      <c r="H1431" s="44"/>
      <c r="I1431" s="12"/>
      <c r="J1431" s="19"/>
      <c r="K1431" s="19"/>
      <c r="L1431" s="40"/>
    </row>
    <row r="1432" ht="22.5" customHeight="1">
      <c r="C1432" s="19"/>
      <c r="E1432" s="43"/>
      <c r="F1432" s="43"/>
      <c r="G1432" s="43"/>
      <c r="H1432" s="42"/>
      <c r="I1432" s="12"/>
      <c r="J1432" s="19"/>
      <c r="K1432" s="19"/>
      <c r="L1432" s="40"/>
    </row>
    <row r="1433" ht="22.5" customHeight="1">
      <c r="C1433" s="19"/>
      <c r="E1433" s="43"/>
      <c r="F1433" s="43"/>
      <c r="G1433" s="43"/>
      <c r="H1433" s="44"/>
      <c r="I1433" s="12"/>
      <c r="J1433" s="19"/>
      <c r="K1433" s="19"/>
      <c r="L1433" s="40"/>
    </row>
    <row r="1434" ht="22.5" customHeight="1">
      <c r="C1434" s="19"/>
      <c r="E1434" s="43"/>
      <c r="F1434" s="43"/>
      <c r="G1434" s="43"/>
      <c r="H1434" s="44"/>
      <c r="I1434" s="12"/>
      <c r="J1434" s="19"/>
      <c r="K1434" s="19"/>
      <c r="L1434" s="40"/>
    </row>
    <row r="1435" ht="22.5" customHeight="1">
      <c r="C1435" s="19"/>
      <c r="E1435" s="43"/>
      <c r="F1435" s="43"/>
      <c r="G1435" s="43"/>
      <c r="H1435" s="42"/>
      <c r="I1435" s="12"/>
      <c r="J1435" s="19"/>
      <c r="K1435" s="19"/>
      <c r="L1435" s="40"/>
    </row>
    <row r="1436" ht="22.5" customHeight="1">
      <c r="C1436" s="19"/>
      <c r="E1436" s="43"/>
      <c r="F1436" s="43"/>
      <c r="G1436" s="43"/>
      <c r="H1436" s="42"/>
      <c r="I1436" s="12"/>
      <c r="J1436" s="19"/>
      <c r="K1436" s="19"/>
      <c r="L1436" s="40"/>
    </row>
    <row r="1437" ht="22.5" customHeight="1">
      <c r="C1437" s="19"/>
      <c r="E1437" s="43"/>
      <c r="F1437" s="43"/>
      <c r="G1437" s="43"/>
      <c r="H1437" s="42"/>
      <c r="I1437" s="12"/>
      <c r="J1437" s="19"/>
      <c r="K1437" s="19"/>
      <c r="L1437" s="40"/>
    </row>
    <row r="1438" ht="22.5" customHeight="1">
      <c r="C1438" s="19"/>
      <c r="E1438" s="43"/>
      <c r="F1438" s="43"/>
      <c r="G1438" s="43"/>
      <c r="H1438" s="42"/>
      <c r="I1438" s="12"/>
      <c r="J1438" s="19"/>
      <c r="K1438" s="19"/>
      <c r="L1438" s="40"/>
    </row>
    <row r="1439" ht="22.5" customHeight="1">
      <c r="C1439" s="19"/>
      <c r="E1439" s="43"/>
      <c r="F1439" s="43"/>
      <c r="G1439" s="43"/>
      <c r="H1439" s="42"/>
      <c r="I1439" s="12"/>
      <c r="J1439" s="19"/>
      <c r="K1439" s="19"/>
      <c r="L1439" s="40"/>
    </row>
    <row r="1440" ht="22.5" customHeight="1">
      <c r="C1440" s="19"/>
      <c r="E1440" s="43"/>
      <c r="F1440" s="43"/>
      <c r="G1440" s="43"/>
      <c r="H1440" s="42"/>
      <c r="I1440" s="12"/>
      <c r="J1440" s="19"/>
      <c r="K1440" s="19"/>
      <c r="L1440" s="40"/>
    </row>
    <row r="1441" ht="22.5" customHeight="1">
      <c r="C1441" s="19"/>
      <c r="E1441" s="43"/>
      <c r="F1441" s="43"/>
      <c r="G1441" s="43"/>
      <c r="H1441" s="42"/>
      <c r="I1441" s="12"/>
      <c r="J1441" s="19"/>
      <c r="K1441" s="19"/>
      <c r="L1441" s="40"/>
    </row>
    <row r="1442" ht="22.5" customHeight="1">
      <c r="C1442" s="19"/>
      <c r="E1442" s="43"/>
      <c r="F1442" s="43"/>
      <c r="G1442" s="43"/>
      <c r="H1442" s="42"/>
      <c r="I1442" s="12"/>
      <c r="J1442" s="19"/>
      <c r="K1442" s="19"/>
      <c r="L1442" s="4"/>
    </row>
    <row r="1443" ht="22.5" customHeight="1">
      <c r="C1443" s="19"/>
      <c r="E1443" s="43"/>
      <c r="F1443" s="43"/>
      <c r="G1443" s="43"/>
      <c r="H1443" s="42"/>
      <c r="I1443" s="12"/>
      <c r="J1443" s="19"/>
      <c r="K1443" s="19"/>
      <c r="L1443" s="40"/>
    </row>
    <row r="1444" ht="22.5" customHeight="1">
      <c r="C1444" s="19"/>
      <c r="E1444" s="43"/>
      <c r="F1444" s="43"/>
      <c r="G1444" s="43"/>
      <c r="H1444" s="42"/>
      <c r="I1444" s="12"/>
      <c r="J1444" s="19"/>
      <c r="K1444" s="19"/>
      <c r="L1444" s="40"/>
    </row>
    <row r="1445" ht="22.5" customHeight="1">
      <c r="C1445" s="19"/>
      <c r="E1445" s="43"/>
      <c r="F1445" s="43"/>
      <c r="G1445" s="43"/>
      <c r="H1445" s="42"/>
      <c r="I1445" s="12"/>
      <c r="J1445" s="19"/>
      <c r="K1445" s="19"/>
      <c r="L1445" s="40"/>
    </row>
    <row r="1446" ht="22.5" customHeight="1">
      <c r="C1446" s="19"/>
      <c r="E1446" s="43"/>
      <c r="F1446" s="43"/>
      <c r="G1446" s="43"/>
      <c r="H1446" s="44"/>
      <c r="I1446" s="12"/>
      <c r="J1446" s="19"/>
      <c r="K1446" s="19"/>
      <c r="L1446" s="40"/>
    </row>
    <row r="1447" ht="22.5" customHeight="1">
      <c r="C1447" s="19"/>
      <c r="E1447" s="43"/>
      <c r="F1447" s="43"/>
      <c r="G1447" s="43"/>
      <c r="H1447" s="42"/>
      <c r="I1447" s="12"/>
      <c r="J1447" s="19"/>
      <c r="K1447" s="19"/>
      <c r="L1447" s="4"/>
    </row>
    <row r="1448" ht="22.5" customHeight="1">
      <c r="C1448" s="19"/>
      <c r="E1448" s="43"/>
      <c r="F1448" s="43"/>
      <c r="G1448" s="43"/>
      <c r="H1448" s="42"/>
      <c r="I1448" s="12"/>
      <c r="J1448" s="19"/>
      <c r="K1448" s="19"/>
      <c r="L1448" s="40"/>
    </row>
    <row r="1449" ht="22.5" customHeight="1">
      <c r="C1449" s="19"/>
      <c r="E1449" s="43"/>
      <c r="F1449" s="43"/>
      <c r="G1449" s="43"/>
      <c r="H1449" s="44"/>
      <c r="I1449" s="12"/>
      <c r="J1449" s="19"/>
      <c r="K1449" s="19"/>
      <c r="L1449" s="40"/>
    </row>
    <row r="1450" ht="22.5" customHeight="1">
      <c r="C1450" s="19"/>
      <c r="E1450" s="43"/>
      <c r="F1450" s="43"/>
      <c r="G1450" s="43"/>
      <c r="H1450" s="42"/>
      <c r="I1450" s="12"/>
      <c r="J1450" s="19"/>
      <c r="K1450" s="19"/>
      <c r="L1450" s="40"/>
    </row>
    <row r="1451" ht="22.5" customHeight="1">
      <c r="C1451" s="19"/>
      <c r="E1451" s="43"/>
      <c r="F1451" s="43"/>
      <c r="G1451" s="43"/>
      <c r="H1451" s="42"/>
      <c r="I1451" s="12"/>
      <c r="J1451" s="19"/>
      <c r="K1451" s="19"/>
      <c r="L1451" s="40"/>
    </row>
    <row r="1452" ht="22.5" customHeight="1">
      <c r="C1452" s="19"/>
      <c r="E1452" s="43"/>
      <c r="F1452" s="43"/>
      <c r="G1452" s="43"/>
      <c r="H1452" s="42"/>
      <c r="I1452" s="12"/>
      <c r="J1452" s="19"/>
      <c r="K1452" s="19"/>
      <c r="L1452" s="40"/>
    </row>
    <row r="1453" ht="22.5" customHeight="1">
      <c r="C1453" s="19"/>
      <c r="E1453" s="43"/>
      <c r="F1453" s="43"/>
      <c r="G1453" s="43"/>
      <c r="H1453" s="44"/>
      <c r="I1453" s="12"/>
      <c r="J1453" s="19"/>
      <c r="K1453" s="19"/>
      <c r="L1453" s="40"/>
    </row>
    <row r="1454" ht="22.5" customHeight="1">
      <c r="C1454" s="19"/>
      <c r="E1454" s="43"/>
      <c r="F1454" s="43"/>
      <c r="G1454" s="43"/>
      <c r="H1454" s="44"/>
      <c r="I1454" s="12"/>
      <c r="J1454" s="19"/>
      <c r="K1454" s="19"/>
      <c r="L1454" s="40"/>
    </row>
    <row r="1455" ht="22.5" customHeight="1">
      <c r="C1455" s="19"/>
      <c r="E1455" s="43"/>
      <c r="F1455" s="43"/>
      <c r="G1455" s="43"/>
      <c r="H1455" s="44"/>
      <c r="I1455" s="12"/>
      <c r="J1455" s="19"/>
      <c r="K1455" s="19"/>
      <c r="L1455" s="40"/>
    </row>
    <row r="1456" ht="22.5" customHeight="1">
      <c r="C1456" s="19"/>
      <c r="E1456" s="43"/>
      <c r="F1456" s="43"/>
      <c r="G1456" s="43"/>
      <c r="H1456" s="44"/>
      <c r="I1456" s="12"/>
      <c r="J1456" s="19"/>
      <c r="K1456" s="19"/>
      <c r="L1456" s="40"/>
    </row>
    <row r="1457" ht="22.5" customHeight="1">
      <c r="C1457" s="19"/>
      <c r="E1457" s="43"/>
      <c r="F1457" s="43"/>
      <c r="G1457" s="43"/>
      <c r="H1457" s="42"/>
      <c r="I1457" s="12"/>
      <c r="J1457" s="19"/>
      <c r="K1457" s="19"/>
      <c r="L1457" s="40"/>
    </row>
    <row r="1458" ht="22.5" customHeight="1">
      <c r="C1458" s="19"/>
      <c r="E1458" s="43"/>
      <c r="F1458" s="43"/>
      <c r="G1458" s="43"/>
      <c r="H1458" s="42"/>
      <c r="I1458" s="12"/>
      <c r="J1458" s="19"/>
      <c r="K1458" s="19"/>
      <c r="L1458" s="40"/>
    </row>
    <row r="1459" ht="22.5" customHeight="1">
      <c r="C1459" s="19"/>
      <c r="E1459" s="43"/>
      <c r="F1459" s="43"/>
      <c r="G1459" s="43"/>
      <c r="H1459" s="44"/>
      <c r="I1459" s="12"/>
      <c r="J1459" s="19"/>
      <c r="K1459" s="19"/>
      <c r="L1459" s="40"/>
    </row>
    <row r="1460" ht="22.5" customHeight="1">
      <c r="C1460" s="19"/>
      <c r="E1460" s="43"/>
      <c r="F1460" s="43"/>
      <c r="G1460" s="43"/>
      <c r="H1460" s="42"/>
      <c r="I1460" s="12"/>
      <c r="J1460" s="19"/>
      <c r="K1460" s="19"/>
      <c r="L1460" s="40"/>
    </row>
    <row r="1461" ht="22.5" customHeight="1">
      <c r="C1461" s="19"/>
      <c r="E1461" s="43"/>
      <c r="F1461" s="43"/>
      <c r="G1461" s="43"/>
      <c r="H1461" s="42"/>
      <c r="I1461" s="12"/>
      <c r="J1461" s="19"/>
      <c r="K1461" s="19"/>
      <c r="L1461" s="40"/>
    </row>
    <row r="1462" ht="22.5" customHeight="1">
      <c r="C1462" s="19"/>
      <c r="E1462" s="43"/>
      <c r="F1462" s="43"/>
      <c r="G1462" s="43"/>
      <c r="H1462" s="44"/>
      <c r="I1462" s="12"/>
      <c r="J1462" s="19"/>
      <c r="K1462" s="19"/>
      <c r="L1462" s="40"/>
    </row>
    <row r="1463" ht="22.5" customHeight="1">
      <c r="C1463" s="19"/>
      <c r="E1463" s="43"/>
      <c r="F1463" s="43"/>
      <c r="G1463" s="43"/>
      <c r="H1463" s="42"/>
      <c r="I1463" s="12"/>
      <c r="J1463" s="19"/>
      <c r="K1463" s="19"/>
      <c r="L1463" s="40"/>
    </row>
    <row r="1464" ht="22.5" customHeight="1">
      <c r="C1464" s="19"/>
      <c r="E1464" s="43"/>
      <c r="F1464" s="43"/>
      <c r="G1464" s="43"/>
      <c r="H1464" s="44"/>
      <c r="I1464" s="12"/>
      <c r="J1464" s="19"/>
      <c r="K1464" s="19"/>
      <c r="L1464" s="40"/>
    </row>
    <row r="1465" ht="22.5" customHeight="1">
      <c r="C1465" s="19"/>
      <c r="E1465" s="43"/>
      <c r="F1465" s="43"/>
      <c r="G1465" s="43"/>
      <c r="H1465" s="44"/>
      <c r="I1465" s="12"/>
      <c r="J1465" s="19"/>
      <c r="K1465" s="19"/>
      <c r="L1465" s="40"/>
    </row>
    <row r="1466" ht="22.5" customHeight="1">
      <c r="C1466" s="19"/>
      <c r="E1466" s="43"/>
      <c r="F1466" s="43"/>
      <c r="G1466" s="43"/>
      <c r="H1466" s="44"/>
      <c r="I1466" s="12"/>
      <c r="J1466" s="19"/>
      <c r="K1466" s="19"/>
      <c r="L1466" s="40"/>
    </row>
    <row r="1467" ht="22.5" customHeight="1">
      <c r="C1467" s="19"/>
      <c r="E1467" s="43"/>
      <c r="F1467" s="43"/>
      <c r="G1467" s="43"/>
      <c r="H1467" s="42"/>
      <c r="I1467" s="12"/>
      <c r="J1467" s="19"/>
      <c r="K1467" s="19"/>
      <c r="L1467" s="40"/>
    </row>
    <row r="1468" ht="22.5" customHeight="1">
      <c r="C1468" s="19"/>
      <c r="E1468" s="43"/>
      <c r="F1468" s="43"/>
      <c r="G1468" s="43"/>
      <c r="H1468" s="42"/>
      <c r="I1468" s="12"/>
      <c r="J1468" s="19"/>
      <c r="K1468" s="19"/>
      <c r="L1468" s="40"/>
    </row>
    <row r="1469" ht="22.5" customHeight="1">
      <c r="C1469" s="19"/>
      <c r="E1469" s="43"/>
      <c r="F1469" s="43"/>
      <c r="G1469" s="43"/>
      <c r="H1469" s="42"/>
      <c r="I1469" s="12"/>
      <c r="J1469" s="19"/>
      <c r="K1469" s="19"/>
      <c r="L1469" s="40"/>
    </row>
    <row r="1470" ht="22.5" customHeight="1">
      <c r="C1470" s="19"/>
      <c r="E1470" s="43"/>
      <c r="F1470" s="43"/>
      <c r="G1470" s="43"/>
      <c r="H1470" s="42"/>
      <c r="I1470" s="12"/>
      <c r="J1470" s="19"/>
      <c r="K1470" s="19"/>
      <c r="L1470" s="40"/>
    </row>
    <row r="1471" ht="22.5" customHeight="1">
      <c r="C1471" s="19"/>
      <c r="E1471" s="43"/>
      <c r="F1471" s="43"/>
      <c r="G1471" s="43"/>
      <c r="H1471" s="44"/>
      <c r="I1471" s="12"/>
      <c r="J1471" s="19"/>
      <c r="K1471" s="19"/>
      <c r="L1471" s="4"/>
    </row>
    <row r="1472" ht="22.5" customHeight="1">
      <c r="C1472" s="19"/>
      <c r="E1472" s="43"/>
      <c r="F1472" s="43"/>
      <c r="G1472" s="43"/>
      <c r="H1472" s="42"/>
      <c r="I1472" s="12"/>
      <c r="J1472" s="19"/>
      <c r="K1472" s="19"/>
      <c r="L1472" s="40"/>
    </row>
    <row r="1473" ht="22.5" customHeight="1">
      <c r="C1473" s="19"/>
      <c r="E1473" s="43"/>
      <c r="F1473" s="43"/>
      <c r="G1473" s="43"/>
      <c r="H1473" s="42"/>
      <c r="I1473" s="12"/>
      <c r="J1473" s="19"/>
      <c r="K1473" s="19"/>
      <c r="L1473" s="40"/>
    </row>
    <row r="1474" ht="22.5" customHeight="1">
      <c r="C1474" s="19"/>
      <c r="E1474" s="43"/>
      <c r="F1474" s="43"/>
      <c r="G1474" s="43"/>
      <c r="H1474" s="44"/>
      <c r="I1474" s="12"/>
      <c r="J1474" s="19"/>
      <c r="K1474" s="19"/>
      <c r="L1474" s="40"/>
    </row>
    <row r="1475" ht="22.5" customHeight="1">
      <c r="C1475" s="19"/>
      <c r="E1475" s="43"/>
      <c r="F1475" s="43"/>
      <c r="G1475" s="43"/>
      <c r="H1475" s="42"/>
      <c r="I1475" s="12"/>
      <c r="J1475" s="19"/>
      <c r="K1475" s="19"/>
      <c r="L1475" s="40"/>
    </row>
    <row r="1476" ht="22.5" customHeight="1">
      <c r="C1476" s="19"/>
      <c r="E1476" s="43"/>
      <c r="F1476" s="43"/>
      <c r="G1476" s="43"/>
      <c r="H1476" s="44"/>
      <c r="I1476" s="12"/>
      <c r="J1476" s="19"/>
      <c r="K1476" s="19"/>
      <c r="L1476" s="4"/>
    </row>
    <row r="1477" ht="22.5" customHeight="1">
      <c r="C1477" s="19"/>
      <c r="E1477" s="43"/>
      <c r="F1477" s="43"/>
      <c r="G1477" s="43"/>
      <c r="H1477" s="42"/>
      <c r="I1477" s="12"/>
      <c r="J1477" s="19"/>
      <c r="K1477" s="19"/>
      <c r="L1477" s="40"/>
    </row>
    <row r="1478" ht="22.5" customHeight="1">
      <c r="C1478" s="19"/>
      <c r="E1478" s="43"/>
      <c r="F1478" s="43"/>
      <c r="G1478" s="43"/>
      <c r="H1478" s="44"/>
      <c r="I1478" s="12"/>
      <c r="J1478" s="19"/>
      <c r="K1478" s="19"/>
      <c r="L1478" s="40"/>
    </row>
    <row r="1479" ht="22.5" customHeight="1">
      <c r="C1479" s="19"/>
      <c r="E1479" s="43"/>
      <c r="F1479" s="43"/>
      <c r="G1479" s="43"/>
      <c r="H1479" s="42"/>
      <c r="I1479" s="12"/>
      <c r="J1479" s="19"/>
      <c r="K1479" s="19"/>
      <c r="L1479" s="40"/>
    </row>
    <row r="1480" ht="22.5" customHeight="1">
      <c r="C1480" s="19"/>
      <c r="E1480" s="43"/>
      <c r="F1480" s="43"/>
      <c r="G1480" s="43"/>
      <c r="H1480" s="42"/>
      <c r="I1480" s="12"/>
      <c r="J1480" s="19"/>
      <c r="K1480" s="19"/>
      <c r="L1480" s="40"/>
    </row>
    <row r="1481" ht="22.5" customHeight="1">
      <c r="C1481" s="19"/>
      <c r="E1481" s="43"/>
      <c r="F1481" s="43"/>
      <c r="G1481" s="43"/>
      <c r="H1481" s="42"/>
      <c r="I1481" s="12"/>
      <c r="J1481" s="19"/>
      <c r="K1481" s="19"/>
      <c r="L1481" s="4"/>
    </row>
    <row r="1482" ht="22.5" customHeight="1">
      <c r="C1482" s="19"/>
      <c r="E1482" s="43"/>
      <c r="F1482" s="43"/>
      <c r="G1482" s="43"/>
      <c r="H1482" s="42"/>
      <c r="I1482" s="12"/>
      <c r="J1482" s="19"/>
      <c r="K1482" s="19"/>
      <c r="L1482" s="40"/>
    </row>
    <row r="1483" ht="22.5" customHeight="1">
      <c r="C1483" s="19"/>
      <c r="E1483" s="43"/>
      <c r="F1483" s="43"/>
      <c r="G1483" s="43"/>
      <c r="H1483" s="44"/>
      <c r="I1483" s="12"/>
      <c r="J1483" s="19"/>
      <c r="K1483" s="19"/>
      <c r="L1483" s="40"/>
    </row>
    <row r="1484" ht="22.5" customHeight="1">
      <c r="C1484" s="19"/>
      <c r="E1484" s="43"/>
      <c r="F1484" s="43"/>
      <c r="G1484" s="43"/>
      <c r="H1484" s="42"/>
      <c r="I1484" s="12"/>
      <c r="J1484" s="19"/>
      <c r="K1484" s="19"/>
      <c r="L1484" s="40"/>
    </row>
    <row r="1485" ht="22.5" customHeight="1">
      <c r="C1485" s="19"/>
      <c r="E1485" s="43"/>
      <c r="F1485" s="43"/>
      <c r="G1485" s="43"/>
      <c r="H1485" s="42"/>
      <c r="I1485" s="12"/>
      <c r="J1485" s="19"/>
      <c r="K1485" s="19"/>
      <c r="L1485" s="40"/>
    </row>
    <row r="1486" ht="22.5" customHeight="1">
      <c r="C1486" s="19"/>
      <c r="E1486" s="43"/>
      <c r="F1486" s="43"/>
      <c r="G1486" s="43"/>
      <c r="H1486" s="44"/>
      <c r="I1486" s="12"/>
      <c r="J1486" s="19"/>
      <c r="K1486" s="19"/>
      <c r="L1486" s="40"/>
    </row>
    <row r="1487" ht="22.5" customHeight="1">
      <c r="C1487" s="19"/>
      <c r="E1487" s="43"/>
      <c r="F1487" s="43"/>
      <c r="G1487" s="43"/>
      <c r="H1487" s="42"/>
      <c r="I1487" s="12"/>
      <c r="J1487" s="19"/>
      <c r="K1487" s="19"/>
      <c r="L1487" s="40"/>
    </row>
    <row r="1488" ht="22.5" customHeight="1">
      <c r="C1488" s="19"/>
      <c r="E1488" s="43"/>
      <c r="F1488" s="43"/>
      <c r="G1488" s="43"/>
      <c r="H1488" s="42"/>
      <c r="I1488" s="12"/>
      <c r="J1488" s="19"/>
      <c r="K1488" s="19"/>
      <c r="L1488" s="40"/>
    </row>
    <row r="1489" ht="22.5" customHeight="1">
      <c r="C1489" s="19"/>
      <c r="E1489" s="43"/>
      <c r="F1489" s="28"/>
      <c r="G1489" s="43"/>
      <c r="H1489" s="44"/>
      <c r="I1489" s="12"/>
      <c r="J1489" s="19"/>
      <c r="K1489" s="19"/>
      <c r="L1489" s="40"/>
    </row>
    <row r="1490" ht="22.5" customHeight="1">
      <c r="C1490" s="19"/>
      <c r="E1490" s="43"/>
      <c r="F1490" s="43"/>
      <c r="G1490" s="43"/>
      <c r="H1490" s="42"/>
      <c r="I1490" s="12"/>
      <c r="J1490" s="19"/>
      <c r="K1490" s="19"/>
      <c r="L1490" s="40"/>
    </row>
    <row r="1491" ht="22.5" customHeight="1">
      <c r="C1491" s="19"/>
      <c r="E1491" s="43"/>
      <c r="F1491" s="43"/>
      <c r="G1491" s="43"/>
      <c r="H1491" s="42"/>
      <c r="I1491" s="12"/>
      <c r="J1491" s="19"/>
      <c r="K1491" s="19"/>
      <c r="L1491" s="40"/>
    </row>
    <row r="1492" ht="22.5" customHeight="1">
      <c r="C1492" s="19"/>
      <c r="E1492" s="43"/>
      <c r="F1492" s="43"/>
      <c r="G1492" s="43"/>
      <c r="H1492" s="42"/>
      <c r="I1492" s="12"/>
      <c r="J1492" s="19"/>
      <c r="K1492" s="19"/>
      <c r="L1492" s="40"/>
    </row>
    <row r="1493" ht="22.5" customHeight="1">
      <c r="C1493" s="19"/>
      <c r="E1493" s="43"/>
      <c r="F1493" s="43"/>
      <c r="G1493" s="43"/>
      <c r="H1493" s="44"/>
      <c r="I1493" s="12"/>
      <c r="J1493" s="19"/>
      <c r="K1493" s="19"/>
      <c r="L1493" s="40"/>
    </row>
    <row r="1494" ht="22.5" customHeight="1">
      <c r="C1494" s="19"/>
      <c r="E1494" s="43"/>
      <c r="F1494" s="43"/>
      <c r="G1494" s="43"/>
      <c r="H1494" s="44"/>
      <c r="I1494" s="12"/>
      <c r="J1494" s="19"/>
      <c r="K1494" s="19"/>
      <c r="L1494" s="40"/>
    </row>
    <row r="1495" ht="22.5" customHeight="1">
      <c r="C1495" s="19"/>
      <c r="E1495" s="43"/>
      <c r="F1495" s="43"/>
      <c r="G1495" s="43"/>
      <c r="H1495" s="42"/>
      <c r="I1495" s="12"/>
      <c r="J1495" s="19"/>
      <c r="K1495" s="19"/>
      <c r="L1495" s="40"/>
    </row>
    <row r="1496" ht="22.5" customHeight="1">
      <c r="C1496" s="19"/>
      <c r="E1496" s="43"/>
      <c r="F1496" s="43"/>
      <c r="G1496" s="43"/>
      <c r="H1496" s="42"/>
      <c r="I1496" s="12"/>
      <c r="J1496" s="19"/>
      <c r="K1496" s="19"/>
      <c r="L1496" s="40"/>
    </row>
    <row r="1497" ht="22.5" customHeight="1">
      <c r="C1497" s="19"/>
      <c r="E1497" s="43"/>
      <c r="F1497" s="43"/>
      <c r="G1497" s="43"/>
      <c r="H1497" s="44"/>
      <c r="I1497" s="12"/>
      <c r="J1497" s="19"/>
      <c r="K1497" s="19"/>
      <c r="L1497" s="40"/>
    </row>
    <row r="1498" ht="22.5" customHeight="1">
      <c r="C1498" s="19"/>
      <c r="E1498" s="43"/>
      <c r="F1498" s="43"/>
      <c r="G1498" s="43"/>
      <c r="H1498" s="42"/>
      <c r="I1498" s="12"/>
      <c r="J1498" s="19"/>
      <c r="K1498" s="19"/>
      <c r="L1498" s="40"/>
    </row>
    <row r="1499" ht="22.5" customHeight="1">
      <c r="C1499" s="19"/>
      <c r="E1499" s="43"/>
      <c r="F1499" s="43"/>
      <c r="G1499" s="43"/>
      <c r="H1499" s="42"/>
      <c r="I1499" s="12"/>
      <c r="J1499" s="19"/>
      <c r="K1499" s="19"/>
      <c r="L1499" s="40"/>
    </row>
    <row r="1500" ht="22.5" customHeight="1">
      <c r="C1500" s="19"/>
      <c r="E1500" s="43"/>
      <c r="F1500" s="43"/>
      <c r="G1500" s="43"/>
      <c r="H1500" s="42"/>
      <c r="I1500" s="12"/>
      <c r="J1500" s="19"/>
      <c r="K1500" s="19"/>
      <c r="L1500" s="40"/>
    </row>
    <row r="1501" ht="22.5" customHeight="1">
      <c r="C1501" s="19"/>
      <c r="E1501" s="43"/>
      <c r="F1501" s="43"/>
      <c r="G1501" s="43"/>
      <c r="H1501" s="44"/>
      <c r="I1501" s="12"/>
      <c r="J1501" s="19"/>
      <c r="K1501" s="19"/>
      <c r="L1501" s="40"/>
    </row>
    <row r="1502" ht="22.5" customHeight="1">
      <c r="C1502" s="19"/>
      <c r="E1502" s="43"/>
      <c r="F1502" s="43"/>
      <c r="G1502" s="43"/>
      <c r="H1502" s="44"/>
      <c r="I1502" s="12"/>
      <c r="J1502" s="19"/>
      <c r="K1502" s="19"/>
      <c r="L1502" s="40"/>
    </row>
    <row r="1503" ht="22.5" customHeight="1">
      <c r="C1503" s="19"/>
      <c r="E1503" s="43"/>
      <c r="F1503" s="43"/>
      <c r="G1503" s="43"/>
      <c r="H1503" s="42"/>
      <c r="I1503" s="12"/>
      <c r="J1503" s="19"/>
      <c r="K1503" s="19"/>
      <c r="L1503" s="40"/>
    </row>
    <row r="1504" ht="22.5" customHeight="1">
      <c r="C1504" s="19"/>
      <c r="E1504" s="43"/>
      <c r="F1504" s="43"/>
      <c r="G1504" s="43"/>
      <c r="H1504" s="44"/>
      <c r="I1504" s="12"/>
      <c r="J1504" s="19"/>
      <c r="K1504" s="19"/>
      <c r="L1504" s="40"/>
    </row>
    <row r="1505" ht="22.5" customHeight="1">
      <c r="C1505" s="19"/>
      <c r="E1505" s="43"/>
      <c r="F1505" s="43"/>
      <c r="G1505" s="43"/>
      <c r="H1505" s="42"/>
      <c r="I1505" s="12"/>
      <c r="J1505" s="19"/>
      <c r="K1505" s="19"/>
      <c r="L1505" s="40"/>
    </row>
    <row r="1506" ht="22.5" customHeight="1">
      <c r="C1506" s="19"/>
      <c r="E1506" s="43"/>
      <c r="F1506" s="43"/>
      <c r="G1506" s="43"/>
      <c r="H1506" s="42"/>
      <c r="I1506" s="12"/>
      <c r="J1506" s="19"/>
      <c r="K1506" s="19"/>
      <c r="L1506" s="40"/>
    </row>
    <row r="1507" ht="22.5" customHeight="1">
      <c r="C1507" s="19"/>
      <c r="E1507" s="43"/>
      <c r="F1507" s="43"/>
      <c r="G1507" s="43"/>
      <c r="H1507" s="42"/>
      <c r="I1507" s="12"/>
      <c r="J1507" s="19"/>
      <c r="K1507" s="19"/>
      <c r="L1507" s="4"/>
    </row>
    <row r="1508" ht="22.5" customHeight="1">
      <c r="C1508" s="19"/>
      <c r="E1508" s="43"/>
      <c r="F1508" s="43"/>
      <c r="G1508" s="43"/>
      <c r="H1508" s="44"/>
      <c r="I1508" s="12"/>
      <c r="J1508" s="19"/>
      <c r="K1508" s="19"/>
      <c r="L1508" s="40"/>
    </row>
    <row r="1509" ht="22.5" customHeight="1">
      <c r="C1509" s="19"/>
      <c r="E1509" s="43"/>
      <c r="F1509" s="43"/>
      <c r="G1509" s="43"/>
      <c r="H1509" s="42"/>
      <c r="I1509" s="12"/>
      <c r="J1509" s="19"/>
      <c r="K1509" s="19"/>
      <c r="L1509" s="40"/>
    </row>
    <row r="1510" ht="22.5" customHeight="1">
      <c r="C1510" s="19"/>
      <c r="E1510" s="43"/>
      <c r="F1510" s="43"/>
      <c r="G1510" s="43"/>
      <c r="H1510" s="42"/>
      <c r="I1510" s="12"/>
      <c r="J1510" s="19"/>
      <c r="K1510" s="19"/>
      <c r="L1510" s="40"/>
    </row>
    <row r="1511" ht="22.5" customHeight="1">
      <c r="C1511" s="19"/>
      <c r="E1511" s="43"/>
      <c r="F1511" s="43"/>
      <c r="G1511" s="43"/>
      <c r="H1511" s="42"/>
      <c r="I1511" s="12"/>
      <c r="J1511" s="19"/>
      <c r="K1511" s="19"/>
      <c r="L1511" s="40"/>
    </row>
    <row r="1512" ht="22.5" customHeight="1">
      <c r="C1512" s="19"/>
      <c r="E1512" s="43"/>
      <c r="F1512" s="43"/>
      <c r="G1512" s="43"/>
      <c r="H1512" s="42"/>
      <c r="I1512" s="12"/>
      <c r="J1512" s="19"/>
      <c r="K1512" s="19"/>
      <c r="L1512" s="40"/>
    </row>
    <row r="1513" ht="22.5" customHeight="1">
      <c r="C1513" s="19"/>
      <c r="E1513" s="43"/>
      <c r="F1513" s="43"/>
      <c r="G1513" s="43"/>
      <c r="H1513" s="42"/>
      <c r="I1513" s="12"/>
      <c r="J1513" s="19"/>
      <c r="K1513" s="19"/>
      <c r="L1513" s="40"/>
    </row>
    <row r="1514" ht="22.5" customHeight="1">
      <c r="C1514" s="19"/>
      <c r="E1514" s="43"/>
      <c r="F1514" s="43"/>
      <c r="G1514" s="43"/>
      <c r="H1514" s="42"/>
      <c r="I1514" s="12"/>
      <c r="J1514" s="19"/>
      <c r="K1514" s="19"/>
      <c r="L1514" s="40"/>
    </row>
    <row r="1515" ht="22.5" customHeight="1">
      <c r="C1515" s="19"/>
      <c r="E1515" s="43"/>
      <c r="F1515" s="43"/>
      <c r="G1515" s="43"/>
      <c r="H1515" s="44"/>
      <c r="I1515" s="12"/>
      <c r="J1515" s="19"/>
      <c r="K1515" s="19"/>
      <c r="L1515" s="40"/>
    </row>
    <row r="1516" ht="22.5" customHeight="1">
      <c r="C1516" s="19"/>
      <c r="E1516" s="43"/>
      <c r="F1516" s="43"/>
      <c r="G1516" s="43"/>
      <c r="H1516" s="44"/>
      <c r="I1516" s="12"/>
      <c r="J1516" s="19"/>
      <c r="K1516" s="19"/>
      <c r="L1516" s="40"/>
    </row>
    <row r="1517" ht="22.5" customHeight="1">
      <c r="C1517" s="19"/>
      <c r="E1517" s="43"/>
      <c r="F1517" s="43"/>
      <c r="G1517" s="43"/>
      <c r="H1517" s="42"/>
      <c r="I1517" s="12"/>
      <c r="J1517" s="19"/>
      <c r="K1517" s="19"/>
      <c r="L1517" s="40"/>
    </row>
    <row r="1518" ht="22.5" customHeight="1">
      <c r="C1518" s="19"/>
      <c r="E1518" s="43"/>
      <c r="F1518" s="43"/>
      <c r="G1518" s="43"/>
      <c r="H1518" s="42"/>
      <c r="I1518" s="12"/>
      <c r="J1518" s="19"/>
      <c r="K1518" s="19"/>
      <c r="L1518" s="4"/>
    </row>
    <row r="1519" ht="22.5" customHeight="1">
      <c r="C1519" s="19"/>
      <c r="E1519" s="43"/>
      <c r="F1519" s="43"/>
      <c r="G1519" s="43"/>
      <c r="H1519" s="44"/>
      <c r="I1519" s="12"/>
      <c r="J1519" s="19"/>
      <c r="K1519" s="19"/>
      <c r="L1519" s="40"/>
    </row>
    <row r="1520" ht="22.5" customHeight="1">
      <c r="C1520" s="19"/>
      <c r="E1520" s="43"/>
      <c r="F1520" s="43"/>
      <c r="G1520" s="43"/>
      <c r="H1520" s="42"/>
      <c r="I1520" s="12"/>
      <c r="J1520" s="19"/>
      <c r="K1520" s="19"/>
      <c r="L1520" s="40"/>
    </row>
    <row r="1521" ht="22.5" customHeight="1">
      <c r="C1521" s="19"/>
      <c r="E1521" s="43"/>
      <c r="F1521" s="43"/>
      <c r="G1521" s="43"/>
      <c r="H1521" s="42"/>
      <c r="I1521" s="12"/>
      <c r="J1521" s="19"/>
      <c r="K1521" s="19"/>
      <c r="L1521" s="40"/>
    </row>
    <row r="1522" ht="22.5" customHeight="1">
      <c r="C1522" s="19"/>
      <c r="E1522" s="43"/>
      <c r="F1522" s="43"/>
      <c r="G1522" s="43"/>
      <c r="H1522" s="42"/>
      <c r="I1522" s="12"/>
      <c r="J1522" s="19"/>
      <c r="K1522" s="19"/>
      <c r="L1522" s="40"/>
    </row>
    <row r="1523" ht="22.5" customHeight="1">
      <c r="C1523" s="19"/>
      <c r="E1523" s="43"/>
      <c r="F1523" s="43"/>
      <c r="G1523" s="43"/>
      <c r="H1523" s="42"/>
      <c r="I1523" s="12"/>
      <c r="J1523" s="19"/>
      <c r="K1523" s="19"/>
      <c r="L1523" s="40"/>
    </row>
    <row r="1524" ht="22.5" customHeight="1">
      <c r="C1524" s="19"/>
      <c r="E1524" s="43"/>
      <c r="F1524" s="43"/>
      <c r="G1524" s="43"/>
      <c r="H1524" s="42"/>
      <c r="I1524" s="12"/>
      <c r="J1524" s="19"/>
      <c r="K1524" s="19"/>
      <c r="L1524" s="40"/>
    </row>
    <row r="1525" ht="22.5" customHeight="1">
      <c r="C1525" s="19"/>
      <c r="E1525" s="43"/>
      <c r="F1525" s="43"/>
      <c r="G1525" s="43"/>
      <c r="H1525" s="44"/>
      <c r="I1525" s="12"/>
      <c r="J1525" s="19"/>
      <c r="K1525" s="19"/>
      <c r="L1525" s="40"/>
    </row>
    <row r="1526" ht="22.5" customHeight="1">
      <c r="C1526" s="19"/>
      <c r="E1526" s="43"/>
      <c r="F1526" s="43"/>
      <c r="G1526" s="43"/>
      <c r="H1526" s="42"/>
      <c r="I1526" s="12"/>
      <c r="J1526" s="19"/>
      <c r="K1526" s="19"/>
      <c r="L1526" s="40"/>
    </row>
    <row r="1527" ht="22.5" customHeight="1">
      <c r="C1527" s="19"/>
      <c r="E1527" s="43"/>
      <c r="F1527" s="43"/>
      <c r="G1527" s="43"/>
      <c r="H1527" s="42"/>
      <c r="I1527" s="12"/>
      <c r="J1527" s="19"/>
      <c r="K1527" s="19"/>
      <c r="L1527" s="40"/>
    </row>
    <row r="1528" ht="22.5" customHeight="1">
      <c r="C1528" s="19"/>
      <c r="E1528" s="43"/>
      <c r="F1528" s="43"/>
      <c r="G1528" s="43"/>
      <c r="H1528" s="42"/>
      <c r="I1528" s="12"/>
      <c r="J1528" s="19"/>
      <c r="K1528" s="19"/>
      <c r="L1528" s="40"/>
    </row>
    <row r="1529" ht="22.5" customHeight="1">
      <c r="C1529" s="19"/>
      <c r="E1529" s="43"/>
      <c r="F1529" s="43"/>
      <c r="G1529" s="43"/>
      <c r="H1529" s="44"/>
      <c r="I1529" s="12"/>
      <c r="J1529" s="19"/>
      <c r="K1529" s="19"/>
      <c r="L1529" s="40"/>
    </row>
    <row r="1530" ht="22.5" customHeight="1">
      <c r="C1530" s="19"/>
      <c r="E1530" s="43"/>
      <c r="F1530" s="43"/>
      <c r="G1530" s="43"/>
      <c r="H1530" s="44"/>
      <c r="I1530" s="12"/>
      <c r="J1530" s="19"/>
      <c r="K1530" s="19"/>
      <c r="L1530" s="40"/>
    </row>
    <row r="1531" ht="22.5" customHeight="1">
      <c r="C1531" s="19"/>
      <c r="E1531" s="43"/>
      <c r="F1531" s="43"/>
      <c r="G1531" s="43"/>
      <c r="H1531" s="42"/>
      <c r="I1531" s="12"/>
      <c r="J1531" s="19"/>
      <c r="K1531" s="19"/>
      <c r="L1531" s="40"/>
    </row>
    <row r="1532" ht="22.5" customHeight="1">
      <c r="C1532" s="19"/>
      <c r="E1532" s="43"/>
      <c r="F1532" s="43"/>
      <c r="G1532" s="43"/>
      <c r="H1532" s="44"/>
      <c r="I1532" s="12"/>
      <c r="J1532" s="19"/>
      <c r="K1532" s="19"/>
      <c r="L1532" s="40"/>
    </row>
    <row r="1533" ht="22.5" customHeight="1">
      <c r="C1533" s="19"/>
      <c r="E1533" s="43"/>
      <c r="F1533" s="43"/>
      <c r="G1533" s="43"/>
      <c r="H1533" s="44"/>
      <c r="I1533" s="12"/>
      <c r="J1533" s="19"/>
      <c r="K1533" s="19"/>
      <c r="L1533" s="4"/>
    </row>
    <row r="1534" ht="22.5" customHeight="1">
      <c r="C1534" s="19"/>
      <c r="E1534" s="43"/>
      <c r="F1534" s="43"/>
      <c r="G1534" s="43"/>
      <c r="H1534" s="42"/>
      <c r="I1534" s="12"/>
      <c r="J1534" s="19"/>
      <c r="K1534" s="19"/>
      <c r="L1534" s="40"/>
    </row>
    <row r="1535" ht="22.5" customHeight="1">
      <c r="C1535" s="19"/>
      <c r="E1535" s="43"/>
      <c r="F1535" s="43"/>
      <c r="G1535" s="43"/>
      <c r="H1535" s="42"/>
      <c r="I1535" s="12"/>
      <c r="J1535" s="19"/>
      <c r="K1535" s="19"/>
      <c r="L1535" s="40"/>
    </row>
    <row r="1536" ht="22.5" customHeight="1">
      <c r="C1536" s="19"/>
      <c r="E1536" s="43"/>
      <c r="F1536" s="43"/>
      <c r="G1536" s="43"/>
      <c r="H1536" s="42"/>
      <c r="I1536" s="12"/>
      <c r="J1536" s="19"/>
      <c r="K1536" s="19"/>
      <c r="L1536" s="4"/>
    </row>
    <row r="1537" ht="22.5" customHeight="1">
      <c r="C1537" s="19"/>
      <c r="E1537" s="43"/>
      <c r="F1537" s="43"/>
      <c r="G1537" s="43"/>
      <c r="H1537" s="44"/>
      <c r="I1537" s="12"/>
      <c r="J1537" s="19"/>
      <c r="K1537" s="19"/>
      <c r="L1537" s="4"/>
    </row>
    <row r="1538" ht="22.5" customHeight="1">
      <c r="C1538" s="19"/>
      <c r="E1538" s="43"/>
      <c r="F1538" s="43"/>
      <c r="G1538" s="43"/>
      <c r="H1538" s="44"/>
      <c r="I1538" s="12"/>
      <c r="J1538" s="19"/>
      <c r="K1538" s="19"/>
      <c r="L1538" s="4"/>
    </row>
    <row r="1539" ht="22.5" customHeight="1">
      <c r="C1539" s="19"/>
      <c r="E1539" s="43"/>
      <c r="F1539" s="43"/>
      <c r="G1539" s="43"/>
      <c r="H1539" s="42"/>
      <c r="I1539" s="12"/>
      <c r="J1539" s="19"/>
      <c r="K1539" s="19"/>
      <c r="L1539" s="40"/>
    </row>
    <row r="1540" ht="22.5" customHeight="1">
      <c r="C1540" s="19"/>
      <c r="E1540" s="43"/>
      <c r="F1540" s="43"/>
      <c r="G1540" s="43"/>
      <c r="H1540" s="42"/>
      <c r="I1540" s="12"/>
      <c r="J1540" s="19"/>
      <c r="K1540" s="19"/>
      <c r="L1540" s="40"/>
    </row>
    <row r="1541" ht="22.5" customHeight="1">
      <c r="C1541" s="19"/>
      <c r="E1541" s="43"/>
      <c r="F1541" s="43"/>
      <c r="G1541" s="43"/>
      <c r="H1541" s="42"/>
      <c r="I1541" s="12"/>
      <c r="J1541" s="19"/>
      <c r="K1541" s="19"/>
      <c r="L1541" s="40"/>
    </row>
    <row r="1542" ht="22.5" customHeight="1">
      <c r="C1542" s="19"/>
      <c r="E1542" s="43"/>
      <c r="F1542" s="43"/>
      <c r="G1542" s="43"/>
      <c r="H1542" s="44"/>
      <c r="I1542" s="12"/>
      <c r="J1542" s="19"/>
      <c r="K1542" s="19"/>
      <c r="L1542" s="40"/>
    </row>
    <row r="1543" ht="22.5" customHeight="1">
      <c r="C1543" s="19"/>
      <c r="E1543" s="43"/>
      <c r="F1543" s="43"/>
      <c r="G1543" s="43"/>
      <c r="H1543" s="44"/>
      <c r="I1543" s="12"/>
      <c r="J1543" s="19"/>
      <c r="K1543" s="19"/>
      <c r="L1543" s="40"/>
    </row>
    <row r="1544" ht="22.5" customHeight="1">
      <c r="C1544" s="19"/>
      <c r="E1544" s="43"/>
      <c r="F1544" s="43"/>
      <c r="G1544" s="43"/>
      <c r="H1544" s="42"/>
      <c r="I1544" s="12"/>
      <c r="J1544" s="19"/>
      <c r="K1544" s="19"/>
      <c r="L1544" s="40"/>
    </row>
    <row r="1545" ht="22.5" customHeight="1">
      <c r="C1545" s="19"/>
      <c r="E1545" s="43"/>
      <c r="F1545" s="43"/>
      <c r="G1545" s="43"/>
      <c r="H1545" s="44"/>
      <c r="I1545" s="12"/>
      <c r="J1545" s="19"/>
      <c r="K1545" s="19"/>
      <c r="L1545" s="40"/>
    </row>
    <row r="1546" ht="22.5" customHeight="1">
      <c r="C1546" s="19"/>
      <c r="E1546" s="43"/>
      <c r="F1546" s="43"/>
      <c r="G1546" s="43"/>
      <c r="H1546" s="42"/>
      <c r="I1546" s="12"/>
      <c r="J1546" s="19"/>
      <c r="K1546" s="19"/>
      <c r="L1546" s="40"/>
    </row>
    <row r="1547" ht="22.5" customHeight="1">
      <c r="C1547" s="19"/>
      <c r="E1547" s="43"/>
      <c r="F1547" s="43"/>
      <c r="G1547" s="43"/>
      <c r="H1547" s="42"/>
      <c r="I1547" s="12"/>
      <c r="J1547" s="19"/>
      <c r="K1547" s="19"/>
      <c r="L1547" s="40"/>
    </row>
    <row r="1548" ht="22.5" customHeight="1">
      <c r="C1548" s="19"/>
      <c r="E1548" s="43"/>
      <c r="F1548" s="43"/>
      <c r="G1548" s="43"/>
      <c r="H1548" s="42"/>
      <c r="I1548" s="12"/>
      <c r="J1548" s="19"/>
      <c r="K1548" s="19"/>
      <c r="L1548" s="40"/>
    </row>
    <row r="1549" ht="22.5" customHeight="1">
      <c r="C1549" s="19"/>
      <c r="E1549" s="43"/>
      <c r="F1549" s="43"/>
      <c r="G1549" s="43"/>
      <c r="H1549" s="44"/>
      <c r="I1549" s="12"/>
      <c r="J1549" s="19"/>
      <c r="K1549" s="19"/>
      <c r="L1549" s="40"/>
    </row>
    <row r="1550" ht="22.5" customHeight="1">
      <c r="C1550" s="19"/>
      <c r="E1550" s="43"/>
      <c r="F1550" s="43"/>
      <c r="G1550" s="43"/>
      <c r="H1550" s="42"/>
      <c r="I1550" s="12"/>
      <c r="J1550" s="19"/>
      <c r="K1550" s="19"/>
      <c r="L1550" s="40"/>
    </row>
    <row r="1551" ht="22.5" customHeight="1">
      <c r="C1551" s="19"/>
      <c r="E1551" s="43"/>
      <c r="F1551" s="43"/>
      <c r="G1551" s="43"/>
      <c r="H1551" s="42"/>
      <c r="I1551" s="12"/>
      <c r="J1551" s="19"/>
      <c r="K1551" s="19"/>
      <c r="L1551" s="40"/>
    </row>
    <row r="1552" ht="22.5" customHeight="1">
      <c r="C1552" s="19"/>
      <c r="E1552" s="43"/>
      <c r="F1552" s="43"/>
      <c r="G1552" s="43"/>
      <c r="H1552" s="42"/>
      <c r="I1552" s="12"/>
      <c r="J1552" s="19"/>
      <c r="K1552" s="19"/>
      <c r="L1552" s="40"/>
    </row>
    <row r="1553" ht="22.5" customHeight="1">
      <c r="C1553" s="19"/>
      <c r="E1553" s="43"/>
      <c r="F1553" s="43"/>
      <c r="G1553" s="43"/>
      <c r="H1553" s="42"/>
      <c r="I1553" s="12"/>
      <c r="J1553" s="19"/>
      <c r="K1553" s="19"/>
      <c r="L1553" s="40"/>
    </row>
    <row r="1554" ht="22.5" customHeight="1">
      <c r="C1554" s="19"/>
      <c r="E1554" s="43"/>
      <c r="F1554" s="43"/>
      <c r="G1554" s="43"/>
      <c r="H1554" s="42"/>
      <c r="I1554" s="12"/>
      <c r="J1554" s="19"/>
      <c r="K1554" s="19"/>
      <c r="L1554" s="40"/>
    </row>
    <row r="1555" ht="22.5" customHeight="1">
      <c r="C1555" s="19"/>
      <c r="E1555" s="43"/>
      <c r="F1555" s="43"/>
      <c r="G1555" s="43"/>
      <c r="H1555" s="42"/>
      <c r="I1555" s="12"/>
      <c r="J1555" s="19"/>
      <c r="K1555" s="19"/>
      <c r="L1555" s="40"/>
    </row>
    <row r="1556" ht="22.5" customHeight="1">
      <c r="C1556" s="19"/>
      <c r="E1556" s="43"/>
      <c r="F1556" s="43"/>
      <c r="G1556" s="43"/>
      <c r="H1556" s="42"/>
      <c r="I1556" s="12"/>
      <c r="J1556" s="19"/>
      <c r="K1556" s="19"/>
      <c r="L1556" s="40"/>
    </row>
    <row r="1557" ht="22.5" customHeight="1">
      <c r="C1557" s="19"/>
      <c r="E1557" s="43"/>
      <c r="F1557" s="43"/>
      <c r="G1557" s="43"/>
      <c r="H1557" s="42"/>
      <c r="I1557" s="12"/>
      <c r="J1557" s="19"/>
      <c r="K1557" s="19"/>
      <c r="L1557" s="40"/>
    </row>
    <row r="1558" ht="22.5" customHeight="1">
      <c r="C1558" s="19"/>
      <c r="E1558" s="43"/>
      <c r="F1558" s="43"/>
      <c r="G1558" s="43"/>
      <c r="H1558" s="42"/>
      <c r="I1558" s="12"/>
      <c r="J1558" s="19"/>
      <c r="K1558" s="19"/>
      <c r="L1558" s="40"/>
    </row>
    <row r="1559" ht="22.5" customHeight="1">
      <c r="C1559" s="19"/>
      <c r="E1559" s="43"/>
      <c r="F1559" s="43"/>
      <c r="G1559" s="43"/>
      <c r="H1559" s="44"/>
      <c r="I1559" s="12"/>
      <c r="J1559" s="19"/>
      <c r="K1559" s="19"/>
      <c r="L1559" s="40"/>
    </row>
    <row r="1560" ht="22.5" customHeight="1">
      <c r="C1560" s="19"/>
      <c r="E1560" s="43"/>
      <c r="F1560" s="43"/>
      <c r="G1560" s="43"/>
      <c r="H1560" s="44"/>
      <c r="I1560" s="12"/>
      <c r="J1560" s="19"/>
      <c r="K1560" s="19"/>
      <c r="L1560" s="40"/>
    </row>
    <row r="1561" ht="22.5" customHeight="1">
      <c r="C1561" s="19"/>
      <c r="E1561" s="43"/>
      <c r="F1561" s="43"/>
      <c r="G1561" s="43"/>
      <c r="H1561" s="42"/>
      <c r="I1561" s="12"/>
      <c r="J1561" s="19"/>
      <c r="K1561" s="19"/>
      <c r="L1561" s="40"/>
    </row>
    <row r="1562" ht="22.5" customHeight="1">
      <c r="C1562" s="19"/>
      <c r="E1562" s="43"/>
      <c r="F1562" s="43"/>
      <c r="G1562" s="43"/>
      <c r="H1562" s="42"/>
      <c r="I1562" s="12"/>
      <c r="J1562" s="19"/>
      <c r="K1562" s="19"/>
      <c r="L1562" s="40"/>
    </row>
    <row r="1563" ht="22.5" customHeight="1">
      <c r="C1563" s="19"/>
      <c r="E1563" s="43"/>
      <c r="F1563" s="43"/>
      <c r="G1563" s="43"/>
      <c r="H1563" s="42"/>
      <c r="I1563" s="12"/>
      <c r="J1563" s="19"/>
      <c r="K1563" s="19"/>
      <c r="L1563" s="40"/>
    </row>
    <row r="1564" ht="22.5" customHeight="1">
      <c r="C1564" s="19"/>
      <c r="E1564" s="43"/>
      <c r="F1564" s="43"/>
      <c r="G1564" s="43"/>
      <c r="H1564" s="44"/>
      <c r="I1564" s="12"/>
      <c r="J1564" s="19"/>
      <c r="K1564" s="19"/>
      <c r="L1564" s="40"/>
    </row>
    <row r="1565" ht="22.5" customHeight="1">
      <c r="C1565" s="19"/>
      <c r="E1565" s="43"/>
      <c r="F1565" s="43"/>
      <c r="G1565" s="43"/>
      <c r="H1565" s="44"/>
      <c r="I1565" s="12"/>
      <c r="J1565" s="19"/>
      <c r="K1565" s="19"/>
      <c r="L1565" s="40"/>
    </row>
    <row r="1566" ht="22.5" customHeight="1">
      <c r="C1566" s="19"/>
      <c r="E1566" s="43"/>
      <c r="F1566" s="43"/>
      <c r="G1566" s="43"/>
      <c r="H1566" s="44"/>
      <c r="I1566" s="12"/>
      <c r="J1566" s="19"/>
      <c r="K1566" s="19"/>
      <c r="L1566" s="40"/>
    </row>
    <row r="1567" ht="22.5" customHeight="1">
      <c r="C1567" s="19"/>
      <c r="E1567" s="43"/>
      <c r="F1567" s="43"/>
      <c r="G1567" s="43"/>
      <c r="H1567" s="42"/>
      <c r="I1567" s="12"/>
      <c r="J1567" s="19"/>
      <c r="K1567" s="19"/>
      <c r="L1567" s="40"/>
    </row>
    <row r="1568" ht="22.5" customHeight="1">
      <c r="C1568" s="19"/>
      <c r="E1568" s="43"/>
      <c r="F1568" s="43"/>
      <c r="G1568" s="43"/>
      <c r="H1568" s="42"/>
      <c r="I1568" s="12"/>
      <c r="J1568" s="19"/>
      <c r="K1568" s="19"/>
      <c r="L1568" s="40"/>
    </row>
    <row r="1569" ht="22.5" customHeight="1">
      <c r="C1569" s="19"/>
      <c r="E1569" s="43"/>
      <c r="F1569" s="43"/>
      <c r="G1569" s="43"/>
      <c r="H1569" s="42"/>
      <c r="I1569" s="12"/>
      <c r="J1569" s="19"/>
      <c r="K1569" s="19"/>
      <c r="L1569" s="40"/>
    </row>
    <row r="1570" ht="22.5" customHeight="1">
      <c r="C1570" s="19"/>
      <c r="E1570" s="43"/>
      <c r="F1570" s="43"/>
      <c r="G1570" s="43"/>
      <c r="H1570" s="44"/>
      <c r="I1570" s="12"/>
      <c r="J1570" s="19"/>
      <c r="K1570" s="19"/>
      <c r="L1570" s="40"/>
    </row>
    <row r="1571" ht="22.5" customHeight="1">
      <c r="C1571" s="19"/>
      <c r="E1571" s="43"/>
      <c r="F1571" s="43"/>
      <c r="G1571" s="43"/>
      <c r="H1571" s="44"/>
      <c r="I1571" s="12"/>
      <c r="J1571" s="19"/>
      <c r="K1571" s="19"/>
      <c r="L1571" s="40"/>
    </row>
    <row r="1572" ht="22.5" customHeight="1">
      <c r="C1572" s="19"/>
      <c r="E1572" s="43"/>
      <c r="F1572" s="43"/>
      <c r="G1572" s="43"/>
      <c r="H1572" s="44"/>
      <c r="I1572" s="12"/>
      <c r="J1572" s="19"/>
      <c r="K1572" s="19"/>
      <c r="L1572" s="40"/>
    </row>
    <row r="1573" ht="22.5" customHeight="1">
      <c r="C1573" s="19"/>
      <c r="E1573" s="43"/>
      <c r="F1573" s="43"/>
      <c r="G1573" s="43"/>
      <c r="H1573" s="44"/>
      <c r="I1573" s="12"/>
      <c r="J1573" s="19"/>
      <c r="K1573" s="19"/>
      <c r="L1573" s="40"/>
    </row>
    <row r="1574" ht="22.5" customHeight="1">
      <c r="C1574" s="19"/>
      <c r="E1574" s="43"/>
      <c r="F1574" s="43"/>
      <c r="G1574" s="43"/>
      <c r="H1574" s="44"/>
      <c r="I1574" s="12"/>
      <c r="J1574" s="19"/>
      <c r="K1574" s="19"/>
      <c r="L1574" s="40"/>
    </row>
    <row r="1575" ht="22.5" customHeight="1">
      <c r="C1575" s="19"/>
      <c r="E1575" s="43"/>
      <c r="F1575" s="43"/>
      <c r="G1575" s="43"/>
      <c r="H1575" s="42"/>
      <c r="I1575" s="12"/>
      <c r="J1575" s="19"/>
      <c r="K1575" s="19"/>
      <c r="L1575" s="40"/>
    </row>
    <row r="1576" ht="22.5" customHeight="1">
      <c r="C1576" s="19"/>
      <c r="E1576" s="43"/>
      <c r="F1576" s="43"/>
      <c r="G1576" s="43"/>
      <c r="H1576" s="42"/>
      <c r="I1576" s="12"/>
      <c r="J1576" s="19"/>
      <c r="K1576" s="19"/>
      <c r="L1576" s="40"/>
    </row>
    <row r="1577" ht="22.5" customHeight="1">
      <c r="C1577" s="19"/>
      <c r="E1577" s="43"/>
      <c r="F1577" s="43"/>
      <c r="G1577" s="43"/>
      <c r="H1577" s="42"/>
      <c r="I1577" s="12"/>
      <c r="J1577" s="19"/>
      <c r="K1577" s="19"/>
      <c r="L1577" s="40"/>
    </row>
    <row r="1578" ht="22.5" customHeight="1">
      <c r="C1578" s="19"/>
      <c r="E1578" s="43"/>
      <c r="F1578" s="43"/>
      <c r="G1578" s="43"/>
      <c r="H1578" s="44"/>
      <c r="I1578" s="12"/>
      <c r="J1578" s="19"/>
      <c r="K1578" s="19"/>
      <c r="L1578" s="40"/>
    </row>
    <row r="1579" ht="22.5" customHeight="1">
      <c r="C1579" s="19"/>
      <c r="E1579" s="43"/>
      <c r="F1579" s="43"/>
      <c r="G1579" s="43"/>
      <c r="H1579" s="42"/>
      <c r="I1579" s="12"/>
      <c r="J1579" s="19"/>
      <c r="K1579" s="19"/>
      <c r="L1579" s="40"/>
    </row>
    <row r="1580" ht="22.5" customHeight="1">
      <c r="C1580" s="19"/>
      <c r="E1580" s="43"/>
      <c r="F1580" s="43"/>
      <c r="G1580" s="43"/>
      <c r="H1580" s="44"/>
      <c r="I1580" s="12"/>
      <c r="J1580" s="19"/>
      <c r="K1580" s="19"/>
      <c r="L1580" s="40"/>
    </row>
    <row r="1581" ht="22.5" customHeight="1">
      <c r="C1581" s="19"/>
      <c r="E1581" s="43"/>
      <c r="F1581" s="43"/>
      <c r="G1581" s="43"/>
      <c r="H1581" s="44"/>
      <c r="I1581" s="12"/>
      <c r="J1581" s="19"/>
      <c r="K1581" s="19"/>
      <c r="L1581" s="40"/>
    </row>
    <row r="1582" ht="22.5" customHeight="1">
      <c r="C1582" s="19"/>
      <c r="E1582" s="43"/>
      <c r="F1582" s="43"/>
      <c r="G1582" s="43"/>
      <c r="H1582" s="42"/>
      <c r="I1582" s="12"/>
      <c r="J1582" s="19"/>
      <c r="K1582" s="19"/>
      <c r="L1582" s="40"/>
    </row>
    <row r="1583" ht="22.5" customHeight="1">
      <c r="C1583" s="19"/>
      <c r="E1583" s="43"/>
      <c r="F1583" s="43"/>
      <c r="G1583" s="43"/>
      <c r="H1583" s="42"/>
      <c r="I1583" s="12"/>
      <c r="J1583" s="19"/>
      <c r="K1583" s="19"/>
      <c r="L1583" s="40"/>
    </row>
    <row r="1584" ht="22.5" customHeight="1">
      <c r="C1584" s="19"/>
      <c r="E1584" s="43"/>
      <c r="F1584" s="43"/>
      <c r="G1584" s="43"/>
      <c r="H1584" s="44"/>
      <c r="I1584" s="12"/>
      <c r="J1584" s="19"/>
      <c r="K1584" s="19"/>
      <c r="L1584" s="4"/>
    </row>
    <row r="1585" ht="22.5" customHeight="1">
      <c r="C1585" s="19"/>
      <c r="E1585" s="43"/>
      <c r="F1585" s="43"/>
      <c r="G1585" s="43"/>
      <c r="H1585" s="42"/>
      <c r="I1585" s="12"/>
      <c r="J1585" s="19"/>
      <c r="K1585" s="19"/>
      <c r="L1585" s="40"/>
    </row>
    <row r="1586" ht="22.5" customHeight="1">
      <c r="C1586" s="19"/>
      <c r="E1586" s="43"/>
      <c r="F1586" s="43"/>
      <c r="G1586" s="43"/>
      <c r="H1586" s="42"/>
      <c r="I1586" s="12"/>
      <c r="J1586" s="19"/>
      <c r="K1586" s="19"/>
      <c r="L1586" s="40"/>
    </row>
    <row r="1587" ht="22.5" customHeight="1">
      <c r="C1587" s="19"/>
      <c r="E1587" s="43"/>
      <c r="F1587" s="43"/>
      <c r="G1587" s="43"/>
      <c r="H1587" s="42"/>
      <c r="I1587" s="12"/>
      <c r="J1587" s="19"/>
      <c r="K1587" s="19"/>
      <c r="L1587" s="40"/>
    </row>
    <row r="1588" ht="22.5" customHeight="1">
      <c r="C1588" s="19"/>
      <c r="E1588" s="43"/>
      <c r="F1588" s="43"/>
      <c r="G1588" s="43"/>
      <c r="H1588" s="44"/>
      <c r="I1588" s="12"/>
      <c r="J1588" s="19"/>
      <c r="K1588" s="19"/>
      <c r="L1588" s="40"/>
    </row>
    <row r="1589" ht="22.5" customHeight="1">
      <c r="C1589" s="19"/>
      <c r="E1589" s="43"/>
      <c r="F1589" s="43"/>
      <c r="G1589" s="43"/>
      <c r="H1589" s="44"/>
      <c r="I1589" s="12"/>
      <c r="J1589" s="19"/>
      <c r="K1589" s="19"/>
      <c r="L1589" s="40"/>
    </row>
    <row r="1590" ht="22.5" customHeight="1">
      <c r="C1590" s="19"/>
      <c r="E1590" s="43"/>
      <c r="F1590" s="43"/>
      <c r="G1590" s="43"/>
      <c r="H1590" s="42"/>
      <c r="I1590" s="12"/>
      <c r="J1590" s="19"/>
      <c r="K1590" s="19"/>
      <c r="L1590" s="40"/>
    </row>
    <row r="1591" ht="22.5" customHeight="1">
      <c r="C1591" s="19"/>
      <c r="E1591" s="43"/>
      <c r="F1591" s="43"/>
      <c r="G1591" s="43"/>
      <c r="H1591" s="42"/>
      <c r="I1591" s="12"/>
      <c r="J1591" s="19"/>
      <c r="K1591" s="19"/>
      <c r="L1591" s="40"/>
    </row>
    <row r="1592" ht="22.5" customHeight="1">
      <c r="C1592" s="19"/>
      <c r="E1592" s="43"/>
      <c r="F1592" s="43"/>
      <c r="G1592" s="43"/>
      <c r="H1592" s="44"/>
      <c r="I1592" s="12"/>
      <c r="J1592" s="19"/>
      <c r="K1592" s="19"/>
      <c r="L1592" s="40"/>
    </row>
    <row r="1593" ht="22.5" customHeight="1">
      <c r="C1593" s="19"/>
      <c r="E1593" s="43"/>
      <c r="F1593" s="43"/>
      <c r="G1593" s="43"/>
      <c r="H1593" s="42"/>
      <c r="I1593" s="12"/>
      <c r="J1593" s="19"/>
      <c r="K1593" s="19"/>
      <c r="L1593" s="40"/>
    </row>
    <row r="1594" ht="22.5" customHeight="1">
      <c r="C1594" s="19"/>
      <c r="E1594" s="43"/>
      <c r="F1594" s="43"/>
      <c r="G1594" s="43"/>
      <c r="H1594" s="42"/>
      <c r="I1594" s="12"/>
      <c r="J1594" s="19"/>
      <c r="K1594" s="19"/>
      <c r="L1594" s="40"/>
    </row>
    <row r="1595" ht="22.5" customHeight="1">
      <c r="C1595" s="19"/>
      <c r="E1595" s="43"/>
      <c r="F1595" s="43"/>
      <c r="G1595" s="43"/>
      <c r="H1595" s="42"/>
      <c r="I1595" s="12"/>
      <c r="J1595" s="19"/>
      <c r="K1595" s="19"/>
      <c r="L1595" s="40"/>
    </row>
    <row r="1596" ht="22.5" customHeight="1">
      <c r="C1596" s="19"/>
      <c r="E1596" s="43"/>
      <c r="F1596" s="43"/>
      <c r="G1596" s="43"/>
      <c r="H1596" s="42"/>
      <c r="I1596" s="12"/>
      <c r="J1596" s="19"/>
      <c r="K1596" s="19"/>
      <c r="L1596" s="40"/>
    </row>
    <row r="1597" ht="22.5" customHeight="1">
      <c r="C1597" s="19"/>
      <c r="E1597" s="43"/>
      <c r="F1597" s="43"/>
      <c r="G1597" s="43"/>
      <c r="H1597" s="42"/>
      <c r="I1597" s="12"/>
      <c r="J1597" s="19"/>
      <c r="K1597" s="19"/>
      <c r="L1597" s="40"/>
    </row>
    <row r="1598" ht="22.5" customHeight="1">
      <c r="C1598" s="19"/>
      <c r="E1598" s="43"/>
      <c r="F1598" s="43"/>
      <c r="G1598" s="43"/>
      <c r="H1598" s="44"/>
      <c r="I1598" s="12"/>
      <c r="J1598" s="19"/>
      <c r="K1598" s="19"/>
      <c r="L1598" s="40"/>
    </row>
    <row r="1599" ht="22.5" customHeight="1">
      <c r="C1599" s="19"/>
      <c r="E1599" s="43"/>
      <c r="F1599" s="43"/>
      <c r="G1599" s="43"/>
      <c r="H1599" s="44"/>
      <c r="I1599" s="12"/>
      <c r="J1599" s="19"/>
      <c r="K1599" s="19"/>
      <c r="L1599" s="40"/>
    </row>
    <row r="1600" ht="22.5" customHeight="1">
      <c r="C1600" s="19"/>
      <c r="E1600" s="43"/>
      <c r="F1600" s="43"/>
      <c r="G1600" s="43"/>
      <c r="H1600" s="44"/>
      <c r="I1600" s="12"/>
      <c r="J1600" s="19"/>
      <c r="K1600" s="19"/>
      <c r="L1600" s="40"/>
    </row>
    <row r="1601" ht="22.5" customHeight="1">
      <c r="C1601" s="19"/>
      <c r="E1601" s="43"/>
      <c r="F1601" s="43"/>
      <c r="G1601" s="43"/>
      <c r="H1601" s="42"/>
      <c r="I1601" s="12"/>
      <c r="J1601" s="19"/>
      <c r="K1601" s="19"/>
      <c r="L1601" s="40"/>
    </row>
    <row r="1602" ht="22.5" customHeight="1">
      <c r="C1602" s="19"/>
      <c r="E1602" s="43"/>
      <c r="F1602" s="43"/>
      <c r="G1602" s="43"/>
      <c r="H1602" s="42"/>
      <c r="I1602" s="12"/>
      <c r="J1602" s="19"/>
      <c r="K1602" s="19"/>
      <c r="L1602" s="40"/>
    </row>
    <row r="1603" ht="22.5" customHeight="1">
      <c r="C1603" s="19"/>
      <c r="E1603" s="43"/>
      <c r="F1603" s="43"/>
      <c r="G1603" s="43"/>
      <c r="H1603" s="42"/>
      <c r="I1603" s="12"/>
      <c r="J1603" s="19"/>
      <c r="K1603" s="19"/>
      <c r="L1603" s="40"/>
    </row>
    <row r="1604" ht="22.5" customHeight="1">
      <c r="C1604" s="19"/>
      <c r="E1604" s="43"/>
      <c r="F1604" s="43"/>
      <c r="G1604" s="43"/>
      <c r="H1604" s="42"/>
      <c r="I1604" s="12"/>
      <c r="J1604" s="19"/>
      <c r="K1604" s="19"/>
      <c r="L1604" s="40"/>
    </row>
    <row r="1605" ht="22.5" customHeight="1">
      <c r="C1605" s="19"/>
      <c r="E1605" s="43"/>
      <c r="F1605" s="43"/>
      <c r="G1605" s="43"/>
      <c r="H1605" s="42"/>
      <c r="I1605" s="12"/>
      <c r="J1605" s="19"/>
      <c r="K1605" s="19"/>
      <c r="L1605" s="40"/>
    </row>
    <row r="1606" ht="22.5" customHeight="1">
      <c r="C1606" s="19"/>
      <c r="E1606" s="43"/>
      <c r="F1606" s="43"/>
      <c r="G1606" s="43"/>
      <c r="H1606" s="44"/>
      <c r="I1606" s="12"/>
      <c r="J1606" s="19"/>
      <c r="K1606" s="19"/>
      <c r="L1606" s="40"/>
    </row>
    <row r="1607" ht="22.5" customHeight="1">
      <c r="C1607" s="19"/>
      <c r="E1607" s="43"/>
      <c r="F1607" s="43"/>
      <c r="G1607" s="43"/>
      <c r="H1607" s="42"/>
      <c r="I1607" s="12"/>
      <c r="J1607" s="19"/>
      <c r="K1607" s="19"/>
      <c r="L1607" s="40"/>
    </row>
    <row r="1608" ht="22.5" customHeight="1">
      <c r="C1608" s="19"/>
      <c r="E1608" s="43"/>
      <c r="F1608" s="43"/>
      <c r="G1608" s="43"/>
      <c r="H1608" s="42"/>
      <c r="I1608" s="12"/>
      <c r="J1608" s="19"/>
      <c r="K1608" s="19"/>
      <c r="L1608" s="40"/>
    </row>
    <row r="1609" ht="22.5" customHeight="1">
      <c r="C1609" s="19"/>
      <c r="E1609" s="43"/>
      <c r="F1609" s="43"/>
      <c r="G1609" s="43"/>
      <c r="H1609" s="44"/>
      <c r="I1609" s="12"/>
      <c r="J1609" s="19"/>
      <c r="K1609" s="19"/>
      <c r="L1609" s="40"/>
    </row>
    <row r="1610" ht="22.5" customHeight="1">
      <c r="C1610" s="19"/>
      <c r="E1610" s="43"/>
      <c r="F1610" s="43"/>
      <c r="G1610" s="43"/>
      <c r="H1610" s="42"/>
      <c r="I1610" s="12"/>
      <c r="J1610" s="19"/>
      <c r="K1610" s="19"/>
      <c r="L1610" s="40"/>
    </row>
    <row r="1611" ht="22.5" customHeight="1">
      <c r="C1611" s="19"/>
      <c r="E1611" s="43"/>
      <c r="F1611" s="43"/>
      <c r="G1611" s="43"/>
      <c r="H1611" s="42"/>
      <c r="I1611" s="12"/>
      <c r="J1611" s="19"/>
      <c r="K1611" s="19"/>
      <c r="L1611" s="40"/>
    </row>
    <row r="1612" ht="22.5" customHeight="1">
      <c r="C1612" s="19"/>
      <c r="E1612" s="43"/>
      <c r="F1612" s="43"/>
      <c r="G1612" s="43"/>
      <c r="H1612" s="44"/>
      <c r="I1612" s="12"/>
      <c r="J1612" s="19"/>
      <c r="K1612" s="19"/>
      <c r="L1612" s="40"/>
    </row>
    <row r="1613" ht="22.5" customHeight="1">
      <c r="C1613" s="19"/>
      <c r="E1613" s="43"/>
      <c r="F1613" s="43"/>
      <c r="G1613" s="43"/>
      <c r="H1613" s="42"/>
      <c r="I1613" s="12"/>
      <c r="J1613" s="19"/>
      <c r="K1613" s="19"/>
      <c r="L1613" s="40"/>
    </row>
    <row r="1614" ht="22.5" customHeight="1">
      <c r="C1614" s="19"/>
      <c r="E1614" s="43"/>
      <c r="F1614" s="43"/>
      <c r="G1614" s="43"/>
      <c r="H1614" s="44"/>
      <c r="I1614" s="12"/>
      <c r="J1614" s="19"/>
      <c r="K1614" s="19"/>
      <c r="L1614" s="40"/>
    </row>
    <row r="1615" ht="22.5" customHeight="1">
      <c r="C1615" s="19"/>
      <c r="E1615" s="43"/>
      <c r="F1615" s="43"/>
      <c r="G1615" s="43"/>
      <c r="H1615" s="44"/>
      <c r="I1615" s="12"/>
      <c r="J1615" s="19"/>
      <c r="K1615" s="19"/>
      <c r="L1615" s="40"/>
    </row>
    <row r="1616" ht="22.5" customHeight="1">
      <c r="C1616" s="19"/>
      <c r="E1616" s="43"/>
      <c r="F1616" s="43"/>
      <c r="G1616" s="43"/>
      <c r="H1616" s="42"/>
      <c r="I1616" s="12"/>
      <c r="J1616" s="19"/>
      <c r="K1616" s="19"/>
      <c r="L1616" s="40"/>
    </row>
    <row r="1617" ht="22.5" customHeight="1">
      <c r="C1617" s="19"/>
      <c r="E1617" s="43"/>
      <c r="F1617" s="43"/>
      <c r="G1617" s="43"/>
      <c r="H1617" s="42"/>
      <c r="I1617" s="12"/>
      <c r="J1617" s="19"/>
      <c r="K1617" s="19"/>
      <c r="L1617" s="4"/>
    </row>
    <row r="1618" ht="22.5" customHeight="1">
      <c r="C1618" s="19"/>
      <c r="E1618" s="43"/>
      <c r="F1618" s="43"/>
      <c r="G1618" s="43"/>
      <c r="H1618" s="44"/>
      <c r="I1618" s="12"/>
      <c r="J1618" s="19"/>
      <c r="K1618" s="19"/>
      <c r="L1618" s="40"/>
    </row>
    <row r="1619" ht="22.5" customHeight="1">
      <c r="C1619" s="19"/>
      <c r="E1619" s="43"/>
      <c r="F1619" s="43"/>
      <c r="G1619" s="43"/>
      <c r="H1619" s="42"/>
      <c r="I1619" s="12"/>
      <c r="J1619" s="19"/>
      <c r="K1619" s="19"/>
      <c r="L1619" s="40"/>
    </row>
    <row r="1620" ht="22.5" customHeight="1">
      <c r="C1620" s="19"/>
      <c r="E1620" s="43"/>
      <c r="F1620" s="43"/>
      <c r="G1620" s="43"/>
      <c r="H1620" s="44"/>
      <c r="I1620" s="12"/>
      <c r="J1620" s="19"/>
      <c r="K1620" s="19"/>
      <c r="L1620" s="40"/>
    </row>
    <row r="1621" ht="22.5" customHeight="1">
      <c r="C1621" s="19"/>
      <c r="E1621" s="43"/>
      <c r="F1621" s="43"/>
      <c r="G1621" s="43"/>
      <c r="H1621" s="42"/>
      <c r="I1621" s="12"/>
      <c r="J1621" s="19"/>
      <c r="K1621" s="19"/>
      <c r="L1621" s="4"/>
    </row>
    <row r="1622" ht="22.5" customHeight="1">
      <c r="C1622" s="19"/>
      <c r="E1622" s="43"/>
      <c r="F1622" s="43"/>
      <c r="G1622" s="43"/>
      <c r="H1622" s="42"/>
      <c r="I1622" s="12"/>
      <c r="J1622" s="19"/>
      <c r="K1622" s="19"/>
      <c r="L1622" s="40"/>
    </row>
    <row r="1623" ht="22.5" customHeight="1">
      <c r="C1623" s="19"/>
      <c r="E1623" s="43"/>
      <c r="F1623" s="43"/>
      <c r="G1623" s="43"/>
      <c r="H1623" s="42"/>
      <c r="I1623" s="12"/>
      <c r="J1623" s="19"/>
      <c r="K1623" s="19"/>
      <c r="L1623" s="40"/>
    </row>
    <row r="1624" ht="22.5" customHeight="1">
      <c r="C1624" s="19"/>
      <c r="E1624" s="43"/>
      <c r="F1624" s="43"/>
      <c r="G1624" s="43"/>
      <c r="H1624" s="44"/>
      <c r="I1624" s="12"/>
      <c r="J1624" s="19"/>
      <c r="K1624" s="19"/>
      <c r="L1624" s="40"/>
    </row>
    <row r="1625" ht="22.5" customHeight="1">
      <c r="C1625" s="19"/>
      <c r="E1625" s="43"/>
      <c r="F1625" s="43"/>
      <c r="G1625" s="43"/>
      <c r="H1625" s="42"/>
      <c r="I1625" s="12"/>
      <c r="J1625" s="19"/>
      <c r="K1625" s="19"/>
      <c r="L1625" s="40"/>
    </row>
    <row r="1626" ht="22.5" customHeight="1">
      <c r="C1626" s="19"/>
      <c r="E1626" s="43"/>
      <c r="F1626" s="43"/>
      <c r="G1626" s="43"/>
      <c r="H1626" s="42"/>
      <c r="I1626" s="12"/>
      <c r="J1626" s="19"/>
      <c r="K1626" s="19"/>
      <c r="L1626" s="40"/>
    </row>
    <row r="1627" ht="22.5" customHeight="1">
      <c r="C1627" s="19"/>
      <c r="E1627" s="43"/>
      <c r="F1627" s="43"/>
      <c r="G1627" s="43"/>
      <c r="H1627" s="42"/>
      <c r="I1627" s="12"/>
      <c r="J1627" s="19"/>
      <c r="K1627" s="19"/>
      <c r="L1627" s="40"/>
    </row>
    <row r="1628" ht="22.5" customHeight="1">
      <c r="C1628" s="19"/>
      <c r="E1628" s="43"/>
      <c r="F1628" s="43"/>
      <c r="G1628" s="43"/>
      <c r="H1628" s="42"/>
      <c r="I1628" s="12"/>
      <c r="J1628" s="19"/>
      <c r="K1628" s="19"/>
      <c r="L1628" s="40"/>
    </row>
    <row r="1629" ht="22.5" customHeight="1">
      <c r="C1629" s="19"/>
      <c r="E1629" s="43"/>
      <c r="F1629" s="43"/>
      <c r="G1629" s="43"/>
      <c r="H1629" s="44"/>
      <c r="I1629" s="12"/>
      <c r="J1629" s="19"/>
      <c r="K1629" s="19"/>
      <c r="L1629" s="40"/>
    </row>
    <row r="1630" ht="22.5" customHeight="1">
      <c r="C1630" s="19"/>
      <c r="E1630" s="43"/>
      <c r="F1630" s="43"/>
      <c r="G1630" s="43"/>
      <c r="H1630" s="42"/>
      <c r="I1630" s="12"/>
      <c r="J1630" s="19"/>
      <c r="K1630" s="19"/>
      <c r="L1630" s="40"/>
    </row>
    <row r="1631" ht="22.5" customHeight="1">
      <c r="C1631" s="19"/>
      <c r="E1631" s="43"/>
      <c r="F1631" s="43"/>
      <c r="G1631" s="43"/>
      <c r="H1631" s="42"/>
      <c r="I1631" s="12"/>
      <c r="J1631" s="19"/>
      <c r="K1631" s="19"/>
      <c r="L1631" s="40"/>
    </row>
    <row r="1632" ht="22.5" customHeight="1">
      <c r="C1632" s="19"/>
      <c r="E1632" s="43"/>
      <c r="F1632" s="43"/>
      <c r="G1632" s="43"/>
      <c r="H1632" s="42"/>
      <c r="I1632" s="12"/>
      <c r="J1632" s="19"/>
      <c r="K1632" s="19"/>
      <c r="L1632" s="40"/>
    </row>
    <row r="1633" ht="22.5" customHeight="1">
      <c r="C1633" s="19"/>
      <c r="E1633" s="43"/>
      <c r="F1633" s="43"/>
      <c r="G1633" s="43"/>
      <c r="H1633" s="44"/>
      <c r="I1633" s="12"/>
      <c r="J1633" s="19"/>
      <c r="K1633" s="19"/>
      <c r="L1633" s="40"/>
    </row>
    <row r="1634" ht="22.5" customHeight="1">
      <c r="C1634" s="19"/>
      <c r="E1634" s="43"/>
      <c r="F1634" s="43"/>
      <c r="G1634" s="43"/>
      <c r="H1634" s="42"/>
      <c r="I1634" s="12"/>
      <c r="J1634" s="19"/>
      <c r="K1634" s="19"/>
      <c r="L1634" s="40"/>
    </row>
    <row r="1635" ht="22.5" customHeight="1">
      <c r="C1635" s="19"/>
      <c r="E1635" s="43"/>
      <c r="F1635" s="43"/>
      <c r="G1635" s="43"/>
      <c r="H1635" s="42"/>
      <c r="I1635" s="12"/>
      <c r="J1635" s="19"/>
      <c r="K1635" s="19"/>
      <c r="L1635" s="40"/>
    </row>
    <row r="1636" ht="22.5" customHeight="1">
      <c r="C1636" s="19"/>
      <c r="E1636" s="43"/>
      <c r="F1636" s="43"/>
      <c r="G1636" s="43"/>
      <c r="H1636" s="42"/>
      <c r="I1636" s="12"/>
      <c r="J1636" s="19"/>
      <c r="K1636" s="19"/>
      <c r="L1636" s="40"/>
    </row>
    <row r="1637" ht="22.5" customHeight="1">
      <c r="C1637" s="19"/>
      <c r="E1637" s="43"/>
      <c r="F1637" s="43"/>
      <c r="G1637" s="43"/>
      <c r="H1637" s="44"/>
      <c r="I1637" s="12"/>
      <c r="J1637" s="19"/>
      <c r="K1637" s="19"/>
      <c r="L1637" s="40"/>
    </row>
    <row r="1638" ht="22.5" customHeight="1">
      <c r="C1638" s="19"/>
      <c r="E1638" s="43"/>
      <c r="F1638" s="43"/>
      <c r="G1638" s="43"/>
      <c r="H1638" s="42"/>
      <c r="I1638" s="12"/>
      <c r="J1638" s="19"/>
      <c r="K1638" s="19"/>
      <c r="L1638" s="40"/>
    </row>
    <row r="1639" ht="22.5" customHeight="1">
      <c r="C1639" s="19"/>
      <c r="E1639" s="43"/>
      <c r="F1639" s="43"/>
      <c r="G1639" s="43"/>
      <c r="H1639" s="42"/>
      <c r="I1639" s="12"/>
      <c r="J1639" s="19"/>
      <c r="K1639" s="19"/>
      <c r="L1639" s="40"/>
    </row>
    <row r="1640" ht="22.5" customHeight="1">
      <c r="C1640" s="19"/>
      <c r="E1640" s="43"/>
      <c r="F1640" s="43"/>
      <c r="G1640" s="43"/>
      <c r="H1640" s="42"/>
      <c r="I1640" s="12"/>
      <c r="J1640" s="19"/>
      <c r="K1640" s="19"/>
      <c r="L1640" s="40"/>
    </row>
    <row r="1641" ht="22.5" customHeight="1">
      <c r="C1641" s="19"/>
      <c r="E1641" s="43"/>
      <c r="F1641" s="43"/>
      <c r="G1641" s="43"/>
      <c r="H1641" s="44"/>
      <c r="I1641" s="12"/>
      <c r="J1641" s="19"/>
      <c r="K1641" s="19"/>
      <c r="L1641" s="40"/>
    </row>
    <row r="1642" ht="22.5" customHeight="1">
      <c r="C1642" s="19"/>
      <c r="E1642" s="43"/>
      <c r="F1642" s="43"/>
      <c r="G1642" s="43"/>
      <c r="H1642" s="44"/>
      <c r="I1642" s="12"/>
      <c r="J1642" s="19"/>
      <c r="K1642" s="19"/>
      <c r="L1642" s="40"/>
    </row>
    <row r="1643" ht="22.5" customHeight="1">
      <c r="C1643" s="19"/>
      <c r="E1643" s="43"/>
      <c r="F1643" s="43"/>
      <c r="G1643" s="43"/>
      <c r="H1643" s="44"/>
      <c r="I1643" s="12"/>
      <c r="J1643" s="19"/>
      <c r="K1643" s="19"/>
      <c r="L1643" s="40"/>
    </row>
    <row r="1644" ht="22.5" customHeight="1">
      <c r="C1644" s="19"/>
      <c r="E1644" s="43"/>
      <c r="F1644" s="43"/>
      <c r="G1644" s="43"/>
      <c r="H1644" s="44"/>
      <c r="I1644" s="12"/>
      <c r="J1644" s="19"/>
      <c r="K1644" s="19"/>
      <c r="L1644" s="40"/>
    </row>
    <row r="1645" ht="22.5" customHeight="1">
      <c r="C1645" s="19"/>
      <c r="E1645" s="43"/>
      <c r="F1645" s="43"/>
      <c r="G1645" s="43"/>
      <c r="H1645" s="44"/>
      <c r="I1645" s="12"/>
      <c r="J1645" s="19"/>
      <c r="K1645" s="19"/>
      <c r="L1645" s="40"/>
    </row>
    <row r="1646" ht="22.5" customHeight="1">
      <c r="C1646" s="19"/>
      <c r="E1646" s="43"/>
      <c r="F1646" s="43"/>
      <c r="G1646" s="43"/>
      <c r="H1646" s="44"/>
      <c r="I1646" s="12"/>
      <c r="J1646" s="19"/>
      <c r="K1646" s="19"/>
      <c r="L1646" s="40"/>
    </row>
    <row r="1647" ht="22.5" customHeight="1">
      <c r="C1647" s="19"/>
      <c r="E1647" s="43"/>
      <c r="F1647" s="43"/>
      <c r="G1647" s="43"/>
      <c r="H1647" s="44"/>
      <c r="I1647" s="12"/>
      <c r="J1647" s="19"/>
      <c r="K1647" s="19"/>
      <c r="L1647" s="40"/>
    </row>
    <row r="1648" ht="22.5" customHeight="1">
      <c r="C1648" s="19"/>
      <c r="E1648" s="43"/>
      <c r="F1648" s="43"/>
      <c r="G1648" s="43"/>
      <c r="H1648" s="42"/>
      <c r="I1648" s="12"/>
      <c r="J1648" s="19"/>
      <c r="K1648" s="19"/>
      <c r="L1648" s="40"/>
    </row>
    <row r="1649" ht="22.5" customHeight="1">
      <c r="C1649" s="19"/>
      <c r="E1649" s="43"/>
      <c r="F1649" s="43"/>
      <c r="G1649" s="43"/>
      <c r="H1649" s="44"/>
      <c r="I1649" s="12"/>
      <c r="J1649" s="19"/>
      <c r="K1649" s="19"/>
      <c r="L1649" s="40"/>
    </row>
    <row r="1650" ht="22.5" customHeight="1">
      <c r="C1650" s="19"/>
      <c r="E1650" s="43"/>
      <c r="F1650" s="43"/>
      <c r="G1650" s="43"/>
      <c r="H1650" s="42"/>
      <c r="I1650" s="12"/>
      <c r="J1650" s="19"/>
      <c r="K1650" s="19"/>
      <c r="L1650" s="40"/>
    </row>
    <row r="1651" ht="22.5" customHeight="1">
      <c r="C1651" s="19"/>
      <c r="E1651" s="43"/>
      <c r="F1651" s="43"/>
      <c r="G1651" s="43"/>
      <c r="H1651" s="44"/>
      <c r="I1651" s="12"/>
      <c r="J1651" s="19"/>
      <c r="K1651" s="19"/>
      <c r="L1651" s="40"/>
    </row>
    <row r="1652" ht="22.5" customHeight="1">
      <c r="C1652" s="19"/>
      <c r="E1652" s="43"/>
      <c r="F1652" s="43"/>
      <c r="G1652" s="43"/>
      <c r="H1652" s="44"/>
      <c r="I1652" s="12"/>
      <c r="J1652" s="19"/>
      <c r="K1652" s="19"/>
      <c r="L1652" s="40"/>
    </row>
    <row r="1653" ht="22.5" customHeight="1">
      <c r="C1653" s="19"/>
      <c r="E1653" s="43"/>
      <c r="F1653" s="43"/>
      <c r="G1653" s="43"/>
      <c r="H1653" s="42"/>
      <c r="I1653" s="12"/>
      <c r="J1653" s="19"/>
      <c r="K1653" s="19"/>
      <c r="L1653" s="40"/>
    </row>
    <row r="1654" ht="22.5" customHeight="1">
      <c r="C1654" s="19"/>
      <c r="E1654" s="43"/>
      <c r="F1654" s="43"/>
      <c r="G1654" s="43"/>
      <c r="H1654" s="42"/>
      <c r="I1654" s="12"/>
      <c r="J1654" s="19"/>
      <c r="K1654" s="19"/>
      <c r="L1654" s="40"/>
    </row>
    <row r="1655" ht="22.5" customHeight="1">
      <c r="C1655" s="19"/>
      <c r="E1655" s="43"/>
      <c r="F1655" s="43"/>
      <c r="G1655" s="43"/>
      <c r="H1655" s="42"/>
      <c r="I1655" s="12"/>
      <c r="J1655" s="19"/>
      <c r="K1655" s="19"/>
      <c r="L1655" s="40"/>
    </row>
    <row r="1656" ht="22.5" customHeight="1">
      <c r="C1656" s="19"/>
      <c r="E1656" s="43"/>
      <c r="F1656" s="43"/>
      <c r="G1656" s="43"/>
      <c r="H1656" s="42"/>
      <c r="I1656" s="12"/>
      <c r="J1656" s="19"/>
      <c r="K1656" s="19"/>
      <c r="L1656" s="40"/>
    </row>
    <row r="1657" ht="22.5" customHeight="1">
      <c r="C1657" s="19"/>
      <c r="E1657" s="43"/>
      <c r="F1657" s="43"/>
      <c r="G1657" s="43"/>
      <c r="H1657" s="42"/>
      <c r="I1657" s="12"/>
      <c r="J1657" s="19"/>
      <c r="K1657" s="19"/>
      <c r="L1657" s="40"/>
    </row>
    <row r="1658" ht="22.5" customHeight="1">
      <c r="C1658" s="19"/>
      <c r="E1658" s="43"/>
      <c r="F1658" s="43"/>
      <c r="G1658" s="43"/>
      <c r="H1658" s="42"/>
      <c r="I1658" s="12"/>
      <c r="J1658" s="19"/>
      <c r="K1658" s="19"/>
      <c r="L1658" s="40"/>
    </row>
    <row r="1659" ht="22.5" customHeight="1">
      <c r="C1659" s="19"/>
      <c r="E1659" s="43"/>
      <c r="F1659" s="43"/>
      <c r="G1659" s="43"/>
      <c r="H1659" s="42"/>
      <c r="I1659" s="12"/>
      <c r="J1659" s="19"/>
      <c r="K1659" s="19"/>
      <c r="L1659" s="40"/>
    </row>
    <row r="1660" ht="22.5" customHeight="1">
      <c r="C1660" s="19"/>
      <c r="E1660" s="43"/>
      <c r="F1660" s="43"/>
      <c r="G1660" s="43"/>
      <c r="H1660" s="42"/>
      <c r="I1660" s="12"/>
      <c r="J1660" s="19"/>
      <c r="K1660" s="19"/>
      <c r="L1660" s="40"/>
    </row>
    <row r="1661" ht="22.5" customHeight="1">
      <c r="C1661" s="19"/>
      <c r="E1661" s="43"/>
      <c r="F1661" s="43"/>
      <c r="G1661" s="43"/>
      <c r="H1661" s="42"/>
      <c r="I1661" s="12"/>
      <c r="J1661" s="19"/>
      <c r="K1661" s="19"/>
      <c r="L1661" s="40"/>
    </row>
    <row r="1662" ht="22.5" customHeight="1">
      <c r="C1662" s="19"/>
      <c r="E1662" s="43"/>
      <c r="F1662" s="43"/>
      <c r="G1662" s="43"/>
      <c r="H1662" s="44"/>
      <c r="I1662" s="12"/>
      <c r="J1662" s="19"/>
      <c r="K1662" s="19"/>
      <c r="L1662" s="40"/>
    </row>
    <row r="1663" ht="22.5" customHeight="1">
      <c r="C1663" s="19"/>
      <c r="E1663" s="43"/>
      <c r="F1663" s="43"/>
      <c r="G1663" s="43"/>
      <c r="H1663" s="44"/>
      <c r="I1663" s="12"/>
      <c r="J1663" s="19"/>
      <c r="K1663" s="19"/>
      <c r="L1663" s="40"/>
    </row>
    <row r="1664" ht="22.5" customHeight="1">
      <c r="C1664" s="19"/>
      <c r="E1664" s="43"/>
      <c r="F1664" s="43"/>
      <c r="G1664" s="43"/>
      <c r="H1664" s="42"/>
      <c r="I1664" s="12"/>
      <c r="J1664" s="19"/>
      <c r="K1664" s="19"/>
      <c r="L1664" s="40"/>
    </row>
    <row r="1665" ht="22.5" customHeight="1">
      <c r="C1665" s="19"/>
      <c r="E1665" s="43"/>
      <c r="F1665" s="43"/>
      <c r="G1665" s="43"/>
      <c r="H1665" s="42"/>
      <c r="I1665" s="12"/>
      <c r="J1665" s="19"/>
      <c r="K1665" s="19"/>
      <c r="L1665" s="40"/>
    </row>
    <row r="1666" ht="22.5" customHeight="1">
      <c r="C1666" s="19"/>
      <c r="E1666" s="43"/>
      <c r="F1666" s="43"/>
      <c r="G1666" s="43"/>
      <c r="H1666" s="42"/>
      <c r="I1666" s="12"/>
      <c r="J1666" s="19"/>
      <c r="K1666" s="19"/>
      <c r="L1666" s="40"/>
    </row>
    <row r="1667" ht="22.5" customHeight="1">
      <c r="C1667" s="19"/>
      <c r="E1667" s="43"/>
      <c r="F1667" s="43"/>
      <c r="G1667" s="43"/>
      <c r="H1667" s="42"/>
      <c r="I1667" s="12"/>
      <c r="J1667" s="19"/>
      <c r="K1667" s="19"/>
      <c r="L1667" s="40"/>
    </row>
    <row r="1668" ht="22.5" customHeight="1">
      <c r="C1668" s="19"/>
      <c r="E1668" s="43"/>
      <c r="F1668" s="43"/>
      <c r="G1668" s="43"/>
      <c r="H1668" s="42"/>
      <c r="I1668" s="12"/>
      <c r="J1668" s="19"/>
      <c r="K1668" s="19"/>
      <c r="L1668" s="40"/>
    </row>
    <row r="1669" ht="22.5" customHeight="1">
      <c r="C1669" s="19"/>
      <c r="E1669" s="43"/>
      <c r="F1669" s="43"/>
      <c r="G1669" s="43"/>
      <c r="H1669" s="42"/>
      <c r="I1669" s="12"/>
      <c r="J1669" s="19"/>
      <c r="K1669" s="19"/>
      <c r="L1669" s="40"/>
    </row>
    <row r="1670" ht="22.5" customHeight="1">
      <c r="C1670" s="19"/>
      <c r="E1670" s="43"/>
      <c r="F1670" s="43"/>
      <c r="G1670" s="43"/>
      <c r="H1670" s="44"/>
      <c r="I1670" s="12"/>
      <c r="J1670" s="19"/>
      <c r="K1670" s="19"/>
      <c r="L1670" s="40"/>
    </row>
    <row r="1671" ht="22.5" customHeight="1">
      <c r="C1671" s="19"/>
      <c r="E1671" s="43"/>
      <c r="F1671" s="43"/>
      <c r="G1671" s="43"/>
      <c r="H1671" s="42"/>
      <c r="I1671" s="12"/>
      <c r="J1671" s="19"/>
      <c r="K1671" s="19"/>
      <c r="L1671" s="40"/>
    </row>
    <row r="1672" ht="22.5" customHeight="1">
      <c r="C1672" s="19"/>
      <c r="E1672" s="43"/>
      <c r="F1672" s="43"/>
      <c r="G1672" s="43"/>
      <c r="H1672" s="42"/>
      <c r="I1672" s="12"/>
      <c r="J1672" s="19"/>
      <c r="K1672" s="19"/>
      <c r="L1672" s="40"/>
    </row>
    <row r="1673" ht="22.5" customHeight="1">
      <c r="C1673" s="19"/>
      <c r="E1673" s="43"/>
      <c r="F1673" s="43"/>
      <c r="G1673" s="43"/>
      <c r="H1673" s="44"/>
      <c r="I1673" s="12"/>
      <c r="J1673" s="19"/>
      <c r="K1673" s="19"/>
      <c r="L1673" s="40"/>
    </row>
    <row r="1674" ht="22.5" customHeight="1">
      <c r="C1674" s="19"/>
      <c r="E1674" s="43"/>
      <c r="F1674" s="43"/>
      <c r="G1674" s="43"/>
      <c r="H1674" s="44"/>
      <c r="I1674" s="12"/>
      <c r="J1674" s="19"/>
      <c r="K1674" s="19"/>
      <c r="L1674" s="40"/>
    </row>
    <row r="1675" ht="22.5" customHeight="1">
      <c r="C1675" s="19"/>
      <c r="E1675" s="43"/>
      <c r="F1675" s="43"/>
      <c r="G1675" s="43"/>
      <c r="H1675" s="42"/>
      <c r="I1675" s="12"/>
      <c r="J1675" s="19"/>
      <c r="K1675" s="19"/>
      <c r="L1675" s="40"/>
    </row>
    <row r="1676" ht="22.5" customHeight="1">
      <c r="C1676" s="19"/>
      <c r="E1676" s="43"/>
      <c r="F1676" s="43"/>
      <c r="G1676" s="43"/>
      <c r="H1676" s="42"/>
      <c r="I1676" s="12"/>
      <c r="J1676" s="19"/>
      <c r="K1676" s="19"/>
      <c r="L1676" s="40"/>
    </row>
    <row r="1677" ht="22.5" customHeight="1">
      <c r="C1677" s="19"/>
      <c r="E1677" s="43"/>
      <c r="F1677" s="43"/>
      <c r="G1677" s="43"/>
      <c r="H1677" s="42"/>
      <c r="I1677" s="12"/>
      <c r="J1677" s="19"/>
      <c r="K1677" s="19"/>
      <c r="L1677" s="40"/>
    </row>
    <row r="1678" ht="22.5" customHeight="1">
      <c r="C1678" s="19"/>
      <c r="E1678" s="43"/>
      <c r="F1678" s="43"/>
      <c r="G1678" s="43"/>
      <c r="H1678" s="42"/>
      <c r="I1678" s="12"/>
      <c r="J1678" s="19"/>
      <c r="K1678" s="19"/>
      <c r="L1678" s="40"/>
    </row>
    <row r="1679" ht="22.5" customHeight="1">
      <c r="C1679" s="19"/>
      <c r="E1679" s="43"/>
      <c r="F1679" s="43"/>
      <c r="G1679" s="43"/>
      <c r="H1679" s="44"/>
      <c r="I1679" s="12"/>
      <c r="J1679" s="19"/>
      <c r="K1679" s="19"/>
      <c r="L1679" s="40"/>
    </row>
    <row r="1680" ht="22.5" customHeight="1">
      <c r="C1680" s="19"/>
      <c r="E1680" s="43"/>
      <c r="F1680" s="43"/>
      <c r="G1680" s="43"/>
      <c r="H1680" s="42"/>
      <c r="I1680" s="12"/>
      <c r="J1680" s="19"/>
      <c r="K1680" s="19"/>
      <c r="L1680" s="40"/>
    </row>
    <row r="1681" ht="22.5" customHeight="1">
      <c r="C1681" s="19"/>
      <c r="E1681" s="43"/>
      <c r="F1681" s="43"/>
      <c r="G1681" s="43"/>
      <c r="H1681" s="44"/>
      <c r="I1681" s="12"/>
      <c r="J1681" s="19"/>
      <c r="K1681" s="19"/>
      <c r="L1681" s="40"/>
    </row>
    <row r="1682" ht="22.5" customHeight="1">
      <c r="C1682" s="19"/>
      <c r="E1682" s="43"/>
      <c r="F1682" s="43"/>
      <c r="G1682" s="43"/>
      <c r="H1682" s="44"/>
      <c r="I1682" s="12"/>
      <c r="J1682" s="19"/>
      <c r="K1682" s="19"/>
      <c r="L1682" s="40"/>
    </row>
    <row r="1683" ht="22.5" customHeight="1">
      <c r="C1683" s="19"/>
      <c r="E1683" s="43"/>
      <c r="F1683" s="43"/>
      <c r="G1683" s="43"/>
      <c r="H1683" s="42"/>
      <c r="I1683" s="12"/>
      <c r="J1683" s="19"/>
      <c r="K1683" s="19"/>
      <c r="L1683" s="40"/>
    </row>
    <row r="1684" ht="22.5" customHeight="1">
      <c r="C1684" s="19"/>
      <c r="E1684" s="43"/>
      <c r="F1684" s="43"/>
      <c r="G1684" s="43"/>
      <c r="H1684" s="42"/>
      <c r="I1684" s="12"/>
      <c r="J1684" s="19"/>
      <c r="K1684" s="19"/>
      <c r="L1684" s="40"/>
    </row>
    <row r="1685" ht="22.5" customHeight="1">
      <c r="C1685" s="19"/>
      <c r="E1685" s="43"/>
      <c r="F1685" s="43"/>
      <c r="G1685" s="43"/>
      <c r="H1685" s="44"/>
      <c r="I1685" s="12"/>
      <c r="J1685" s="19"/>
      <c r="K1685" s="19"/>
      <c r="L1685" s="40"/>
    </row>
    <row r="1686" ht="22.5" customHeight="1">
      <c r="C1686" s="19"/>
      <c r="E1686" s="43"/>
      <c r="F1686" s="43"/>
      <c r="G1686" s="43"/>
      <c r="H1686" s="42"/>
      <c r="I1686" s="12"/>
      <c r="J1686" s="19"/>
      <c r="K1686" s="19"/>
      <c r="L1686" s="40"/>
    </row>
    <row r="1687" ht="22.5" customHeight="1">
      <c r="C1687" s="19"/>
      <c r="E1687" s="43"/>
      <c r="F1687" s="43"/>
      <c r="G1687" s="43"/>
      <c r="H1687" s="42"/>
      <c r="I1687" s="12"/>
      <c r="J1687" s="19"/>
      <c r="K1687" s="19"/>
      <c r="L1687" s="40"/>
    </row>
    <row r="1688" ht="22.5" customHeight="1">
      <c r="C1688" s="19"/>
      <c r="E1688" s="43"/>
      <c r="F1688" s="43"/>
      <c r="G1688" s="43"/>
      <c r="H1688" s="42"/>
      <c r="I1688" s="12"/>
      <c r="J1688" s="19"/>
      <c r="K1688" s="19"/>
      <c r="L1688" s="40"/>
    </row>
    <row r="1689" ht="22.5" customHeight="1">
      <c r="C1689" s="19"/>
      <c r="E1689" s="43"/>
      <c r="F1689" s="43"/>
      <c r="G1689" s="43"/>
      <c r="H1689" s="42"/>
      <c r="I1689" s="12"/>
      <c r="J1689" s="19"/>
      <c r="K1689" s="19"/>
      <c r="L1689" s="40"/>
    </row>
    <row r="1690" ht="22.5" customHeight="1">
      <c r="C1690" s="19"/>
      <c r="E1690" s="43"/>
      <c r="F1690" s="43"/>
      <c r="G1690" s="43"/>
      <c r="H1690" s="42"/>
      <c r="I1690" s="12"/>
      <c r="J1690" s="19"/>
      <c r="K1690" s="19"/>
      <c r="L1690" s="40"/>
    </row>
    <row r="1691" ht="22.5" customHeight="1">
      <c r="C1691" s="19"/>
      <c r="E1691" s="43"/>
      <c r="F1691" s="43"/>
      <c r="G1691" s="43"/>
      <c r="H1691" s="44"/>
      <c r="I1691" s="12"/>
      <c r="J1691" s="19"/>
      <c r="K1691" s="19"/>
      <c r="L1691" s="40"/>
    </row>
    <row r="1692" ht="22.5" customHeight="1">
      <c r="C1692" s="19"/>
      <c r="E1692" s="43"/>
      <c r="F1692" s="43"/>
      <c r="G1692" s="43"/>
      <c r="H1692" s="44"/>
      <c r="I1692" s="12"/>
      <c r="J1692" s="19"/>
      <c r="K1692" s="19"/>
      <c r="L1692" s="40"/>
    </row>
    <row r="1693" ht="22.5" customHeight="1">
      <c r="C1693" s="19"/>
      <c r="E1693" s="43"/>
      <c r="F1693" s="43"/>
      <c r="G1693" s="43"/>
      <c r="H1693" s="42"/>
      <c r="I1693" s="12"/>
      <c r="J1693" s="19"/>
      <c r="K1693" s="19"/>
      <c r="L1693" s="40"/>
    </row>
    <row r="1694" ht="22.5" customHeight="1">
      <c r="C1694" s="19"/>
      <c r="E1694" s="43"/>
      <c r="F1694" s="43"/>
      <c r="G1694" s="43"/>
      <c r="H1694" s="42"/>
      <c r="I1694" s="12"/>
      <c r="J1694" s="19"/>
      <c r="K1694" s="19"/>
      <c r="L1694" s="4"/>
    </row>
    <row r="1695" ht="22.5" customHeight="1">
      <c r="C1695" s="19"/>
      <c r="E1695" s="43"/>
      <c r="F1695" s="43"/>
      <c r="G1695" s="43"/>
      <c r="H1695" s="44"/>
      <c r="I1695" s="12"/>
      <c r="J1695" s="19"/>
      <c r="K1695" s="19"/>
      <c r="L1695" s="40"/>
    </row>
    <row r="1696" ht="22.5" customHeight="1">
      <c r="C1696" s="19"/>
      <c r="E1696" s="43"/>
      <c r="F1696" s="43"/>
      <c r="G1696" s="43"/>
      <c r="H1696" s="42"/>
      <c r="I1696" s="12"/>
      <c r="J1696" s="19"/>
      <c r="K1696" s="19"/>
      <c r="L1696" s="40"/>
    </row>
    <row r="1697" ht="22.5" customHeight="1">
      <c r="C1697" s="19"/>
      <c r="E1697" s="43"/>
      <c r="F1697" s="43"/>
      <c r="G1697" s="43"/>
      <c r="H1697" s="42"/>
      <c r="I1697" s="12"/>
      <c r="J1697" s="19"/>
      <c r="K1697" s="19"/>
      <c r="L1697" s="40"/>
    </row>
    <row r="1698" ht="22.5" customHeight="1">
      <c r="C1698" s="19"/>
      <c r="E1698" s="43"/>
      <c r="F1698" s="43"/>
      <c r="G1698" s="43"/>
      <c r="H1698" s="44"/>
      <c r="I1698" s="12"/>
      <c r="J1698" s="19"/>
      <c r="K1698" s="19"/>
      <c r="L1698" s="4"/>
    </row>
    <row r="1699" ht="22.5" customHeight="1">
      <c r="C1699" s="19"/>
      <c r="E1699" s="43"/>
      <c r="F1699" s="43"/>
      <c r="G1699" s="43"/>
      <c r="H1699" s="42"/>
      <c r="I1699" s="12"/>
      <c r="J1699" s="19"/>
      <c r="K1699" s="19"/>
      <c r="L1699" s="40"/>
    </row>
    <row r="1700" ht="22.5" customHeight="1">
      <c r="C1700" s="19"/>
      <c r="E1700" s="43"/>
      <c r="F1700" s="43"/>
      <c r="G1700" s="43"/>
      <c r="H1700" s="42"/>
      <c r="I1700" s="12"/>
      <c r="J1700" s="19"/>
      <c r="K1700" s="19"/>
      <c r="L1700" s="40"/>
    </row>
    <row r="1701" ht="22.5" customHeight="1">
      <c r="C1701" s="19"/>
      <c r="E1701" s="43"/>
      <c r="F1701" s="43"/>
      <c r="G1701" s="43"/>
      <c r="H1701" s="44"/>
      <c r="I1701" s="12"/>
      <c r="J1701" s="19"/>
      <c r="K1701" s="19"/>
      <c r="L1701" s="40"/>
    </row>
    <row r="1702" ht="22.5" customHeight="1">
      <c r="C1702" s="19"/>
      <c r="E1702" s="43"/>
      <c r="F1702" s="43"/>
      <c r="G1702" s="43"/>
      <c r="H1702" s="42"/>
      <c r="I1702" s="12"/>
      <c r="J1702" s="19"/>
      <c r="K1702" s="19"/>
      <c r="L1702" s="40"/>
    </row>
    <row r="1703" ht="22.5" customHeight="1">
      <c r="C1703" s="19"/>
      <c r="E1703" s="43"/>
      <c r="F1703" s="43"/>
      <c r="G1703" s="43"/>
      <c r="H1703" s="42"/>
      <c r="I1703" s="12"/>
      <c r="J1703" s="19"/>
      <c r="K1703" s="19"/>
      <c r="L1703" s="40"/>
    </row>
    <row r="1704" ht="22.5" customHeight="1">
      <c r="C1704" s="19"/>
      <c r="E1704" s="43"/>
      <c r="F1704" s="43"/>
      <c r="G1704" s="43"/>
      <c r="H1704" s="44"/>
      <c r="I1704" s="12"/>
      <c r="J1704" s="19"/>
      <c r="K1704" s="19"/>
      <c r="L1704" s="40"/>
    </row>
    <row r="1705" ht="22.5" customHeight="1">
      <c r="C1705" s="19"/>
      <c r="E1705" s="43"/>
      <c r="F1705" s="43"/>
      <c r="G1705" s="43"/>
      <c r="H1705" s="42"/>
      <c r="I1705" s="12"/>
      <c r="J1705" s="19"/>
      <c r="K1705" s="19"/>
      <c r="L1705" s="40"/>
    </row>
    <row r="1706" ht="22.5" customHeight="1">
      <c r="C1706" s="19"/>
      <c r="E1706" s="43"/>
      <c r="F1706" s="43"/>
      <c r="G1706" s="43"/>
      <c r="H1706" s="44"/>
      <c r="I1706" s="12"/>
      <c r="J1706" s="19"/>
      <c r="K1706" s="19"/>
      <c r="L1706" s="40"/>
    </row>
    <row r="1707" ht="22.5" customHeight="1">
      <c r="C1707" s="19"/>
      <c r="E1707" s="43"/>
      <c r="F1707" s="43"/>
      <c r="G1707" s="43"/>
      <c r="H1707" s="42"/>
      <c r="I1707" s="12"/>
      <c r="J1707" s="19"/>
      <c r="K1707" s="19"/>
      <c r="L1707" s="40"/>
    </row>
    <row r="1708" ht="22.5" customHeight="1">
      <c r="C1708" s="19"/>
      <c r="E1708" s="43"/>
      <c r="F1708" s="43"/>
      <c r="G1708" s="43"/>
      <c r="H1708" s="42"/>
      <c r="I1708" s="12"/>
      <c r="J1708" s="19"/>
      <c r="K1708" s="19"/>
      <c r="L1708" s="40"/>
    </row>
    <row r="1709" ht="22.5" customHeight="1">
      <c r="C1709" s="19"/>
      <c r="E1709" s="43"/>
      <c r="F1709" s="43"/>
      <c r="G1709" s="43"/>
      <c r="H1709" s="42"/>
      <c r="I1709" s="12"/>
      <c r="J1709" s="19"/>
      <c r="K1709" s="19"/>
      <c r="L1709" s="40"/>
    </row>
    <row r="1710" ht="22.5" customHeight="1">
      <c r="C1710" s="19"/>
      <c r="E1710" s="43"/>
      <c r="F1710" s="43"/>
      <c r="G1710" s="43"/>
      <c r="H1710" s="44"/>
      <c r="I1710" s="12"/>
      <c r="J1710" s="19"/>
      <c r="K1710" s="19"/>
      <c r="L1710" s="40"/>
    </row>
    <row r="1711" ht="22.5" customHeight="1">
      <c r="C1711" s="19"/>
      <c r="E1711" s="43"/>
      <c r="F1711" s="43"/>
      <c r="G1711" s="43"/>
      <c r="H1711" s="44"/>
      <c r="I1711" s="12"/>
      <c r="J1711" s="19"/>
      <c r="K1711" s="19"/>
      <c r="L1711" s="40"/>
    </row>
    <row r="1712" ht="22.5" customHeight="1">
      <c r="C1712" s="19"/>
      <c r="E1712" s="43"/>
      <c r="F1712" s="43"/>
      <c r="G1712" s="43"/>
      <c r="H1712" s="42"/>
      <c r="I1712" s="12"/>
      <c r="J1712" s="19"/>
      <c r="K1712" s="19"/>
      <c r="L1712" s="4"/>
    </row>
    <row r="1713" ht="22.5" customHeight="1">
      <c r="C1713" s="19"/>
      <c r="E1713" s="43"/>
      <c r="F1713" s="43"/>
      <c r="G1713" s="43"/>
      <c r="H1713" s="44"/>
      <c r="I1713" s="12"/>
      <c r="J1713" s="19"/>
      <c r="K1713" s="19"/>
      <c r="L1713" s="40"/>
    </row>
    <row r="1714" ht="22.5" customHeight="1">
      <c r="C1714" s="19"/>
      <c r="E1714" s="43"/>
      <c r="F1714" s="43"/>
      <c r="G1714" s="43"/>
      <c r="H1714" s="44"/>
      <c r="I1714" s="12"/>
      <c r="J1714" s="19"/>
      <c r="K1714" s="19"/>
      <c r="L1714" s="40"/>
    </row>
    <row r="1715" ht="22.5" customHeight="1">
      <c r="C1715" s="19"/>
      <c r="E1715" s="43"/>
      <c r="F1715" s="43"/>
      <c r="G1715" s="43"/>
      <c r="H1715" s="42"/>
      <c r="I1715" s="12"/>
      <c r="J1715" s="19"/>
      <c r="K1715" s="19"/>
      <c r="L1715" s="40"/>
    </row>
    <row r="1716" ht="22.5" customHeight="1">
      <c r="C1716" s="19"/>
      <c r="E1716" s="43"/>
      <c r="F1716" s="43"/>
      <c r="G1716" s="43"/>
      <c r="H1716" s="42"/>
      <c r="I1716" s="12"/>
      <c r="J1716" s="19"/>
      <c r="K1716" s="19"/>
      <c r="L1716" s="40"/>
    </row>
    <row r="1717" ht="22.5" customHeight="1">
      <c r="C1717" s="19"/>
      <c r="E1717" s="43"/>
      <c r="F1717" s="43"/>
      <c r="G1717" s="43"/>
      <c r="H1717" s="42"/>
      <c r="I1717" s="12"/>
      <c r="J1717" s="19"/>
      <c r="K1717" s="19"/>
      <c r="L1717" s="40"/>
    </row>
    <row r="1718" ht="22.5" customHeight="1">
      <c r="C1718" s="19"/>
      <c r="E1718" s="43"/>
      <c r="F1718" s="43"/>
      <c r="G1718" s="43"/>
      <c r="H1718" s="44"/>
      <c r="I1718" s="12"/>
      <c r="J1718" s="19"/>
      <c r="K1718" s="19"/>
      <c r="L1718" s="40"/>
    </row>
    <row r="1719" ht="22.5" customHeight="1">
      <c r="C1719" s="19"/>
      <c r="E1719" s="43"/>
      <c r="F1719" s="43"/>
      <c r="G1719" s="43"/>
      <c r="H1719" s="42"/>
      <c r="I1719" s="12"/>
      <c r="J1719" s="19"/>
      <c r="K1719" s="19"/>
      <c r="L1719" s="40"/>
    </row>
    <row r="1720" ht="22.5" customHeight="1">
      <c r="C1720" s="19"/>
      <c r="E1720" s="43"/>
      <c r="F1720" s="43"/>
      <c r="G1720" s="43"/>
      <c r="H1720" s="42"/>
      <c r="I1720" s="12"/>
      <c r="J1720" s="19"/>
      <c r="K1720" s="19"/>
      <c r="L1720" s="40"/>
    </row>
    <row r="1721" ht="22.5" customHeight="1">
      <c r="C1721" s="19"/>
      <c r="E1721" s="43"/>
      <c r="F1721" s="43"/>
      <c r="G1721" s="43"/>
      <c r="H1721" s="44"/>
      <c r="I1721" s="12"/>
      <c r="J1721" s="19"/>
      <c r="K1721" s="19"/>
      <c r="L1721" s="40"/>
    </row>
    <row r="1722" ht="22.5" customHeight="1">
      <c r="C1722" s="19"/>
      <c r="E1722" s="43"/>
      <c r="F1722" s="43"/>
      <c r="G1722" s="43"/>
      <c r="H1722" s="44"/>
      <c r="I1722" s="12"/>
      <c r="J1722" s="19"/>
      <c r="K1722" s="19"/>
      <c r="L1722" s="40"/>
    </row>
    <row r="1723" ht="22.5" customHeight="1">
      <c r="C1723" s="19"/>
      <c r="E1723" s="43"/>
      <c r="F1723" s="43"/>
      <c r="G1723" s="43"/>
      <c r="H1723" s="44"/>
      <c r="I1723" s="12"/>
      <c r="J1723" s="19"/>
      <c r="K1723" s="19"/>
      <c r="L1723" s="40"/>
    </row>
    <row r="1724" ht="22.5" customHeight="1">
      <c r="C1724" s="19"/>
      <c r="E1724" s="43"/>
      <c r="F1724" s="43"/>
      <c r="G1724" s="43"/>
      <c r="H1724" s="42"/>
      <c r="I1724" s="12"/>
      <c r="J1724" s="19"/>
      <c r="K1724" s="19"/>
      <c r="L1724" s="40"/>
    </row>
    <row r="1725" ht="22.5" customHeight="1">
      <c r="C1725" s="19"/>
      <c r="E1725" s="43"/>
      <c r="F1725" s="43"/>
      <c r="G1725" s="43"/>
      <c r="H1725" s="44"/>
      <c r="I1725" s="12"/>
      <c r="J1725" s="19"/>
      <c r="K1725" s="19"/>
      <c r="L1725" s="40"/>
    </row>
    <row r="1726" ht="22.5" customHeight="1">
      <c r="C1726" s="19"/>
      <c r="E1726" s="43"/>
      <c r="F1726" s="43"/>
      <c r="G1726" s="43"/>
      <c r="H1726" s="44"/>
      <c r="I1726" s="12"/>
      <c r="J1726" s="19"/>
      <c r="K1726" s="19"/>
      <c r="L1726" s="40"/>
    </row>
    <row r="1727" ht="22.5" customHeight="1">
      <c r="C1727" s="19"/>
      <c r="E1727" s="43"/>
      <c r="F1727" s="43"/>
      <c r="G1727" s="43"/>
      <c r="H1727" s="42"/>
      <c r="I1727" s="12"/>
      <c r="J1727" s="19"/>
      <c r="K1727" s="19"/>
      <c r="L1727" s="40"/>
    </row>
    <row r="1728" ht="22.5" customHeight="1">
      <c r="C1728" s="19"/>
      <c r="E1728" s="43"/>
      <c r="F1728" s="43"/>
      <c r="G1728" s="43"/>
      <c r="H1728" s="42"/>
      <c r="I1728" s="12"/>
      <c r="J1728" s="19"/>
      <c r="K1728" s="19"/>
      <c r="L1728" s="40"/>
    </row>
    <row r="1729" ht="22.5" customHeight="1">
      <c r="C1729" s="19"/>
      <c r="E1729" s="43"/>
      <c r="F1729" s="43"/>
      <c r="G1729" s="43"/>
      <c r="H1729" s="42"/>
      <c r="I1729" s="12"/>
      <c r="J1729" s="19"/>
      <c r="K1729" s="19"/>
      <c r="L1729" s="40"/>
    </row>
    <row r="1730" ht="22.5" customHeight="1">
      <c r="C1730" s="19"/>
      <c r="E1730" s="43"/>
      <c r="F1730" s="43"/>
      <c r="G1730" s="43"/>
      <c r="H1730" s="42"/>
      <c r="I1730" s="12"/>
      <c r="J1730" s="19"/>
      <c r="K1730" s="19"/>
      <c r="L1730" s="40"/>
    </row>
    <row r="1731" ht="22.5" customHeight="1">
      <c r="C1731" s="19"/>
      <c r="E1731" s="43"/>
      <c r="F1731" s="43"/>
      <c r="G1731" s="43"/>
      <c r="H1731" s="44"/>
      <c r="I1731" s="12"/>
      <c r="J1731" s="19"/>
      <c r="K1731" s="19"/>
      <c r="L1731" s="40"/>
    </row>
    <row r="1732" ht="22.5" customHeight="1">
      <c r="C1732" s="19"/>
      <c r="E1732" s="43"/>
      <c r="F1732" s="43"/>
      <c r="G1732" s="43"/>
      <c r="H1732" s="42"/>
      <c r="I1732" s="12"/>
      <c r="J1732" s="19"/>
      <c r="K1732" s="19"/>
      <c r="L1732" s="40"/>
    </row>
    <row r="1733" ht="22.5" customHeight="1">
      <c r="C1733" s="19"/>
      <c r="E1733" s="43"/>
      <c r="F1733" s="43"/>
      <c r="G1733" s="43"/>
      <c r="H1733" s="42"/>
      <c r="I1733" s="12"/>
      <c r="J1733" s="19"/>
      <c r="K1733" s="19"/>
      <c r="L1733" s="40"/>
    </row>
    <row r="1734" ht="22.5" customHeight="1">
      <c r="C1734" s="19"/>
      <c r="E1734" s="43"/>
      <c r="F1734" s="43"/>
      <c r="G1734" s="43"/>
      <c r="H1734" s="42"/>
      <c r="I1734" s="12"/>
      <c r="J1734" s="19"/>
      <c r="K1734" s="19"/>
      <c r="L1734" s="40"/>
    </row>
    <row r="1735" ht="22.5" customHeight="1">
      <c r="C1735" s="19"/>
      <c r="E1735" s="43"/>
      <c r="F1735" s="43"/>
      <c r="G1735" s="43"/>
      <c r="H1735" s="44"/>
      <c r="I1735" s="12"/>
      <c r="J1735" s="19"/>
      <c r="K1735" s="19"/>
      <c r="L1735" s="40"/>
    </row>
    <row r="1736" ht="22.5" customHeight="1">
      <c r="C1736" s="19"/>
      <c r="E1736" s="43"/>
      <c r="F1736" s="43"/>
      <c r="G1736" s="43"/>
      <c r="H1736" s="44"/>
      <c r="I1736" s="12"/>
      <c r="J1736" s="19"/>
      <c r="K1736" s="19"/>
      <c r="L1736" s="40"/>
    </row>
    <row r="1737" ht="22.5" customHeight="1">
      <c r="C1737" s="19"/>
      <c r="E1737" s="43"/>
      <c r="F1737" s="43"/>
      <c r="G1737" s="43"/>
      <c r="H1737" s="42"/>
      <c r="I1737" s="12"/>
      <c r="J1737" s="19"/>
      <c r="K1737" s="19"/>
      <c r="L1737" s="40"/>
    </row>
    <row r="1738" ht="22.5" customHeight="1">
      <c r="C1738" s="19"/>
      <c r="E1738" s="43"/>
      <c r="F1738" s="43"/>
      <c r="G1738" s="43"/>
      <c r="H1738" s="42"/>
      <c r="I1738" s="12"/>
      <c r="J1738" s="19"/>
      <c r="K1738" s="19"/>
      <c r="L1738" s="40"/>
    </row>
    <row r="1739" ht="22.5" customHeight="1">
      <c r="C1739" s="19"/>
      <c r="E1739" s="43"/>
      <c r="F1739" s="43"/>
      <c r="G1739" s="43"/>
      <c r="H1739" s="44"/>
      <c r="I1739" s="12"/>
      <c r="J1739" s="19"/>
      <c r="K1739" s="19"/>
      <c r="L1739" s="40"/>
    </row>
    <row r="1740" ht="22.5" customHeight="1">
      <c r="C1740" s="19"/>
      <c r="E1740" s="43"/>
      <c r="F1740" s="43"/>
      <c r="G1740" s="43"/>
      <c r="H1740" s="42"/>
      <c r="I1740" s="12"/>
      <c r="J1740" s="19"/>
      <c r="K1740" s="19"/>
      <c r="L1740" s="40"/>
    </row>
    <row r="1741" ht="22.5" customHeight="1">
      <c r="C1741" s="19"/>
      <c r="E1741" s="43"/>
      <c r="F1741" s="43"/>
      <c r="G1741" s="43"/>
      <c r="H1741" s="42"/>
      <c r="I1741" s="12"/>
      <c r="J1741" s="19"/>
      <c r="K1741" s="19"/>
      <c r="L1741" s="40"/>
    </row>
    <row r="1742" ht="22.5" customHeight="1">
      <c r="C1742" s="19"/>
      <c r="E1742" s="43"/>
      <c r="F1742" s="43"/>
      <c r="G1742" s="43"/>
      <c r="H1742" s="44"/>
      <c r="I1742" s="12"/>
      <c r="J1742" s="19"/>
      <c r="K1742" s="19"/>
      <c r="L1742" s="40"/>
    </row>
    <row r="1743" ht="22.5" customHeight="1">
      <c r="C1743" s="19"/>
      <c r="E1743" s="43"/>
      <c r="F1743" s="43"/>
      <c r="G1743" s="43"/>
      <c r="H1743" s="42"/>
      <c r="I1743" s="12"/>
      <c r="J1743" s="19"/>
      <c r="K1743" s="19"/>
      <c r="L1743" s="40"/>
    </row>
    <row r="1744" ht="22.5" customHeight="1">
      <c r="C1744" s="19"/>
      <c r="E1744" s="43"/>
      <c r="F1744" s="43"/>
      <c r="G1744" s="43"/>
      <c r="H1744" s="44"/>
      <c r="I1744" s="12"/>
      <c r="J1744" s="19"/>
      <c r="K1744" s="19"/>
      <c r="L1744" s="40"/>
    </row>
    <row r="1745" ht="22.5" customHeight="1">
      <c r="C1745" s="19"/>
      <c r="E1745" s="43"/>
      <c r="F1745" s="43"/>
      <c r="G1745" s="43"/>
      <c r="H1745" s="42"/>
      <c r="I1745" s="12"/>
      <c r="J1745" s="19"/>
      <c r="K1745" s="19"/>
      <c r="L1745" s="40"/>
    </row>
    <row r="1746" ht="22.5" customHeight="1">
      <c r="C1746" s="19"/>
      <c r="E1746" s="43"/>
      <c r="F1746" s="43"/>
      <c r="G1746" s="43"/>
      <c r="H1746" s="42"/>
      <c r="I1746" s="12"/>
      <c r="J1746" s="19"/>
      <c r="K1746" s="19"/>
      <c r="L1746" s="40"/>
    </row>
    <row r="1747" ht="22.5" customHeight="1">
      <c r="C1747" s="19"/>
      <c r="E1747" s="43"/>
      <c r="F1747" s="43"/>
      <c r="G1747" s="43"/>
      <c r="H1747" s="44"/>
      <c r="I1747" s="12"/>
      <c r="J1747" s="19"/>
      <c r="K1747" s="19"/>
      <c r="L1747" s="40"/>
    </row>
    <row r="1748" ht="22.5" customHeight="1">
      <c r="C1748" s="19"/>
      <c r="E1748" s="43"/>
      <c r="F1748" s="43"/>
      <c r="G1748" s="43"/>
      <c r="H1748" s="42"/>
      <c r="I1748" s="12"/>
      <c r="J1748" s="19"/>
      <c r="K1748" s="19"/>
      <c r="L1748" s="40"/>
    </row>
    <row r="1749" ht="22.5" customHeight="1">
      <c r="C1749" s="19"/>
      <c r="E1749" s="43"/>
      <c r="F1749" s="43"/>
      <c r="G1749" s="43"/>
      <c r="H1749" s="44"/>
      <c r="I1749" s="12"/>
      <c r="J1749" s="19"/>
      <c r="K1749" s="19"/>
      <c r="L1749" s="40"/>
    </row>
    <row r="1750" ht="22.5" customHeight="1">
      <c r="C1750" s="19"/>
      <c r="E1750" s="43"/>
      <c r="F1750" s="43"/>
      <c r="G1750" s="43"/>
      <c r="H1750" s="42"/>
      <c r="I1750" s="12"/>
      <c r="J1750" s="19"/>
      <c r="K1750" s="19"/>
      <c r="L1750" s="40"/>
    </row>
    <row r="1751" ht="22.5" customHeight="1">
      <c r="C1751" s="19"/>
      <c r="E1751" s="43"/>
      <c r="F1751" s="43"/>
      <c r="G1751" s="43"/>
      <c r="H1751" s="44"/>
      <c r="I1751" s="12"/>
      <c r="J1751" s="19"/>
      <c r="K1751" s="19"/>
      <c r="L1751" s="40"/>
    </row>
    <row r="1752" ht="22.5" customHeight="1">
      <c r="C1752" s="19"/>
      <c r="E1752" s="43"/>
      <c r="F1752" s="43"/>
      <c r="G1752" s="43"/>
      <c r="H1752" s="44"/>
      <c r="I1752" s="12"/>
      <c r="J1752" s="19"/>
      <c r="K1752" s="19"/>
      <c r="L1752" s="40"/>
    </row>
    <row r="1753" ht="22.5" customHeight="1">
      <c r="C1753" s="19"/>
      <c r="E1753" s="43"/>
      <c r="F1753" s="43"/>
      <c r="G1753" s="43"/>
      <c r="H1753" s="44"/>
      <c r="I1753" s="12"/>
      <c r="J1753" s="19"/>
      <c r="K1753" s="19"/>
      <c r="L1753" s="40"/>
    </row>
    <row r="1754" ht="22.5" customHeight="1">
      <c r="C1754" s="19"/>
      <c r="E1754" s="43"/>
      <c r="F1754" s="43"/>
      <c r="G1754" s="43"/>
      <c r="H1754" s="44"/>
      <c r="I1754" s="12"/>
      <c r="J1754" s="19"/>
      <c r="K1754" s="19"/>
      <c r="L1754" s="40"/>
    </row>
    <row r="1755" ht="22.5" customHeight="1">
      <c r="C1755" s="19"/>
      <c r="E1755" s="43"/>
      <c r="F1755" s="43"/>
      <c r="G1755" s="43"/>
      <c r="H1755" s="42"/>
      <c r="I1755" s="12"/>
      <c r="J1755" s="19"/>
      <c r="K1755" s="19"/>
      <c r="L1755" s="40"/>
    </row>
    <row r="1756" ht="22.5" customHeight="1">
      <c r="C1756" s="19"/>
      <c r="E1756" s="43"/>
      <c r="F1756" s="43"/>
      <c r="G1756" s="43"/>
      <c r="H1756" s="44"/>
      <c r="I1756" s="12"/>
      <c r="J1756" s="19"/>
      <c r="K1756" s="19"/>
      <c r="L1756" s="40"/>
    </row>
    <row r="1757" ht="22.5" customHeight="1">
      <c r="C1757" s="19"/>
      <c r="E1757" s="43"/>
      <c r="F1757" s="43"/>
      <c r="G1757" s="43"/>
      <c r="H1757" s="44"/>
      <c r="I1757" s="12"/>
      <c r="J1757" s="19"/>
      <c r="K1757" s="19"/>
      <c r="L1757" s="40"/>
    </row>
    <row r="1758" ht="22.5" customHeight="1">
      <c r="C1758" s="19"/>
      <c r="E1758" s="43"/>
      <c r="F1758" s="43"/>
      <c r="G1758" s="43"/>
      <c r="H1758" s="44"/>
      <c r="I1758" s="12"/>
      <c r="J1758" s="19"/>
      <c r="K1758" s="19"/>
      <c r="L1758" s="40"/>
    </row>
    <row r="1759" ht="22.5" customHeight="1">
      <c r="C1759" s="19"/>
      <c r="E1759" s="43"/>
      <c r="F1759" s="43"/>
      <c r="G1759" s="43"/>
      <c r="H1759" s="44"/>
      <c r="I1759" s="12"/>
      <c r="J1759" s="19"/>
      <c r="K1759" s="19"/>
      <c r="L1759" s="40"/>
    </row>
    <row r="1760" ht="22.5" customHeight="1">
      <c r="C1760" s="19"/>
      <c r="E1760" s="43"/>
      <c r="F1760" s="43"/>
      <c r="G1760" s="43"/>
      <c r="H1760" s="44"/>
      <c r="I1760" s="12"/>
      <c r="J1760" s="19"/>
      <c r="K1760" s="19"/>
      <c r="L1760" s="40"/>
    </row>
    <row r="1761" ht="22.5" customHeight="1">
      <c r="C1761" s="19"/>
      <c r="E1761" s="43"/>
      <c r="F1761" s="43"/>
      <c r="G1761" s="43"/>
      <c r="H1761" s="42"/>
      <c r="I1761" s="12"/>
      <c r="J1761" s="19"/>
      <c r="K1761" s="19"/>
      <c r="L1761" s="40"/>
    </row>
    <row r="1762" ht="22.5" customHeight="1">
      <c r="C1762" s="19"/>
      <c r="E1762" s="43"/>
      <c r="F1762" s="43"/>
      <c r="G1762" s="43"/>
      <c r="H1762" s="44"/>
      <c r="I1762" s="12"/>
      <c r="J1762" s="19"/>
      <c r="K1762" s="19"/>
      <c r="L1762" s="40"/>
    </row>
    <row r="1763" ht="22.5" customHeight="1">
      <c r="C1763" s="19"/>
      <c r="E1763" s="43"/>
      <c r="F1763" s="43"/>
      <c r="G1763" s="43"/>
      <c r="H1763" s="42"/>
      <c r="I1763" s="12"/>
      <c r="J1763" s="19"/>
      <c r="K1763" s="19"/>
      <c r="L1763" s="40"/>
    </row>
    <row r="1764" ht="22.5" customHeight="1">
      <c r="C1764" s="19"/>
      <c r="E1764" s="43"/>
      <c r="F1764" s="43"/>
      <c r="G1764" s="43"/>
      <c r="H1764" s="44"/>
      <c r="I1764" s="12"/>
      <c r="J1764" s="19"/>
      <c r="K1764" s="19"/>
      <c r="L1764" s="40"/>
    </row>
    <row r="1765" ht="22.5" customHeight="1">
      <c r="C1765" s="19"/>
      <c r="E1765" s="43"/>
      <c r="F1765" s="43"/>
      <c r="G1765" s="43"/>
      <c r="H1765" s="44"/>
      <c r="I1765" s="12"/>
      <c r="J1765" s="19"/>
      <c r="K1765" s="19"/>
      <c r="L1765" s="40"/>
    </row>
    <row r="1766" ht="22.5" customHeight="1">
      <c r="C1766" s="19"/>
      <c r="E1766" s="43"/>
      <c r="F1766" s="43"/>
      <c r="G1766" s="43"/>
      <c r="H1766" s="42"/>
      <c r="I1766" s="12"/>
      <c r="J1766" s="19"/>
      <c r="K1766" s="19"/>
      <c r="L1766" s="40"/>
    </row>
    <row r="1767" ht="22.5" customHeight="1">
      <c r="C1767" s="19"/>
      <c r="E1767" s="43"/>
      <c r="F1767" s="43"/>
      <c r="G1767" s="43"/>
      <c r="H1767" s="44"/>
      <c r="I1767" s="12"/>
      <c r="J1767" s="19"/>
      <c r="K1767" s="19"/>
      <c r="L1767" s="40"/>
    </row>
    <row r="1768" ht="22.5" customHeight="1">
      <c r="C1768" s="19"/>
      <c r="E1768" s="43"/>
      <c r="F1768" s="43"/>
      <c r="G1768" s="43"/>
      <c r="H1768" s="44"/>
      <c r="I1768" s="12"/>
      <c r="J1768" s="19"/>
      <c r="K1768" s="19"/>
      <c r="L1768" s="40"/>
    </row>
    <row r="1769" ht="22.5" customHeight="1">
      <c r="C1769" s="19"/>
      <c r="E1769" s="43"/>
      <c r="F1769" s="43"/>
      <c r="G1769" s="43"/>
      <c r="H1769" s="42"/>
      <c r="I1769" s="12"/>
      <c r="J1769" s="19"/>
      <c r="K1769" s="19"/>
      <c r="L1769" s="40"/>
    </row>
    <row r="1770" ht="22.5" customHeight="1">
      <c r="C1770" s="19"/>
      <c r="E1770" s="43"/>
      <c r="F1770" s="43"/>
      <c r="G1770" s="43"/>
      <c r="H1770" s="44"/>
      <c r="I1770" s="12"/>
      <c r="J1770" s="19"/>
      <c r="K1770" s="19"/>
      <c r="L1770" s="40"/>
    </row>
    <row r="1771" ht="22.5" customHeight="1">
      <c r="C1771" s="19"/>
      <c r="E1771" s="43"/>
      <c r="F1771" s="43"/>
      <c r="G1771" s="43"/>
      <c r="H1771" s="44"/>
      <c r="I1771" s="12"/>
      <c r="J1771" s="19"/>
      <c r="K1771" s="19"/>
      <c r="L1771" s="4"/>
    </row>
    <row r="1772" ht="22.5" customHeight="1">
      <c r="C1772" s="19"/>
      <c r="E1772" s="43"/>
      <c r="F1772" s="43"/>
      <c r="G1772" s="43"/>
      <c r="H1772" s="42"/>
      <c r="I1772" s="12"/>
      <c r="J1772" s="19"/>
      <c r="K1772" s="19"/>
      <c r="L1772" s="40"/>
    </row>
    <row r="1773" ht="22.5" customHeight="1">
      <c r="C1773" s="19"/>
      <c r="E1773" s="43"/>
      <c r="F1773" s="43"/>
      <c r="G1773" s="43"/>
      <c r="H1773" s="44"/>
      <c r="I1773" s="12"/>
      <c r="J1773" s="19"/>
      <c r="K1773" s="19"/>
      <c r="L1773" s="40"/>
    </row>
    <row r="1774" ht="22.5" customHeight="1">
      <c r="C1774" s="19"/>
      <c r="E1774" s="43"/>
      <c r="F1774" s="43"/>
      <c r="G1774" s="43"/>
      <c r="H1774" s="42"/>
      <c r="I1774" s="12"/>
      <c r="J1774" s="19"/>
      <c r="K1774" s="19"/>
      <c r="L1774" s="40"/>
    </row>
    <row r="1775" ht="22.5" customHeight="1">
      <c r="C1775" s="19"/>
      <c r="E1775" s="43"/>
      <c r="F1775" s="43"/>
      <c r="G1775" s="43"/>
      <c r="H1775" s="42"/>
      <c r="I1775" s="12"/>
      <c r="J1775" s="19"/>
      <c r="K1775" s="19"/>
      <c r="L1775" s="4"/>
    </row>
    <row r="1776" ht="22.5" customHeight="1">
      <c r="C1776" s="19"/>
      <c r="E1776" s="43"/>
      <c r="F1776" s="43"/>
      <c r="G1776" s="43"/>
      <c r="H1776" s="42"/>
      <c r="I1776" s="12"/>
      <c r="J1776" s="19"/>
      <c r="K1776" s="19"/>
      <c r="L1776" s="40"/>
    </row>
    <row r="1777" ht="22.5" customHeight="1">
      <c r="C1777" s="19"/>
      <c r="E1777" s="43"/>
      <c r="F1777" s="43"/>
      <c r="G1777" s="43"/>
      <c r="H1777" s="42"/>
      <c r="I1777" s="12"/>
      <c r="J1777" s="19"/>
      <c r="K1777" s="19"/>
      <c r="L1777" s="40"/>
    </row>
    <row r="1778" ht="22.5" customHeight="1">
      <c r="C1778" s="19"/>
      <c r="E1778" s="43"/>
      <c r="F1778" s="43"/>
      <c r="G1778" s="43"/>
      <c r="H1778" s="42"/>
      <c r="I1778" s="12"/>
      <c r="J1778" s="19"/>
      <c r="K1778" s="19"/>
      <c r="L1778" s="40"/>
    </row>
    <row r="1779" ht="22.5" customHeight="1">
      <c r="C1779" s="19"/>
      <c r="E1779" s="43"/>
      <c r="F1779" s="43"/>
      <c r="G1779" s="43"/>
      <c r="H1779" s="44"/>
      <c r="I1779" s="12"/>
      <c r="J1779" s="19"/>
      <c r="K1779" s="19"/>
      <c r="L1779" s="40"/>
    </row>
    <row r="1780" ht="22.5" customHeight="1">
      <c r="C1780" s="19"/>
      <c r="E1780" s="43"/>
      <c r="F1780" s="43"/>
      <c r="G1780" s="43"/>
      <c r="H1780" s="42"/>
      <c r="I1780" s="12"/>
      <c r="J1780" s="19"/>
      <c r="K1780" s="19"/>
      <c r="L1780" s="40"/>
    </row>
    <row r="1781" ht="22.5" customHeight="1">
      <c r="C1781" s="19"/>
      <c r="E1781" s="43"/>
      <c r="F1781" s="43"/>
      <c r="G1781" s="43"/>
      <c r="H1781" s="42"/>
      <c r="I1781" s="12"/>
      <c r="J1781" s="19"/>
      <c r="K1781" s="19"/>
      <c r="L1781" s="40"/>
    </row>
    <row r="1782" ht="22.5" customHeight="1">
      <c r="C1782" s="19"/>
      <c r="E1782" s="43"/>
      <c r="F1782" s="43"/>
      <c r="G1782" s="43"/>
      <c r="H1782" s="42"/>
      <c r="I1782" s="12"/>
      <c r="J1782" s="19"/>
      <c r="K1782" s="19"/>
      <c r="L1782" s="40"/>
    </row>
    <row r="1783" ht="22.5" customHeight="1">
      <c r="C1783" s="19"/>
      <c r="E1783" s="43"/>
      <c r="F1783" s="43"/>
      <c r="G1783" s="43"/>
      <c r="H1783" s="44"/>
      <c r="I1783" s="12"/>
      <c r="J1783" s="19"/>
      <c r="K1783" s="19"/>
      <c r="L1783" s="40"/>
    </row>
    <row r="1784" ht="22.5" customHeight="1">
      <c r="C1784" s="19"/>
      <c r="E1784" s="43"/>
      <c r="F1784" s="43"/>
      <c r="G1784" s="43"/>
      <c r="H1784" s="42"/>
      <c r="I1784" s="12"/>
      <c r="J1784" s="19"/>
      <c r="K1784" s="19"/>
      <c r="L1784" s="40"/>
    </row>
    <row r="1785" ht="22.5" customHeight="1">
      <c r="C1785" s="19"/>
      <c r="E1785" s="43"/>
      <c r="F1785" s="43"/>
      <c r="G1785" s="43"/>
      <c r="H1785" s="44"/>
      <c r="I1785" s="12"/>
      <c r="J1785" s="19"/>
      <c r="K1785" s="19"/>
      <c r="L1785" s="40"/>
    </row>
    <row r="1786" ht="22.5" customHeight="1">
      <c r="C1786" s="19"/>
      <c r="E1786" s="43"/>
      <c r="F1786" s="43"/>
      <c r="G1786" s="43"/>
      <c r="H1786" s="44"/>
      <c r="I1786" s="12"/>
      <c r="J1786" s="19"/>
      <c r="K1786" s="19"/>
      <c r="L1786" s="40"/>
    </row>
    <row r="1787" ht="22.5" customHeight="1">
      <c r="C1787" s="19"/>
      <c r="E1787" s="43"/>
      <c r="F1787" s="43"/>
      <c r="G1787" s="43"/>
      <c r="H1787" s="44"/>
      <c r="I1787" s="12"/>
      <c r="J1787" s="19"/>
      <c r="K1787" s="19"/>
      <c r="L1787" s="40"/>
    </row>
    <row r="1788" ht="22.5" customHeight="1">
      <c r="C1788" s="19"/>
      <c r="E1788" s="43"/>
      <c r="F1788" s="43"/>
      <c r="G1788" s="43"/>
      <c r="H1788" s="44"/>
      <c r="I1788" s="12"/>
      <c r="J1788" s="19"/>
      <c r="K1788" s="19"/>
      <c r="L1788" s="40"/>
    </row>
    <row r="1789" ht="22.5" customHeight="1">
      <c r="C1789" s="19"/>
      <c r="E1789" s="43"/>
      <c r="F1789" s="43"/>
      <c r="G1789" s="43"/>
      <c r="H1789" s="44"/>
      <c r="I1789" s="12"/>
      <c r="J1789" s="19"/>
      <c r="K1789" s="19"/>
      <c r="L1789" s="40"/>
    </row>
    <row r="1790" ht="22.5" customHeight="1">
      <c r="C1790" s="19"/>
      <c r="E1790" s="43"/>
      <c r="F1790" s="43"/>
      <c r="G1790" s="43"/>
      <c r="H1790" s="44"/>
      <c r="I1790" s="12"/>
      <c r="J1790" s="19"/>
      <c r="K1790" s="19"/>
      <c r="L1790" s="40"/>
    </row>
    <row r="1791" ht="22.5" customHeight="1">
      <c r="C1791" s="19"/>
      <c r="E1791" s="43"/>
      <c r="F1791" s="43"/>
      <c r="G1791" s="43"/>
      <c r="H1791" s="42"/>
      <c r="I1791" s="12"/>
      <c r="J1791" s="19"/>
      <c r="K1791" s="19"/>
      <c r="L1791" s="40"/>
    </row>
    <row r="1792" ht="22.5" customHeight="1">
      <c r="C1792" s="19"/>
      <c r="E1792" s="43"/>
      <c r="F1792" s="43"/>
      <c r="G1792" s="43"/>
      <c r="H1792" s="44"/>
      <c r="I1792" s="12"/>
      <c r="J1792" s="19"/>
      <c r="K1792" s="19"/>
      <c r="L1792" s="40"/>
    </row>
    <row r="1793" ht="22.5" customHeight="1">
      <c r="C1793" s="19"/>
      <c r="E1793" s="43"/>
      <c r="F1793" s="43"/>
      <c r="G1793" s="43"/>
      <c r="H1793" s="44"/>
      <c r="I1793" s="12"/>
      <c r="J1793" s="19"/>
      <c r="K1793" s="19"/>
      <c r="L1793" s="40"/>
    </row>
    <row r="1794" ht="22.5" customHeight="1">
      <c r="C1794" s="19"/>
      <c r="E1794" s="43"/>
      <c r="F1794" s="43"/>
      <c r="G1794" s="43"/>
      <c r="H1794" s="42"/>
      <c r="I1794" s="12"/>
      <c r="J1794" s="19"/>
      <c r="K1794" s="19"/>
      <c r="L1794" s="40"/>
    </row>
    <row r="1795" ht="22.5" customHeight="1">
      <c r="C1795" s="19"/>
      <c r="E1795" s="43"/>
      <c r="F1795" s="43"/>
      <c r="G1795" s="43"/>
      <c r="H1795" s="44"/>
      <c r="I1795" s="12"/>
      <c r="J1795" s="19"/>
      <c r="K1795" s="19"/>
      <c r="L1795" s="40"/>
    </row>
    <row r="1796" ht="22.5" customHeight="1">
      <c r="C1796" s="19"/>
      <c r="E1796" s="43"/>
      <c r="F1796" s="43"/>
      <c r="G1796" s="43"/>
      <c r="H1796" s="42"/>
      <c r="I1796" s="12"/>
      <c r="J1796" s="19"/>
      <c r="K1796" s="19"/>
      <c r="L1796" s="40"/>
    </row>
    <row r="1797" ht="22.5" customHeight="1">
      <c r="C1797" s="19"/>
      <c r="E1797" s="43"/>
      <c r="F1797" s="43"/>
      <c r="G1797" s="43"/>
      <c r="H1797" s="44"/>
      <c r="I1797" s="12"/>
      <c r="J1797" s="19"/>
      <c r="K1797" s="19"/>
      <c r="L1797" s="40"/>
    </row>
    <row r="1798" ht="22.5" customHeight="1">
      <c r="C1798" s="19"/>
      <c r="E1798" s="43"/>
      <c r="F1798" s="43"/>
      <c r="G1798" s="43"/>
      <c r="H1798" s="42"/>
      <c r="I1798" s="12"/>
      <c r="J1798" s="19"/>
      <c r="K1798" s="19"/>
      <c r="L1798" s="40"/>
    </row>
    <row r="1799" ht="22.5" customHeight="1">
      <c r="C1799" s="19"/>
      <c r="E1799" s="43"/>
      <c r="F1799" s="43"/>
      <c r="G1799" s="43"/>
      <c r="H1799" s="44"/>
      <c r="I1799" s="12"/>
      <c r="J1799" s="19"/>
      <c r="K1799" s="19"/>
      <c r="L1799" s="40"/>
    </row>
    <row r="1800" ht="22.5" customHeight="1">
      <c r="C1800" s="19"/>
      <c r="E1800" s="43"/>
      <c r="F1800" s="43"/>
      <c r="G1800" s="43"/>
      <c r="H1800" s="44"/>
      <c r="I1800" s="12"/>
      <c r="J1800" s="19"/>
      <c r="K1800" s="19"/>
      <c r="L1800" s="40"/>
    </row>
    <row r="1801" ht="22.5" customHeight="1">
      <c r="C1801" s="19"/>
      <c r="E1801" s="43"/>
      <c r="F1801" s="43"/>
      <c r="G1801" s="43"/>
      <c r="H1801" s="44"/>
      <c r="I1801" s="12"/>
      <c r="J1801" s="19"/>
      <c r="K1801" s="19"/>
      <c r="L1801" s="40"/>
    </row>
    <row r="1802" ht="22.5" customHeight="1">
      <c r="C1802" s="19"/>
      <c r="E1802" s="43"/>
      <c r="F1802" s="43"/>
      <c r="G1802" s="43"/>
      <c r="H1802" s="44"/>
      <c r="I1802" s="12"/>
      <c r="J1802" s="19"/>
      <c r="K1802" s="19"/>
      <c r="L1802" s="40"/>
    </row>
    <row r="1803" ht="22.5" customHeight="1">
      <c r="C1803" s="19"/>
      <c r="E1803" s="43"/>
      <c r="F1803" s="43"/>
      <c r="G1803" s="43"/>
      <c r="H1803" s="44"/>
      <c r="I1803" s="12"/>
      <c r="J1803" s="19"/>
      <c r="K1803" s="19"/>
      <c r="L1803" s="40"/>
    </row>
    <row r="1804" ht="22.5" customHeight="1">
      <c r="C1804" s="19"/>
      <c r="E1804" s="43"/>
      <c r="F1804" s="43"/>
      <c r="G1804" s="43"/>
      <c r="H1804" s="42"/>
      <c r="I1804" s="12"/>
      <c r="J1804" s="19"/>
      <c r="K1804" s="19"/>
      <c r="L1804" s="40"/>
    </row>
    <row r="1805" ht="22.5" customHeight="1">
      <c r="C1805" s="19"/>
      <c r="E1805" s="43"/>
      <c r="F1805" s="43"/>
      <c r="G1805" s="43"/>
      <c r="H1805" s="42"/>
      <c r="I1805" s="12"/>
      <c r="J1805" s="19"/>
      <c r="K1805" s="19"/>
      <c r="L1805" s="40"/>
    </row>
    <row r="1806" ht="22.5" customHeight="1">
      <c r="C1806" s="19"/>
      <c r="E1806" s="43"/>
      <c r="F1806" s="43"/>
      <c r="G1806" s="43"/>
      <c r="H1806" s="44"/>
      <c r="I1806" s="12"/>
      <c r="J1806" s="19"/>
      <c r="K1806" s="19"/>
      <c r="L1806" s="40"/>
    </row>
    <row r="1807" ht="22.5" customHeight="1">
      <c r="C1807" s="19"/>
      <c r="E1807" s="43"/>
      <c r="F1807" s="43"/>
      <c r="G1807" s="43"/>
      <c r="H1807" s="42"/>
      <c r="I1807" s="12"/>
      <c r="J1807" s="19"/>
      <c r="K1807" s="19"/>
      <c r="L1807" s="40"/>
    </row>
    <row r="1808" ht="22.5" customHeight="1">
      <c r="C1808" s="19"/>
      <c r="E1808" s="43"/>
      <c r="F1808" s="43"/>
      <c r="G1808" s="43"/>
      <c r="H1808" s="42"/>
      <c r="I1808" s="12"/>
      <c r="J1808" s="19"/>
      <c r="K1808" s="19"/>
      <c r="L1808" s="40"/>
    </row>
    <row r="1809" ht="22.5" customHeight="1">
      <c r="C1809" s="19"/>
      <c r="E1809" s="43"/>
      <c r="F1809" s="43"/>
      <c r="G1809" s="43"/>
      <c r="H1809" s="44"/>
      <c r="I1809" s="12"/>
      <c r="J1809" s="19"/>
      <c r="K1809" s="19"/>
      <c r="L1809" s="40"/>
    </row>
    <row r="1810" ht="22.5" customHeight="1">
      <c r="C1810" s="19"/>
      <c r="E1810" s="43"/>
      <c r="F1810" s="43"/>
      <c r="G1810" s="43"/>
      <c r="H1810" s="44"/>
      <c r="I1810" s="12"/>
      <c r="J1810" s="19"/>
      <c r="K1810" s="19"/>
      <c r="L1810" s="40"/>
    </row>
    <row r="1811" ht="22.5" customHeight="1">
      <c r="C1811" s="19"/>
      <c r="E1811" s="43"/>
      <c r="F1811" s="43"/>
      <c r="G1811" s="43"/>
      <c r="H1811" s="44"/>
      <c r="I1811" s="12"/>
      <c r="J1811" s="19"/>
      <c r="K1811" s="19"/>
      <c r="L1811" s="40"/>
    </row>
    <row r="1812" ht="22.5" customHeight="1">
      <c r="C1812" s="19"/>
      <c r="E1812" s="43"/>
      <c r="F1812" s="43"/>
      <c r="G1812" s="43"/>
      <c r="H1812" s="44"/>
      <c r="I1812" s="12"/>
      <c r="J1812" s="19"/>
      <c r="K1812" s="19"/>
      <c r="L1812" s="40"/>
    </row>
    <row r="1813" ht="22.5" customHeight="1">
      <c r="C1813" s="19"/>
      <c r="E1813" s="43"/>
      <c r="F1813" s="43"/>
      <c r="G1813" s="43"/>
      <c r="H1813" s="44"/>
      <c r="I1813" s="12"/>
      <c r="J1813" s="19"/>
      <c r="K1813" s="19"/>
      <c r="L1813" s="40"/>
    </row>
    <row r="1814" ht="22.5" customHeight="1">
      <c r="C1814" s="19"/>
      <c r="E1814" s="43"/>
      <c r="F1814" s="43"/>
      <c r="G1814" s="43"/>
      <c r="H1814" s="44"/>
      <c r="I1814" s="12"/>
      <c r="J1814" s="19"/>
      <c r="K1814" s="19"/>
      <c r="L1814" s="40"/>
    </row>
    <row r="1815" ht="22.5" customHeight="1">
      <c r="C1815" s="19"/>
      <c r="E1815" s="43"/>
      <c r="F1815" s="43"/>
      <c r="G1815" s="43"/>
      <c r="H1815" s="42"/>
      <c r="I1815" s="12"/>
      <c r="J1815" s="19"/>
      <c r="K1815" s="19"/>
      <c r="L1815" s="40"/>
    </row>
    <row r="1816" ht="22.5" customHeight="1">
      <c r="C1816" s="19"/>
      <c r="E1816" s="43"/>
      <c r="F1816" s="43"/>
      <c r="G1816" s="43"/>
      <c r="H1816" s="44"/>
      <c r="I1816" s="12"/>
      <c r="J1816" s="19"/>
      <c r="K1816" s="19"/>
      <c r="L1816" s="40"/>
    </row>
    <row r="1817" ht="22.5" customHeight="1">
      <c r="C1817" s="19"/>
      <c r="E1817" s="43"/>
      <c r="F1817" s="43"/>
      <c r="G1817" s="43"/>
      <c r="H1817" s="44"/>
      <c r="I1817" s="12"/>
      <c r="J1817" s="19"/>
      <c r="K1817" s="19"/>
      <c r="L1817" s="40"/>
    </row>
    <row r="1818" ht="22.5" customHeight="1">
      <c r="C1818" s="19"/>
      <c r="E1818" s="43"/>
      <c r="F1818" s="43"/>
      <c r="G1818" s="43"/>
      <c r="H1818" s="44"/>
      <c r="I1818" s="12"/>
      <c r="J1818" s="19"/>
      <c r="K1818" s="19"/>
      <c r="L1818" s="40"/>
    </row>
    <row r="1819" ht="22.5" customHeight="1">
      <c r="C1819" s="19"/>
      <c r="E1819" s="43"/>
      <c r="F1819" s="43"/>
      <c r="G1819" s="43"/>
      <c r="H1819" s="44"/>
      <c r="I1819" s="12"/>
      <c r="J1819" s="19"/>
      <c r="K1819" s="19"/>
      <c r="L1819" s="40"/>
    </row>
    <row r="1820" ht="22.5" customHeight="1">
      <c r="C1820" s="19"/>
      <c r="E1820" s="43"/>
      <c r="F1820" s="43"/>
      <c r="G1820" s="43"/>
      <c r="H1820" s="42"/>
      <c r="I1820" s="12"/>
      <c r="J1820" s="19"/>
      <c r="K1820" s="19"/>
      <c r="L1820" s="40"/>
    </row>
    <row r="1821" ht="22.5" customHeight="1">
      <c r="C1821" s="19"/>
      <c r="E1821" s="43"/>
      <c r="F1821" s="43"/>
      <c r="G1821" s="43"/>
      <c r="H1821" s="42"/>
      <c r="I1821" s="12"/>
      <c r="J1821" s="19"/>
      <c r="K1821" s="19"/>
      <c r="L1821" s="40"/>
    </row>
    <row r="1822" ht="22.5" customHeight="1">
      <c r="C1822" s="19"/>
      <c r="E1822" s="43"/>
      <c r="F1822" s="43"/>
      <c r="G1822" s="43"/>
      <c r="H1822" s="44"/>
      <c r="I1822" s="12"/>
      <c r="J1822" s="19"/>
      <c r="K1822" s="19"/>
      <c r="L1822" s="40"/>
    </row>
    <row r="1823" ht="22.5" customHeight="1">
      <c r="C1823" s="19"/>
      <c r="E1823" s="43"/>
      <c r="F1823" s="43"/>
      <c r="G1823" s="43"/>
      <c r="H1823" s="42"/>
      <c r="I1823" s="12"/>
      <c r="J1823" s="19"/>
      <c r="K1823" s="19"/>
      <c r="L1823" s="40"/>
    </row>
    <row r="1824" ht="22.5" customHeight="1">
      <c r="C1824" s="19"/>
      <c r="E1824" s="43"/>
      <c r="F1824" s="43"/>
      <c r="G1824" s="43"/>
      <c r="H1824" s="44"/>
      <c r="I1824" s="12"/>
      <c r="J1824" s="19"/>
      <c r="K1824" s="19"/>
      <c r="L1824" s="40"/>
    </row>
    <row r="1825" ht="22.5" customHeight="1">
      <c r="C1825" s="19"/>
      <c r="E1825" s="43"/>
      <c r="F1825" s="43"/>
      <c r="G1825" s="43"/>
      <c r="H1825" s="44"/>
      <c r="I1825" s="12"/>
      <c r="J1825" s="19"/>
      <c r="K1825" s="19"/>
      <c r="L1825" s="40"/>
    </row>
    <row r="1826" ht="22.5" customHeight="1">
      <c r="C1826" s="19"/>
      <c r="E1826" s="43"/>
      <c r="F1826" s="43"/>
      <c r="G1826" s="43"/>
      <c r="H1826" s="42"/>
      <c r="I1826" s="12"/>
      <c r="J1826" s="19"/>
      <c r="K1826" s="19"/>
      <c r="L1826" s="40"/>
    </row>
    <row r="1827" ht="22.5" customHeight="1">
      <c r="C1827" s="19"/>
      <c r="E1827" s="43"/>
      <c r="F1827" s="43"/>
      <c r="G1827" s="43"/>
      <c r="H1827" s="44"/>
      <c r="I1827" s="12"/>
      <c r="J1827" s="19"/>
      <c r="K1827" s="19"/>
      <c r="L1827" s="40"/>
    </row>
    <row r="1828" ht="22.5" customHeight="1">
      <c r="C1828" s="19"/>
      <c r="E1828" s="43"/>
      <c r="F1828" s="43"/>
      <c r="G1828" s="43"/>
      <c r="H1828" s="44"/>
      <c r="I1828" s="12"/>
      <c r="J1828" s="19"/>
      <c r="K1828" s="19"/>
      <c r="L1828" s="4"/>
    </row>
    <row r="1829" ht="22.5" customHeight="1">
      <c r="C1829" s="19"/>
      <c r="E1829" s="43"/>
      <c r="F1829" s="43"/>
      <c r="G1829" s="43"/>
      <c r="H1829" s="42"/>
      <c r="I1829" s="12"/>
      <c r="J1829" s="19"/>
      <c r="K1829" s="19"/>
      <c r="L1829" s="40"/>
    </row>
    <row r="1830" ht="22.5" customHeight="1">
      <c r="C1830" s="19"/>
      <c r="E1830" s="43"/>
      <c r="F1830" s="43"/>
      <c r="G1830" s="43"/>
      <c r="H1830" s="44"/>
      <c r="I1830" s="12"/>
      <c r="J1830" s="19"/>
      <c r="K1830" s="19"/>
      <c r="L1830" s="40"/>
    </row>
    <row r="1831" ht="22.5" customHeight="1">
      <c r="C1831" s="19"/>
      <c r="E1831" s="43"/>
      <c r="F1831" s="43"/>
      <c r="G1831" s="43"/>
      <c r="H1831" s="42"/>
      <c r="I1831" s="12"/>
      <c r="J1831" s="19"/>
      <c r="K1831" s="19"/>
      <c r="L1831" s="40"/>
    </row>
    <row r="1832" ht="22.5" customHeight="1">
      <c r="C1832" s="19"/>
      <c r="E1832" s="43"/>
      <c r="F1832" s="43"/>
      <c r="G1832" s="43"/>
      <c r="H1832" s="42"/>
      <c r="I1832" s="12"/>
      <c r="J1832" s="19"/>
      <c r="K1832" s="19"/>
      <c r="L1832" s="40"/>
    </row>
    <row r="1833" ht="22.5" customHeight="1">
      <c r="C1833" s="19"/>
      <c r="E1833" s="43"/>
      <c r="F1833" s="43"/>
      <c r="G1833" s="43"/>
      <c r="H1833" s="44"/>
      <c r="I1833" s="12"/>
      <c r="J1833" s="19"/>
      <c r="K1833" s="19"/>
      <c r="L1833" s="40"/>
    </row>
    <row r="1834" ht="22.5" customHeight="1">
      <c r="C1834" s="19"/>
      <c r="E1834" s="43"/>
      <c r="F1834" s="43"/>
      <c r="G1834" s="43"/>
      <c r="H1834" s="42"/>
      <c r="I1834" s="12"/>
      <c r="J1834" s="19"/>
      <c r="K1834" s="19"/>
      <c r="L1834" s="40"/>
    </row>
    <row r="1835" ht="22.5" customHeight="1">
      <c r="C1835" s="19"/>
      <c r="E1835" s="43"/>
      <c r="F1835" s="43"/>
      <c r="G1835" s="43"/>
      <c r="H1835" s="44"/>
      <c r="I1835" s="12"/>
      <c r="J1835" s="19"/>
      <c r="K1835" s="19"/>
      <c r="L1835" s="40"/>
    </row>
    <row r="1836" ht="22.5" customHeight="1">
      <c r="C1836" s="19"/>
      <c r="E1836" s="43"/>
      <c r="F1836" s="43"/>
      <c r="G1836" s="43"/>
      <c r="H1836" s="42"/>
      <c r="I1836" s="12"/>
      <c r="J1836" s="19"/>
      <c r="K1836" s="19"/>
      <c r="L1836" s="40"/>
    </row>
    <row r="1837" ht="22.5" customHeight="1">
      <c r="C1837" s="19"/>
      <c r="E1837" s="43"/>
      <c r="F1837" s="43"/>
      <c r="G1837" s="43"/>
      <c r="H1837" s="42"/>
      <c r="I1837" s="12"/>
      <c r="J1837" s="19"/>
      <c r="K1837" s="19"/>
      <c r="L1837" s="40"/>
    </row>
    <row r="1838" ht="22.5" customHeight="1">
      <c r="C1838" s="19"/>
      <c r="E1838" s="43"/>
      <c r="F1838" s="43"/>
      <c r="G1838" s="43"/>
      <c r="H1838" s="44"/>
      <c r="I1838" s="12"/>
      <c r="J1838" s="19"/>
      <c r="K1838" s="19"/>
      <c r="L1838" s="40"/>
    </row>
    <row r="1839" ht="22.5" customHeight="1">
      <c r="C1839" s="19"/>
      <c r="E1839" s="43"/>
      <c r="F1839" s="43"/>
      <c r="G1839" s="43"/>
      <c r="H1839" s="42"/>
      <c r="I1839" s="12"/>
      <c r="J1839" s="19"/>
      <c r="K1839" s="19"/>
      <c r="L1839" s="40"/>
    </row>
    <row r="1840" ht="22.5" customHeight="1">
      <c r="C1840" s="19"/>
      <c r="E1840" s="43"/>
      <c r="F1840" s="43"/>
      <c r="G1840" s="43"/>
      <c r="H1840" s="44"/>
      <c r="I1840" s="12"/>
      <c r="J1840" s="19"/>
      <c r="K1840" s="19"/>
      <c r="L1840" s="40"/>
    </row>
    <row r="1841" ht="22.5" customHeight="1">
      <c r="C1841" s="19"/>
      <c r="E1841" s="43"/>
      <c r="F1841" s="43"/>
      <c r="G1841" s="43"/>
      <c r="H1841" s="42"/>
      <c r="I1841" s="12"/>
      <c r="J1841" s="19"/>
      <c r="K1841" s="19"/>
      <c r="L1841" s="40"/>
    </row>
    <row r="1842" ht="22.5" customHeight="1">
      <c r="C1842" s="19"/>
      <c r="E1842" s="43"/>
      <c r="F1842" s="43"/>
      <c r="G1842" s="43"/>
      <c r="H1842" s="42"/>
      <c r="I1842" s="12"/>
      <c r="J1842" s="19"/>
      <c r="K1842" s="19"/>
      <c r="L1842" s="40"/>
    </row>
    <row r="1843" ht="22.5" customHeight="1">
      <c r="C1843" s="19"/>
      <c r="E1843" s="43"/>
      <c r="F1843" s="43"/>
      <c r="G1843" s="43"/>
      <c r="H1843" s="42"/>
      <c r="I1843" s="12"/>
      <c r="J1843" s="19"/>
      <c r="K1843" s="19"/>
      <c r="L1843" s="40"/>
    </row>
    <row r="1844" ht="22.5" customHeight="1">
      <c r="C1844" s="19"/>
      <c r="E1844" s="43"/>
      <c r="F1844" s="43"/>
      <c r="G1844" s="43"/>
      <c r="H1844" s="42"/>
      <c r="I1844" s="12"/>
      <c r="J1844" s="19"/>
      <c r="K1844" s="19"/>
      <c r="L1844" s="40"/>
    </row>
    <row r="1845" ht="22.5" customHeight="1">
      <c r="C1845" s="19"/>
      <c r="E1845" s="43"/>
      <c r="F1845" s="43"/>
      <c r="G1845" s="43"/>
      <c r="H1845" s="42"/>
      <c r="I1845" s="12"/>
      <c r="J1845" s="19"/>
      <c r="K1845" s="19"/>
      <c r="L1845" s="40"/>
    </row>
    <row r="1846" ht="22.5" customHeight="1">
      <c r="C1846" s="19"/>
      <c r="E1846" s="43"/>
      <c r="F1846" s="43"/>
      <c r="G1846" s="43"/>
      <c r="H1846" s="44"/>
      <c r="I1846" s="12"/>
      <c r="J1846" s="19"/>
      <c r="K1846" s="19"/>
      <c r="L1846" s="40"/>
    </row>
    <row r="1847" ht="22.5" customHeight="1">
      <c r="C1847" s="19"/>
      <c r="E1847" s="43"/>
      <c r="F1847" s="43"/>
      <c r="G1847" s="43"/>
      <c r="H1847" s="44"/>
      <c r="I1847" s="12"/>
      <c r="J1847" s="19"/>
      <c r="K1847" s="19"/>
      <c r="L1847" s="40"/>
    </row>
    <row r="1848" ht="22.5" customHeight="1">
      <c r="C1848" s="19"/>
      <c r="E1848" s="43"/>
      <c r="F1848" s="43"/>
      <c r="G1848" s="43"/>
      <c r="H1848" s="44"/>
      <c r="I1848" s="12"/>
      <c r="J1848" s="19"/>
      <c r="K1848" s="19"/>
      <c r="L1848" s="40"/>
    </row>
    <row r="1849" ht="22.5" customHeight="1">
      <c r="C1849" s="19"/>
      <c r="E1849" s="43"/>
      <c r="F1849" s="43"/>
      <c r="G1849" s="43"/>
      <c r="H1849" s="44"/>
      <c r="I1849" s="12"/>
      <c r="J1849" s="19"/>
      <c r="K1849" s="19"/>
      <c r="L1849" s="40"/>
    </row>
    <row r="1850" ht="22.5" customHeight="1">
      <c r="C1850" s="19"/>
      <c r="E1850" s="43"/>
      <c r="F1850" s="43"/>
      <c r="G1850" s="43"/>
      <c r="H1850" s="44"/>
      <c r="I1850" s="12"/>
      <c r="J1850" s="19"/>
      <c r="K1850" s="19"/>
      <c r="L1850" s="40"/>
    </row>
    <row r="1851" ht="22.5" customHeight="1">
      <c r="C1851" s="19"/>
      <c r="E1851" s="43"/>
      <c r="F1851" s="43"/>
      <c r="G1851" s="43"/>
      <c r="H1851" s="42"/>
      <c r="I1851" s="12"/>
      <c r="J1851" s="19"/>
      <c r="K1851" s="19"/>
      <c r="L1851" s="40"/>
    </row>
    <row r="1852" ht="22.5" customHeight="1">
      <c r="C1852" s="19"/>
      <c r="E1852" s="43"/>
      <c r="F1852" s="43"/>
      <c r="G1852" s="43"/>
      <c r="H1852" s="42"/>
      <c r="I1852" s="12"/>
      <c r="J1852" s="19"/>
      <c r="K1852" s="19"/>
      <c r="L1852" s="40"/>
    </row>
    <row r="1853" ht="22.5" customHeight="1">
      <c r="C1853" s="19"/>
      <c r="E1853" s="43"/>
      <c r="F1853" s="43"/>
      <c r="G1853" s="43"/>
      <c r="H1853" s="44"/>
      <c r="I1853" s="12"/>
      <c r="J1853" s="19"/>
      <c r="K1853" s="19"/>
      <c r="L1853" s="40"/>
    </row>
    <row r="1854" ht="22.5" customHeight="1">
      <c r="C1854" s="19"/>
      <c r="E1854" s="43"/>
      <c r="F1854" s="43"/>
      <c r="G1854" s="43"/>
      <c r="H1854" s="42"/>
      <c r="I1854" s="12"/>
      <c r="J1854" s="19"/>
      <c r="K1854" s="19"/>
      <c r="L1854" s="40"/>
    </row>
    <row r="1855" ht="22.5" customHeight="1">
      <c r="C1855" s="19"/>
      <c r="E1855" s="43"/>
      <c r="F1855" s="43"/>
      <c r="G1855" s="43"/>
      <c r="H1855" s="44"/>
      <c r="I1855" s="12"/>
      <c r="J1855" s="19"/>
      <c r="K1855" s="19"/>
      <c r="L1855" s="40"/>
    </row>
    <row r="1856" ht="22.5" customHeight="1">
      <c r="C1856" s="19"/>
      <c r="E1856" s="43"/>
      <c r="F1856" s="43"/>
      <c r="G1856" s="43"/>
      <c r="H1856" s="44"/>
      <c r="I1856" s="12"/>
      <c r="J1856" s="19"/>
      <c r="K1856" s="19"/>
      <c r="L1856" s="40"/>
    </row>
    <row r="1857" ht="22.5" customHeight="1">
      <c r="C1857" s="19"/>
      <c r="E1857" s="43"/>
      <c r="F1857" s="43"/>
      <c r="G1857" s="43"/>
      <c r="H1857" s="42"/>
      <c r="I1857" s="12"/>
      <c r="J1857" s="19"/>
      <c r="K1857" s="19"/>
      <c r="L1857" s="40"/>
    </row>
    <row r="1858" ht="22.5" customHeight="1">
      <c r="C1858" s="19"/>
      <c r="E1858" s="43"/>
      <c r="F1858" s="43"/>
      <c r="G1858" s="43"/>
      <c r="H1858" s="44"/>
      <c r="I1858" s="12"/>
      <c r="J1858" s="19"/>
      <c r="K1858" s="19"/>
      <c r="L1858" s="40"/>
    </row>
    <row r="1859" ht="22.5" customHeight="1">
      <c r="C1859" s="19"/>
      <c r="E1859" s="43"/>
      <c r="F1859" s="43"/>
      <c r="G1859" s="43"/>
      <c r="H1859" s="42"/>
      <c r="I1859" s="12"/>
      <c r="J1859" s="19"/>
      <c r="K1859" s="19"/>
      <c r="L1859" s="40"/>
    </row>
    <row r="1860" ht="22.5" customHeight="1">
      <c r="C1860" s="19"/>
      <c r="E1860" s="43"/>
      <c r="F1860" s="43"/>
      <c r="G1860" s="43"/>
      <c r="H1860" s="42"/>
      <c r="I1860" s="12"/>
      <c r="J1860" s="19"/>
      <c r="K1860" s="19"/>
      <c r="L1860" s="40"/>
    </row>
    <row r="1861" ht="22.5" customHeight="1">
      <c r="C1861" s="19"/>
      <c r="E1861" s="43"/>
      <c r="F1861" s="43"/>
      <c r="G1861" s="43"/>
      <c r="H1861" s="44"/>
      <c r="I1861" s="12"/>
      <c r="J1861" s="19"/>
      <c r="K1861" s="19"/>
      <c r="L1861" s="40"/>
    </row>
    <row r="1862" ht="22.5" customHeight="1">
      <c r="C1862" s="19"/>
      <c r="E1862" s="43"/>
      <c r="F1862" s="43"/>
      <c r="G1862" s="43"/>
      <c r="H1862" s="42"/>
      <c r="I1862" s="12"/>
      <c r="J1862" s="19"/>
      <c r="K1862" s="19"/>
      <c r="L1862" s="40"/>
    </row>
    <row r="1863" ht="22.5" customHeight="1">
      <c r="C1863" s="19"/>
      <c r="E1863" s="43"/>
      <c r="F1863" s="43"/>
      <c r="G1863" s="43"/>
      <c r="H1863" s="42"/>
      <c r="I1863" s="12"/>
      <c r="J1863" s="19"/>
      <c r="K1863" s="19"/>
      <c r="L1863" s="40"/>
    </row>
    <row r="1864" ht="22.5" customHeight="1">
      <c r="C1864" s="19"/>
      <c r="E1864" s="43"/>
      <c r="F1864" s="43"/>
      <c r="G1864" s="43"/>
      <c r="H1864" s="44"/>
      <c r="I1864" s="12"/>
      <c r="J1864" s="19"/>
      <c r="K1864" s="19"/>
      <c r="L1864" s="40"/>
    </row>
    <row r="1865" ht="22.5" customHeight="1">
      <c r="C1865" s="19"/>
      <c r="E1865" s="43"/>
      <c r="F1865" s="43"/>
      <c r="G1865" s="43"/>
      <c r="H1865" s="44"/>
      <c r="I1865" s="12"/>
      <c r="J1865" s="19"/>
      <c r="K1865" s="19"/>
      <c r="L1865" s="40"/>
    </row>
    <row r="1866" ht="22.5" customHeight="1">
      <c r="C1866" s="19"/>
      <c r="E1866" s="43"/>
      <c r="F1866" s="43"/>
      <c r="G1866" s="43"/>
      <c r="H1866" s="42"/>
      <c r="I1866" s="12"/>
      <c r="J1866" s="19"/>
      <c r="K1866" s="19"/>
      <c r="L1866" s="40"/>
    </row>
    <row r="1867" ht="22.5" customHeight="1">
      <c r="C1867" s="19"/>
      <c r="E1867" s="43"/>
      <c r="F1867" s="43"/>
      <c r="G1867" s="43"/>
      <c r="H1867" s="42"/>
      <c r="I1867" s="12"/>
      <c r="J1867" s="19"/>
      <c r="K1867" s="19"/>
      <c r="L1867" s="40"/>
    </row>
    <row r="1868" ht="22.5" customHeight="1">
      <c r="C1868" s="19"/>
      <c r="E1868" s="43"/>
      <c r="F1868" s="43"/>
      <c r="G1868" s="43"/>
      <c r="H1868" s="44"/>
      <c r="I1868" s="12"/>
      <c r="J1868" s="19"/>
      <c r="K1868" s="19"/>
      <c r="L1868" s="40"/>
    </row>
    <row r="1869" ht="22.5" customHeight="1">
      <c r="C1869" s="19"/>
      <c r="E1869" s="43"/>
      <c r="F1869" s="43"/>
      <c r="G1869" s="43"/>
      <c r="H1869" s="44"/>
      <c r="I1869" s="12"/>
      <c r="J1869" s="19"/>
      <c r="K1869" s="19"/>
      <c r="L1869" s="40"/>
    </row>
    <row r="1870" ht="22.5" customHeight="1">
      <c r="C1870" s="19"/>
      <c r="E1870" s="43"/>
      <c r="F1870" s="43"/>
      <c r="G1870" s="43"/>
      <c r="H1870" s="42"/>
      <c r="I1870" s="12"/>
      <c r="J1870" s="19"/>
      <c r="K1870" s="19"/>
      <c r="L1870" s="40"/>
    </row>
    <row r="1871" ht="22.5" customHeight="1">
      <c r="C1871" s="19"/>
      <c r="E1871" s="43"/>
      <c r="F1871" s="43"/>
      <c r="G1871" s="43"/>
      <c r="H1871" s="42"/>
      <c r="I1871" s="12"/>
      <c r="J1871" s="19"/>
      <c r="K1871" s="19"/>
      <c r="L1871" s="40"/>
    </row>
    <row r="1872" ht="22.5" customHeight="1">
      <c r="C1872" s="19"/>
      <c r="E1872" s="43"/>
      <c r="F1872" s="43"/>
      <c r="G1872" s="43"/>
      <c r="H1872" s="44"/>
      <c r="I1872" s="12"/>
      <c r="J1872" s="19"/>
      <c r="K1872" s="19"/>
      <c r="L1872" s="40"/>
    </row>
    <row r="1873" ht="22.5" customHeight="1">
      <c r="C1873" s="19"/>
      <c r="E1873" s="43"/>
      <c r="F1873" s="43"/>
      <c r="G1873" s="43"/>
      <c r="H1873" s="42"/>
      <c r="I1873" s="12"/>
      <c r="J1873" s="19"/>
      <c r="K1873" s="19"/>
      <c r="L1873" s="40"/>
    </row>
    <row r="1874" ht="22.5" customHeight="1">
      <c r="C1874" s="19"/>
      <c r="E1874" s="43"/>
      <c r="F1874" s="43"/>
      <c r="G1874" s="43"/>
      <c r="H1874" s="42"/>
      <c r="I1874" s="12"/>
      <c r="J1874" s="19"/>
      <c r="K1874" s="19"/>
      <c r="L1874" s="40"/>
    </row>
    <row r="1875" ht="22.5" customHeight="1">
      <c r="C1875" s="19"/>
      <c r="E1875" s="43"/>
      <c r="F1875" s="43"/>
      <c r="G1875" s="43"/>
      <c r="H1875" s="44"/>
      <c r="I1875" s="12"/>
      <c r="J1875" s="19"/>
      <c r="K1875" s="19"/>
      <c r="L1875" s="40"/>
    </row>
    <row r="1876" ht="22.5" customHeight="1">
      <c r="C1876" s="19"/>
      <c r="E1876" s="43"/>
      <c r="F1876" s="43"/>
      <c r="G1876" s="43"/>
      <c r="H1876" s="42"/>
      <c r="I1876" s="12"/>
      <c r="J1876" s="19"/>
      <c r="K1876" s="19"/>
      <c r="L1876" s="40"/>
    </row>
    <row r="1877" ht="22.5" customHeight="1">
      <c r="C1877" s="19"/>
      <c r="E1877" s="43"/>
      <c r="F1877" s="43"/>
      <c r="G1877" s="43"/>
      <c r="H1877" s="42"/>
      <c r="I1877" s="12"/>
      <c r="J1877" s="19"/>
      <c r="K1877" s="19"/>
      <c r="L1877" s="40"/>
    </row>
    <row r="1878" ht="22.5" customHeight="1">
      <c r="C1878" s="19"/>
      <c r="E1878" s="43"/>
      <c r="F1878" s="43"/>
      <c r="G1878" s="43"/>
      <c r="H1878" s="42"/>
      <c r="I1878" s="12"/>
      <c r="J1878" s="19"/>
      <c r="K1878" s="19"/>
      <c r="L1878" s="40"/>
    </row>
    <row r="1879" ht="22.5" customHeight="1">
      <c r="C1879" s="19"/>
      <c r="E1879" s="43"/>
      <c r="F1879" s="43"/>
      <c r="G1879" s="43"/>
      <c r="H1879" s="44"/>
      <c r="I1879" s="12"/>
      <c r="J1879" s="19"/>
      <c r="K1879" s="19"/>
      <c r="L1879" s="40"/>
    </row>
    <row r="1880" ht="22.5" customHeight="1">
      <c r="C1880" s="19"/>
      <c r="E1880" s="43"/>
      <c r="F1880" s="43"/>
      <c r="G1880" s="43"/>
      <c r="H1880" s="44"/>
      <c r="I1880" s="12"/>
      <c r="J1880" s="19"/>
      <c r="K1880" s="19"/>
      <c r="L1880" s="40"/>
    </row>
    <row r="1881" ht="22.5" customHeight="1">
      <c r="C1881" s="19"/>
      <c r="E1881" s="43"/>
      <c r="F1881" s="43"/>
      <c r="G1881" s="43"/>
      <c r="H1881" s="42"/>
      <c r="I1881" s="12"/>
      <c r="J1881" s="19"/>
      <c r="K1881" s="19"/>
      <c r="L1881" s="40"/>
    </row>
    <row r="1882" ht="22.5" customHeight="1">
      <c r="C1882" s="19"/>
      <c r="E1882" s="43"/>
      <c r="F1882" s="43"/>
      <c r="G1882" s="43"/>
      <c r="H1882" s="44"/>
      <c r="I1882" s="12"/>
      <c r="J1882" s="19"/>
      <c r="K1882" s="19"/>
      <c r="L1882" s="40"/>
    </row>
    <row r="1883" ht="22.5" customHeight="1">
      <c r="C1883" s="19"/>
      <c r="E1883" s="43"/>
      <c r="F1883" s="43"/>
      <c r="G1883" s="43"/>
      <c r="H1883" s="42"/>
      <c r="I1883" s="12"/>
      <c r="J1883" s="19"/>
      <c r="K1883" s="19"/>
      <c r="L1883" s="40"/>
    </row>
    <row r="1884" ht="22.5" customHeight="1">
      <c r="C1884" s="19"/>
      <c r="E1884" s="43"/>
      <c r="F1884" s="43"/>
      <c r="G1884" s="43"/>
      <c r="H1884" s="42"/>
      <c r="I1884" s="12"/>
      <c r="J1884" s="19"/>
      <c r="K1884" s="19"/>
      <c r="L1884" s="40"/>
    </row>
    <row r="1885" ht="22.5" customHeight="1">
      <c r="C1885" s="19"/>
      <c r="E1885" s="43"/>
      <c r="F1885" s="43"/>
      <c r="G1885" s="43"/>
      <c r="H1885" s="44"/>
      <c r="I1885" s="12"/>
      <c r="J1885" s="19"/>
      <c r="K1885" s="19"/>
      <c r="L1885" s="40"/>
    </row>
    <row r="1886" ht="22.5" customHeight="1">
      <c r="C1886" s="19"/>
      <c r="E1886" s="43"/>
      <c r="F1886" s="43"/>
      <c r="G1886" s="43"/>
      <c r="H1886" s="44"/>
      <c r="I1886" s="12"/>
      <c r="J1886" s="19"/>
      <c r="K1886" s="19"/>
      <c r="L1886" s="40"/>
    </row>
    <row r="1887" ht="22.5" customHeight="1">
      <c r="C1887" s="19"/>
      <c r="E1887" s="43"/>
      <c r="F1887" s="43"/>
      <c r="G1887" s="43"/>
      <c r="H1887" s="44"/>
      <c r="I1887" s="12"/>
      <c r="J1887" s="19"/>
      <c r="K1887" s="19"/>
      <c r="L1887" s="40"/>
    </row>
    <row r="1888" ht="22.5" customHeight="1">
      <c r="C1888" s="19"/>
      <c r="E1888" s="43"/>
      <c r="F1888" s="43"/>
      <c r="G1888" s="43"/>
      <c r="H1888" s="44"/>
      <c r="I1888" s="12"/>
      <c r="J1888" s="19"/>
      <c r="K1888" s="19"/>
      <c r="L1888" s="40"/>
    </row>
    <row r="1889" ht="22.5" customHeight="1">
      <c r="C1889" s="19"/>
      <c r="E1889" s="43"/>
      <c r="F1889" s="43"/>
      <c r="G1889" s="43"/>
      <c r="H1889" s="42"/>
      <c r="I1889" s="12"/>
      <c r="J1889" s="19"/>
      <c r="K1889" s="19"/>
      <c r="L1889" s="40"/>
    </row>
    <row r="1890" ht="22.5" customHeight="1">
      <c r="C1890" s="19"/>
      <c r="E1890" s="43"/>
      <c r="F1890" s="43"/>
      <c r="G1890" s="43"/>
      <c r="H1890" s="42"/>
      <c r="I1890" s="12"/>
      <c r="J1890" s="19"/>
      <c r="K1890" s="19"/>
      <c r="L1890" s="40"/>
    </row>
    <row r="1891" ht="22.5" customHeight="1">
      <c r="C1891" s="19"/>
      <c r="E1891" s="43"/>
      <c r="F1891" s="43"/>
      <c r="G1891" s="43"/>
      <c r="H1891" s="44"/>
      <c r="I1891" s="12"/>
      <c r="J1891" s="19"/>
      <c r="K1891" s="19"/>
      <c r="L1891" s="40"/>
    </row>
    <row r="1892" ht="22.5" customHeight="1">
      <c r="C1892" s="19"/>
      <c r="E1892" s="43"/>
      <c r="F1892" s="43"/>
      <c r="G1892" s="43"/>
      <c r="H1892" s="44"/>
      <c r="I1892" s="12"/>
      <c r="J1892" s="19"/>
      <c r="K1892" s="19"/>
      <c r="L1892" s="40"/>
    </row>
    <row r="1893" ht="22.5" customHeight="1">
      <c r="C1893" s="19"/>
      <c r="E1893" s="43"/>
      <c r="F1893" s="43"/>
      <c r="G1893" s="43"/>
      <c r="H1893" s="42"/>
      <c r="I1893" s="12"/>
      <c r="J1893" s="19"/>
      <c r="K1893" s="19"/>
      <c r="L1893" s="40"/>
    </row>
    <row r="1894" ht="22.5" customHeight="1">
      <c r="C1894" s="19"/>
      <c r="E1894" s="43"/>
      <c r="F1894" s="43"/>
      <c r="G1894" s="43"/>
      <c r="H1894" s="44"/>
      <c r="I1894" s="12"/>
      <c r="J1894" s="19"/>
      <c r="K1894" s="19"/>
      <c r="L1894" s="40"/>
    </row>
    <row r="1895" ht="22.5" customHeight="1">
      <c r="C1895" s="19"/>
      <c r="E1895" s="43"/>
      <c r="F1895" s="43"/>
      <c r="G1895" s="43"/>
      <c r="H1895" s="44"/>
      <c r="I1895" s="12"/>
      <c r="J1895" s="19"/>
      <c r="K1895" s="19"/>
      <c r="L1895" s="40"/>
    </row>
    <row r="1896" ht="22.5" customHeight="1">
      <c r="C1896" s="19"/>
      <c r="E1896" s="43"/>
      <c r="F1896" s="43"/>
      <c r="G1896" s="43"/>
      <c r="H1896" s="42"/>
      <c r="I1896" s="12"/>
      <c r="J1896" s="19"/>
      <c r="K1896" s="19"/>
      <c r="L1896" s="40"/>
    </row>
    <row r="1897" ht="22.5" customHeight="1">
      <c r="C1897" s="19"/>
      <c r="E1897" s="43"/>
      <c r="F1897" s="43"/>
      <c r="G1897" s="43"/>
      <c r="H1897" s="44"/>
      <c r="I1897" s="12"/>
      <c r="J1897" s="19"/>
      <c r="K1897" s="19"/>
      <c r="L1897" s="40"/>
    </row>
    <row r="1898" ht="22.5" customHeight="1">
      <c r="C1898" s="19"/>
      <c r="E1898" s="43"/>
      <c r="F1898" s="43"/>
      <c r="G1898" s="43"/>
      <c r="H1898" s="42"/>
      <c r="I1898" s="12"/>
      <c r="J1898" s="19"/>
      <c r="K1898" s="19"/>
      <c r="L1898" s="40"/>
    </row>
    <row r="1899" ht="22.5" customHeight="1">
      <c r="C1899" s="19"/>
      <c r="E1899" s="43"/>
      <c r="F1899" s="43"/>
      <c r="G1899" s="43"/>
      <c r="H1899" s="44"/>
      <c r="I1899" s="12"/>
      <c r="J1899" s="19"/>
      <c r="K1899" s="19"/>
      <c r="L1899" s="40"/>
    </row>
    <row r="1900" ht="22.5" customHeight="1">
      <c r="C1900" s="19"/>
      <c r="E1900" s="43"/>
      <c r="F1900" s="43"/>
      <c r="G1900" s="43"/>
      <c r="H1900" s="44"/>
      <c r="I1900" s="12"/>
      <c r="J1900" s="19"/>
      <c r="K1900" s="19"/>
      <c r="L1900" s="40"/>
    </row>
    <row r="1901" ht="22.5" customHeight="1">
      <c r="C1901" s="19"/>
      <c r="E1901" s="43"/>
      <c r="F1901" s="43"/>
      <c r="G1901" s="43"/>
      <c r="H1901" s="44"/>
      <c r="I1901" s="12"/>
      <c r="J1901" s="19"/>
      <c r="K1901" s="19"/>
      <c r="L1901" s="40"/>
    </row>
    <row r="1902" ht="22.5" customHeight="1">
      <c r="C1902" s="19"/>
      <c r="E1902" s="43"/>
      <c r="F1902" s="43"/>
      <c r="G1902" s="43"/>
      <c r="H1902" s="44"/>
      <c r="I1902" s="12"/>
      <c r="J1902" s="19"/>
      <c r="K1902" s="19"/>
      <c r="L1902" s="4"/>
    </row>
    <row r="1903" ht="22.5" customHeight="1">
      <c r="C1903" s="19"/>
      <c r="E1903" s="43"/>
      <c r="F1903" s="43"/>
      <c r="G1903" s="43"/>
      <c r="H1903" s="42"/>
      <c r="I1903" s="12"/>
      <c r="J1903" s="19"/>
      <c r="K1903" s="19"/>
      <c r="L1903" s="4"/>
    </row>
    <row r="1904" ht="22.5" customHeight="1">
      <c r="C1904" s="19"/>
      <c r="E1904" s="43"/>
      <c r="F1904" s="43"/>
      <c r="G1904" s="43"/>
      <c r="H1904" s="44"/>
      <c r="I1904" s="12"/>
      <c r="J1904" s="19"/>
      <c r="K1904" s="19"/>
      <c r="L1904" s="40"/>
    </row>
    <row r="1905" ht="22.5" customHeight="1">
      <c r="C1905" s="19"/>
      <c r="E1905" s="43"/>
      <c r="F1905" s="43"/>
      <c r="G1905" s="43"/>
      <c r="H1905" s="42"/>
      <c r="I1905" s="12"/>
      <c r="J1905" s="19"/>
      <c r="K1905" s="19"/>
      <c r="L1905" s="4"/>
    </row>
    <row r="1906" ht="22.5" customHeight="1">
      <c r="C1906" s="19"/>
      <c r="E1906" s="43"/>
      <c r="F1906" s="43"/>
      <c r="G1906" s="43"/>
      <c r="H1906" s="44"/>
      <c r="I1906" s="12"/>
      <c r="J1906" s="19"/>
      <c r="K1906" s="19"/>
      <c r="L1906" s="40"/>
    </row>
    <row r="1907" ht="22.5" customHeight="1">
      <c r="C1907" s="19"/>
      <c r="E1907" s="43"/>
      <c r="F1907" s="43"/>
      <c r="G1907" s="43"/>
      <c r="H1907" s="44"/>
      <c r="I1907" s="12"/>
      <c r="J1907" s="19"/>
      <c r="K1907" s="19"/>
      <c r="L1907" s="40"/>
    </row>
    <row r="1908" ht="22.5" customHeight="1">
      <c r="C1908" s="19"/>
      <c r="E1908" s="43"/>
      <c r="F1908" s="43"/>
      <c r="G1908" s="43"/>
      <c r="H1908" s="42"/>
      <c r="I1908" s="12"/>
      <c r="J1908" s="19"/>
      <c r="K1908" s="19"/>
      <c r="L1908" s="40"/>
    </row>
    <row r="1909" ht="22.5" customHeight="1">
      <c r="C1909" s="19"/>
      <c r="E1909" s="43"/>
      <c r="F1909" s="43"/>
      <c r="G1909" s="43"/>
      <c r="H1909" s="42"/>
      <c r="I1909" s="12"/>
      <c r="J1909" s="19"/>
      <c r="K1909" s="19"/>
      <c r="L1909" s="40"/>
    </row>
    <row r="1910" ht="22.5" customHeight="1">
      <c r="C1910" s="19"/>
      <c r="E1910" s="43"/>
      <c r="F1910" s="43"/>
      <c r="G1910" s="43"/>
      <c r="H1910" s="42"/>
      <c r="I1910" s="12"/>
      <c r="J1910" s="19"/>
      <c r="K1910" s="19"/>
      <c r="L1910" s="40"/>
    </row>
    <row r="1911" ht="22.5" customHeight="1">
      <c r="C1911" s="19"/>
      <c r="E1911" s="43"/>
      <c r="F1911" s="43"/>
      <c r="G1911" s="43"/>
      <c r="H1911" s="42"/>
      <c r="I1911" s="12"/>
      <c r="J1911" s="19"/>
      <c r="K1911" s="19"/>
      <c r="L1911" s="40"/>
    </row>
    <row r="1912" ht="22.5" customHeight="1">
      <c r="C1912" s="19"/>
      <c r="E1912" s="43"/>
      <c r="F1912" s="43"/>
      <c r="G1912" s="43"/>
      <c r="H1912" s="42"/>
      <c r="I1912" s="12"/>
      <c r="J1912" s="19"/>
      <c r="K1912" s="19"/>
      <c r="L1912" s="40"/>
    </row>
    <row r="1913" ht="22.5" customHeight="1">
      <c r="C1913" s="19"/>
      <c r="E1913" s="43"/>
      <c r="F1913" s="43"/>
      <c r="G1913" s="43"/>
      <c r="H1913" s="44"/>
      <c r="I1913" s="12"/>
      <c r="J1913" s="19"/>
      <c r="K1913" s="19"/>
      <c r="L1913" s="4"/>
    </row>
    <row r="1914" ht="22.5" customHeight="1">
      <c r="C1914" s="19"/>
      <c r="E1914" s="43"/>
      <c r="F1914" s="43"/>
      <c r="G1914" s="43"/>
      <c r="H1914" s="44"/>
      <c r="I1914" s="12"/>
      <c r="J1914" s="19"/>
      <c r="K1914" s="19"/>
      <c r="L1914" s="40"/>
    </row>
    <row r="1915" ht="22.5" customHeight="1">
      <c r="C1915" s="19"/>
      <c r="E1915" s="43"/>
      <c r="F1915" s="43"/>
      <c r="G1915" s="43"/>
      <c r="H1915" s="42"/>
      <c r="I1915" s="12"/>
      <c r="J1915" s="19"/>
      <c r="K1915" s="19"/>
      <c r="L1915" s="40"/>
    </row>
    <row r="1916" ht="22.5" customHeight="1">
      <c r="C1916" s="19"/>
      <c r="E1916" s="43"/>
      <c r="F1916" s="43"/>
      <c r="G1916" s="43"/>
      <c r="H1916" s="44"/>
      <c r="I1916" s="12"/>
      <c r="J1916" s="19"/>
      <c r="K1916" s="19"/>
      <c r="L1916" s="40"/>
    </row>
    <row r="1917" ht="22.5" customHeight="1">
      <c r="C1917" s="19"/>
      <c r="E1917" s="43"/>
      <c r="F1917" s="43"/>
      <c r="G1917" s="43"/>
      <c r="H1917" s="44"/>
      <c r="I1917" s="12"/>
      <c r="J1917" s="19"/>
      <c r="K1917" s="19"/>
      <c r="L1917" s="40"/>
    </row>
    <row r="1918" ht="22.5" customHeight="1">
      <c r="C1918" s="19"/>
      <c r="E1918" s="43"/>
      <c r="F1918" s="43"/>
      <c r="G1918" s="43"/>
      <c r="H1918" s="42"/>
      <c r="I1918" s="12"/>
      <c r="J1918" s="19"/>
      <c r="K1918" s="19"/>
      <c r="L1918" s="40"/>
    </row>
    <row r="1919" ht="22.5" customHeight="1">
      <c r="C1919" s="19"/>
      <c r="E1919" s="43"/>
      <c r="F1919" s="43"/>
      <c r="G1919" s="43"/>
      <c r="H1919" s="42"/>
      <c r="I1919" s="12"/>
      <c r="J1919" s="19"/>
      <c r="K1919" s="19"/>
      <c r="L1919" s="40"/>
    </row>
    <row r="1920" ht="22.5" customHeight="1">
      <c r="C1920" s="19"/>
      <c r="E1920" s="43"/>
      <c r="F1920" s="43"/>
      <c r="G1920" s="43"/>
      <c r="H1920" s="42"/>
      <c r="I1920" s="12"/>
      <c r="J1920" s="19"/>
      <c r="K1920" s="19"/>
      <c r="L1920" s="40"/>
    </row>
    <row r="1921" ht="22.5" customHeight="1">
      <c r="C1921" s="19"/>
      <c r="E1921" s="43"/>
      <c r="F1921" s="43"/>
      <c r="G1921" s="43"/>
      <c r="H1921" s="42"/>
      <c r="I1921" s="12"/>
      <c r="J1921" s="19"/>
      <c r="K1921" s="19"/>
      <c r="L1921" s="40"/>
    </row>
    <row r="1922" ht="22.5" customHeight="1">
      <c r="C1922" s="19"/>
      <c r="E1922" s="43"/>
      <c r="F1922" s="43"/>
      <c r="G1922" s="43"/>
      <c r="H1922" s="44"/>
      <c r="I1922" s="12"/>
      <c r="J1922" s="19"/>
      <c r="K1922" s="19"/>
      <c r="L1922" s="40"/>
    </row>
    <row r="1923" ht="22.5" customHeight="1">
      <c r="C1923" s="19"/>
      <c r="E1923" s="43"/>
      <c r="F1923" s="43"/>
      <c r="G1923" s="43"/>
      <c r="H1923" s="42"/>
      <c r="I1923" s="12"/>
      <c r="J1923" s="19"/>
      <c r="K1923" s="19"/>
      <c r="L1923" s="40"/>
    </row>
    <row r="1924" ht="22.5" customHeight="1">
      <c r="C1924" s="19"/>
      <c r="E1924" s="43"/>
      <c r="F1924" s="43"/>
      <c r="G1924" s="43"/>
      <c r="H1924" s="44"/>
      <c r="I1924" s="12"/>
      <c r="J1924" s="19"/>
      <c r="K1924" s="19"/>
      <c r="L1924" s="40"/>
    </row>
    <row r="1925" ht="22.5" customHeight="1">
      <c r="C1925" s="19"/>
      <c r="E1925" s="43"/>
      <c r="F1925" s="43"/>
      <c r="G1925" s="43"/>
      <c r="H1925" s="42"/>
      <c r="I1925" s="12"/>
      <c r="J1925" s="19"/>
      <c r="K1925" s="19"/>
      <c r="L1925" s="40"/>
    </row>
    <row r="1926" ht="22.5" customHeight="1">
      <c r="C1926" s="19"/>
      <c r="E1926" s="43"/>
      <c r="F1926" s="43"/>
      <c r="G1926" s="43"/>
      <c r="H1926" s="44"/>
      <c r="I1926" s="12"/>
      <c r="J1926" s="19"/>
      <c r="K1926" s="19"/>
      <c r="L1926" s="40"/>
    </row>
    <row r="1927" ht="22.5" customHeight="1">
      <c r="C1927" s="19"/>
      <c r="E1927" s="43"/>
      <c r="F1927" s="43"/>
      <c r="G1927" s="43"/>
      <c r="H1927" s="42"/>
      <c r="I1927" s="12"/>
      <c r="J1927" s="19"/>
      <c r="K1927" s="19"/>
      <c r="L1927" s="4"/>
    </row>
    <row r="1928" ht="22.5" customHeight="1">
      <c r="C1928" s="19"/>
      <c r="E1928" s="43"/>
      <c r="F1928" s="43"/>
      <c r="G1928" s="43"/>
      <c r="H1928" s="42"/>
      <c r="I1928" s="12"/>
      <c r="J1928" s="19"/>
      <c r="K1928" s="19"/>
      <c r="L1928" s="40"/>
    </row>
    <row r="1929" ht="22.5" customHeight="1">
      <c r="C1929" s="19"/>
      <c r="E1929" s="43"/>
      <c r="F1929" s="43"/>
      <c r="G1929" s="43"/>
      <c r="H1929" s="44"/>
      <c r="I1929" s="12"/>
      <c r="J1929" s="19"/>
      <c r="K1929" s="19"/>
      <c r="L1929" s="40"/>
    </row>
    <row r="1930" ht="22.5" customHeight="1">
      <c r="C1930" s="19"/>
      <c r="E1930" s="43"/>
      <c r="F1930" s="43"/>
      <c r="G1930" s="43"/>
      <c r="H1930" s="44"/>
      <c r="I1930" s="12"/>
      <c r="J1930" s="19"/>
      <c r="K1930" s="19"/>
      <c r="L1930" s="40"/>
    </row>
    <row r="1931" ht="22.5" customHeight="1">
      <c r="C1931" s="19"/>
      <c r="E1931" s="43"/>
      <c r="F1931" s="43"/>
      <c r="G1931" s="43"/>
      <c r="H1931" s="44"/>
      <c r="I1931" s="12"/>
      <c r="J1931" s="19"/>
      <c r="K1931" s="19"/>
      <c r="L1931" s="40"/>
    </row>
    <row r="1932" ht="22.5" customHeight="1">
      <c r="C1932" s="19"/>
      <c r="E1932" s="43"/>
      <c r="F1932" s="43"/>
      <c r="G1932" s="43"/>
      <c r="H1932" s="44"/>
      <c r="I1932" s="12"/>
      <c r="J1932" s="19"/>
      <c r="K1932" s="19"/>
      <c r="L1932" s="40"/>
    </row>
    <row r="1933" ht="22.5" customHeight="1">
      <c r="C1933" s="19"/>
      <c r="E1933" s="43"/>
      <c r="F1933" s="43"/>
      <c r="G1933" s="43"/>
      <c r="H1933" s="44"/>
      <c r="I1933" s="12"/>
      <c r="J1933" s="19"/>
      <c r="K1933" s="19"/>
      <c r="L1933" s="40"/>
    </row>
    <row r="1934" ht="22.5" customHeight="1">
      <c r="C1934" s="19"/>
      <c r="E1934" s="43"/>
      <c r="F1934" s="43"/>
      <c r="G1934" s="43"/>
      <c r="H1934" s="42"/>
      <c r="I1934" s="12"/>
      <c r="J1934" s="19"/>
      <c r="K1934" s="19"/>
      <c r="L1934" s="40"/>
    </row>
    <row r="1935" ht="22.5" customHeight="1">
      <c r="C1935" s="19"/>
      <c r="E1935" s="43"/>
      <c r="F1935" s="43"/>
      <c r="G1935" s="43"/>
      <c r="H1935" s="42"/>
      <c r="I1935" s="12"/>
      <c r="J1935" s="19"/>
      <c r="K1935" s="19"/>
      <c r="L1935" s="40"/>
    </row>
    <row r="1936" ht="22.5" customHeight="1">
      <c r="C1936" s="19"/>
      <c r="E1936" s="43"/>
      <c r="F1936" s="43"/>
      <c r="G1936" s="43"/>
      <c r="H1936" s="44"/>
      <c r="I1936" s="12"/>
      <c r="J1936" s="19"/>
      <c r="K1936" s="19"/>
      <c r="L1936" s="40"/>
    </row>
    <row r="1937" ht="22.5" customHeight="1">
      <c r="C1937" s="19"/>
      <c r="E1937" s="43"/>
      <c r="F1937" s="43"/>
      <c r="G1937" s="43"/>
      <c r="H1937" s="44"/>
      <c r="I1937" s="12"/>
      <c r="J1937" s="19"/>
      <c r="K1937" s="19"/>
      <c r="L1937" s="40"/>
    </row>
    <row r="1938" ht="22.5" customHeight="1">
      <c r="C1938" s="19"/>
      <c r="E1938" s="43"/>
      <c r="F1938" s="43"/>
      <c r="G1938" s="43"/>
      <c r="H1938" s="44"/>
      <c r="I1938" s="12"/>
      <c r="J1938" s="19"/>
      <c r="K1938" s="19"/>
      <c r="L1938" s="40"/>
    </row>
    <row r="1939" ht="22.5" customHeight="1">
      <c r="C1939" s="19"/>
      <c r="E1939" s="43"/>
      <c r="F1939" s="43"/>
      <c r="G1939" s="43"/>
      <c r="H1939" s="42"/>
      <c r="I1939" s="12"/>
      <c r="J1939" s="19"/>
      <c r="K1939" s="19"/>
      <c r="L1939" s="40"/>
    </row>
    <row r="1940" ht="22.5" customHeight="1">
      <c r="C1940" s="19"/>
      <c r="E1940" s="43"/>
      <c r="F1940" s="43"/>
      <c r="G1940" s="43"/>
      <c r="H1940" s="42"/>
      <c r="I1940" s="12"/>
      <c r="J1940" s="19"/>
      <c r="K1940" s="19"/>
      <c r="L1940" s="40"/>
    </row>
    <row r="1941" ht="22.5" customHeight="1">
      <c r="C1941" s="19"/>
      <c r="E1941" s="43"/>
      <c r="F1941" s="43"/>
      <c r="G1941" s="43"/>
      <c r="H1941" s="44"/>
      <c r="I1941" s="12"/>
      <c r="J1941" s="19"/>
      <c r="K1941" s="19"/>
      <c r="L1941" s="40"/>
    </row>
    <row r="1942" ht="22.5" customHeight="1">
      <c r="C1942" s="19"/>
      <c r="E1942" s="43"/>
      <c r="F1942" s="43"/>
      <c r="G1942" s="43"/>
      <c r="H1942" s="44"/>
      <c r="I1942" s="12"/>
      <c r="J1942" s="19"/>
      <c r="K1942" s="19"/>
      <c r="L1942" s="40"/>
    </row>
    <row r="1943" ht="22.5" customHeight="1">
      <c r="C1943" s="19"/>
      <c r="E1943" s="43"/>
      <c r="F1943" s="43"/>
      <c r="G1943" s="43"/>
      <c r="H1943" s="44"/>
      <c r="I1943" s="12"/>
      <c r="J1943" s="19"/>
      <c r="K1943" s="19"/>
      <c r="L1943" s="40"/>
    </row>
    <row r="1944" ht="22.5" customHeight="1">
      <c r="C1944" s="19"/>
      <c r="E1944" s="43"/>
      <c r="F1944" s="43"/>
      <c r="G1944" s="43"/>
      <c r="H1944" s="42"/>
      <c r="I1944" s="12"/>
      <c r="J1944" s="19"/>
      <c r="K1944" s="19"/>
      <c r="L1944" s="40"/>
    </row>
    <row r="1945" ht="22.5" customHeight="1">
      <c r="C1945" s="19"/>
      <c r="E1945" s="43"/>
      <c r="F1945" s="43"/>
      <c r="G1945" s="43"/>
      <c r="H1945" s="42"/>
      <c r="I1945" s="12"/>
      <c r="J1945" s="19"/>
      <c r="K1945" s="19"/>
      <c r="L1945" s="40"/>
    </row>
    <row r="1946" ht="22.5" customHeight="1">
      <c r="C1946" s="19"/>
      <c r="E1946" s="43"/>
      <c r="F1946" s="43"/>
      <c r="G1946" s="43"/>
      <c r="H1946" s="42"/>
      <c r="I1946" s="12"/>
      <c r="J1946" s="19"/>
      <c r="K1946" s="19"/>
      <c r="L1946" s="40"/>
    </row>
    <row r="1947" ht="22.5" customHeight="1">
      <c r="C1947" s="19"/>
      <c r="E1947" s="43"/>
      <c r="F1947" s="43"/>
      <c r="G1947" s="43"/>
      <c r="H1947" s="44"/>
      <c r="I1947" s="12"/>
      <c r="J1947" s="19"/>
      <c r="K1947" s="19"/>
      <c r="L1947" s="40"/>
    </row>
    <row r="1948" ht="22.5" customHeight="1">
      <c r="C1948" s="19"/>
      <c r="E1948" s="43"/>
      <c r="F1948" s="43"/>
      <c r="G1948" s="43"/>
      <c r="H1948" s="42"/>
      <c r="I1948" s="12"/>
      <c r="J1948" s="19"/>
      <c r="K1948" s="19"/>
      <c r="L1948" s="40"/>
    </row>
    <row r="1949" ht="22.5" customHeight="1">
      <c r="C1949" s="19"/>
      <c r="E1949" s="43"/>
      <c r="F1949" s="43"/>
      <c r="G1949" s="43"/>
      <c r="H1949" s="42"/>
      <c r="I1949" s="12"/>
      <c r="J1949" s="19"/>
      <c r="K1949" s="19"/>
      <c r="L1949" s="40"/>
    </row>
    <row r="1950" ht="22.5" customHeight="1">
      <c r="C1950" s="19"/>
      <c r="E1950" s="43"/>
      <c r="F1950" s="43"/>
      <c r="G1950" s="43"/>
      <c r="H1950" s="44"/>
      <c r="I1950" s="12"/>
      <c r="J1950" s="19"/>
      <c r="K1950" s="19"/>
      <c r="L1950" s="40"/>
    </row>
    <row r="1951" ht="22.5" customHeight="1">
      <c r="C1951" s="19"/>
      <c r="E1951" s="43"/>
      <c r="F1951" s="43"/>
      <c r="G1951" s="43"/>
      <c r="H1951" s="44"/>
      <c r="I1951" s="12"/>
      <c r="J1951" s="19"/>
      <c r="K1951" s="19"/>
      <c r="L1951" s="40"/>
    </row>
    <row r="1952" ht="22.5" customHeight="1">
      <c r="C1952" s="19"/>
      <c r="E1952" s="43"/>
      <c r="F1952" s="43"/>
      <c r="G1952" s="43"/>
      <c r="H1952" s="44"/>
      <c r="I1952" s="12"/>
      <c r="J1952" s="19"/>
      <c r="K1952" s="19"/>
      <c r="L1952" s="40"/>
    </row>
    <row r="1953" ht="22.5" customHeight="1">
      <c r="C1953" s="19"/>
      <c r="E1953" s="43"/>
      <c r="F1953" s="43"/>
      <c r="G1953" s="43"/>
      <c r="H1953" s="44"/>
      <c r="I1953" s="12"/>
      <c r="J1953" s="19"/>
      <c r="K1953" s="19"/>
      <c r="L1953" s="40"/>
    </row>
    <row r="1954" ht="22.5" customHeight="1">
      <c r="C1954" s="19"/>
      <c r="E1954" s="43"/>
      <c r="F1954" s="43"/>
      <c r="G1954" s="43"/>
      <c r="H1954" s="42"/>
      <c r="I1954" s="12"/>
      <c r="J1954" s="19"/>
      <c r="K1954" s="19"/>
      <c r="L1954" s="40"/>
    </row>
    <row r="1955" ht="22.5" customHeight="1">
      <c r="C1955" s="19"/>
      <c r="E1955" s="43"/>
      <c r="F1955" s="43"/>
      <c r="G1955" s="43"/>
      <c r="H1955" s="42"/>
      <c r="I1955" s="12"/>
      <c r="J1955" s="19"/>
      <c r="K1955" s="19"/>
      <c r="L1955" s="40"/>
    </row>
    <row r="1956" ht="22.5" customHeight="1">
      <c r="C1956" s="19"/>
      <c r="E1956" s="43"/>
      <c r="F1956" s="43"/>
      <c r="G1956" s="43"/>
      <c r="H1956" s="42"/>
      <c r="I1956" s="12"/>
      <c r="J1956" s="19"/>
      <c r="K1956" s="19"/>
      <c r="L1956" s="40"/>
    </row>
    <row r="1957" ht="22.5" customHeight="1">
      <c r="C1957" s="19"/>
      <c r="E1957" s="43"/>
      <c r="F1957" s="43"/>
      <c r="G1957" s="43"/>
      <c r="H1957" s="42"/>
      <c r="I1957" s="12"/>
      <c r="J1957" s="19"/>
      <c r="K1957" s="19"/>
      <c r="L1957" s="40"/>
    </row>
    <row r="1958" ht="22.5" customHeight="1">
      <c r="C1958" s="19"/>
      <c r="E1958" s="43"/>
      <c r="F1958" s="43"/>
      <c r="G1958" s="43"/>
      <c r="H1958" s="44"/>
      <c r="I1958" s="12"/>
      <c r="J1958" s="19"/>
      <c r="K1958" s="19"/>
      <c r="L1958" s="40"/>
    </row>
    <row r="1959" ht="22.5" customHeight="1">
      <c r="C1959" s="19"/>
      <c r="E1959" s="43"/>
      <c r="F1959" s="43"/>
      <c r="G1959" s="43"/>
      <c r="H1959" s="44"/>
      <c r="I1959" s="12"/>
      <c r="J1959" s="19"/>
      <c r="K1959" s="19"/>
      <c r="L1959" s="40"/>
    </row>
    <row r="1960" ht="22.5" customHeight="1">
      <c r="C1960" s="19"/>
      <c r="E1960" s="43"/>
      <c r="F1960" s="43"/>
      <c r="G1960" s="43"/>
      <c r="H1960" s="42"/>
      <c r="I1960" s="12"/>
      <c r="J1960" s="19"/>
      <c r="K1960" s="19"/>
      <c r="L1960" s="40"/>
    </row>
    <row r="1961" ht="22.5" customHeight="1">
      <c r="C1961" s="19"/>
      <c r="E1961" s="43"/>
      <c r="F1961" s="43"/>
      <c r="G1961" s="43"/>
      <c r="H1961" s="42"/>
      <c r="I1961" s="12"/>
      <c r="J1961" s="19"/>
      <c r="K1961" s="19"/>
      <c r="L1961" s="40"/>
    </row>
    <row r="1962" ht="22.5" customHeight="1">
      <c r="C1962" s="19"/>
      <c r="E1962" s="43"/>
      <c r="F1962" s="43"/>
      <c r="G1962" s="43"/>
      <c r="H1962" s="44"/>
      <c r="I1962" s="12"/>
      <c r="J1962" s="19"/>
      <c r="K1962" s="19"/>
      <c r="L1962" s="40"/>
    </row>
    <row r="1963" ht="22.5" customHeight="1">
      <c r="C1963" s="19"/>
      <c r="E1963" s="43"/>
      <c r="F1963" s="43"/>
      <c r="G1963" s="43"/>
      <c r="H1963" s="44"/>
      <c r="I1963" s="12"/>
      <c r="J1963" s="19"/>
      <c r="K1963" s="19"/>
      <c r="L1963" s="40"/>
    </row>
    <row r="1964" ht="22.5" customHeight="1">
      <c r="C1964" s="19"/>
      <c r="E1964" s="43"/>
      <c r="F1964" s="43"/>
      <c r="G1964" s="43"/>
      <c r="H1964" s="42"/>
      <c r="I1964" s="12"/>
      <c r="J1964" s="19"/>
      <c r="K1964" s="19"/>
      <c r="L1964" s="40"/>
    </row>
    <row r="1965" ht="22.5" customHeight="1">
      <c r="C1965" s="19"/>
      <c r="E1965" s="43"/>
      <c r="F1965" s="43"/>
      <c r="G1965" s="43"/>
      <c r="H1965" s="42"/>
      <c r="I1965" s="12"/>
      <c r="J1965" s="19"/>
      <c r="K1965" s="19"/>
      <c r="L1965" s="40"/>
    </row>
    <row r="1966" ht="22.5" customHeight="1">
      <c r="C1966" s="19"/>
      <c r="E1966" s="43"/>
      <c r="F1966" s="43"/>
      <c r="G1966" s="43"/>
      <c r="H1966" s="44"/>
      <c r="I1966" s="12"/>
      <c r="J1966" s="19"/>
      <c r="K1966" s="19"/>
      <c r="L1966" s="40"/>
    </row>
    <row r="1967" ht="22.5" customHeight="1">
      <c r="C1967" s="19"/>
      <c r="E1967" s="43"/>
      <c r="F1967" s="43"/>
      <c r="G1967" s="43"/>
      <c r="H1967" s="44"/>
      <c r="I1967" s="12"/>
      <c r="J1967" s="19"/>
      <c r="K1967" s="19"/>
      <c r="L1967" s="40"/>
    </row>
    <row r="1968" ht="22.5" customHeight="1">
      <c r="C1968" s="19"/>
      <c r="E1968" s="43"/>
      <c r="F1968" s="43"/>
      <c r="G1968" s="43"/>
      <c r="H1968" s="44"/>
      <c r="I1968" s="12"/>
      <c r="J1968" s="19"/>
      <c r="K1968" s="19"/>
      <c r="L1968" s="40"/>
    </row>
    <row r="1969" ht="22.5" customHeight="1">
      <c r="C1969" s="19"/>
      <c r="E1969" s="43"/>
      <c r="F1969" s="43"/>
      <c r="G1969" s="43"/>
      <c r="H1969" s="42"/>
      <c r="I1969" s="12"/>
      <c r="J1969" s="19"/>
      <c r="K1969" s="19"/>
      <c r="L1969" s="40"/>
    </row>
    <row r="1970" ht="22.5" customHeight="1">
      <c r="C1970" s="19"/>
      <c r="E1970" s="43"/>
      <c r="F1970" s="43"/>
      <c r="G1970" s="43"/>
      <c r="H1970" s="44"/>
      <c r="I1970" s="12"/>
      <c r="J1970" s="19"/>
      <c r="K1970" s="19"/>
      <c r="L1970" s="40"/>
    </row>
    <row r="1971" ht="22.5" customHeight="1">
      <c r="C1971" s="19"/>
      <c r="E1971" s="43"/>
      <c r="F1971" s="43"/>
      <c r="G1971" s="43"/>
      <c r="H1971" s="44"/>
      <c r="I1971" s="12"/>
      <c r="J1971" s="19"/>
      <c r="K1971" s="19"/>
      <c r="L1971" s="40"/>
    </row>
    <row r="1972" ht="22.5" customHeight="1">
      <c r="C1972" s="19"/>
      <c r="E1972" s="43"/>
      <c r="F1972" s="43"/>
      <c r="G1972" s="43"/>
      <c r="H1972" s="44"/>
      <c r="I1972" s="12"/>
      <c r="J1972" s="19"/>
      <c r="K1972" s="19"/>
      <c r="L1972" s="40"/>
    </row>
    <row r="1973" ht="22.5" customHeight="1">
      <c r="C1973" s="19"/>
      <c r="E1973" s="43"/>
      <c r="F1973" s="43"/>
      <c r="G1973" s="43"/>
      <c r="H1973" s="44"/>
      <c r="I1973" s="12"/>
      <c r="J1973" s="19"/>
      <c r="K1973" s="19"/>
      <c r="L1973" s="40"/>
    </row>
    <row r="1974" ht="22.5" customHeight="1">
      <c r="C1974" s="19"/>
      <c r="E1974" s="43"/>
      <c r="F1974" s="43"/>
      <c r="G1974" s="43"/>
      <c r="H1974" s="42"/>
      <c r="I1974" s="12"/>
      <c r="J1974" s="19"/>
      <c r="K1974" s="19"/>
      <c r="L1974" s="40"/>
    </row>
    <row r="1975" ht="22.5" customHeight="1">
      <c r="C1975" s="19"/>
      <c r="E1975" s="43"/>
      <c r="F1975" s="43"/>
      <c r="G1975" s="43"/>
      <c r="H1975" s="44"/>
      <c r="I1975" s="12"/>
      <c r="J1975" s="19"/>
      <c r="K1975" s="19"/>
      <c r="L1975" s="40"/>
    </row>
    <row r="1976" ht="22.5" customHeight="1">
      <c r="C1976" s="19"/>
      <c r="E1976" s="43"/>
      <c r="F1976" s="43"/>
      <c r="G1976" s="43"/>
      <c r="H1976" s="44"/>
      <c r="I1976" s="12"/>
      <c r="J1976" s="19"/>
      <c r="K1976" s="19"/>
      <c r="L1976" s="40"/>
    </row>
    <row r="1977" ht="22.5" customHeight="1">
      <c r="C1977" s="19"/>
      <c r="E1977" s="43"/>
      <c r="F1977" s="43"/>
      <c r="G1977" s="43"/>
      <c r="H1977" s="42"/>
      <c r="I1977" s="12"/>
      <c r="J1977" s="19"/>
      <c r="K1977" s="19"/>
      <c r="L1977" s="40"/>
    </row>
    <row r="1978" ht="22.5" customHeight="1">
      <c r="C1978" s="19"/>
      <c r="E1978" s="43"/>
      <c r="F1978" s="43"/>
      <c r="G1978" s="43"/>
      <c r="H1978" s="44"/>
      <c r="I1978" s="12"/>
      <c r="J1978" s="19"/>
      <c r="K1978" s="19"/>
      <c r="L1978" s="40"/>
    </row>
    <row r="1979" ht="22.5" customHeight="1">
      <c r="C1979" s="19"/>
      <c r="E1979" s="43"/>
      <c r="F1979" s="43"/>
      <c r="G1979" s="43"/>
      <c r="H1979" s="44"/>
      <c r="I1979" s="12"/>
      <c r="J1979" s="19"/>
      <c r="K1979" s="19"/>
      <c r="L1979" s="40"/>
    </row>
    <row r="1980" ht="22.5" customHeight="1">
      <c r="C1980" s="19"/>
      <c r="E1980" s="43"/>
      <c r="F1980" s="43"/>
      <c r="G1980" s="43"/>
      <c r="H1980" s="44"/>
      <c r="I1980" s="12"/>
      <c r="J1980" s="19"/>
      <c r="K1980" s="19"/>
      <c r="L1980" s="40"/>
    </row>
    <row r="1981" ht="22.5" customHeight="1">
      <c r="C1981" s="19"/>
      <c r="E1981" s="43"/>
      <c r="F1981" s="43"/>
      <c r="G1981" s="43"/>
      <c r="H1981" s="44"/>
      <c r="I1981" s="12"/>
      <c r="J1981" s="19"/>
      <c r="K1981" s="19"/>
      <c r="L1981" s="40"/>
    </row>
    <row r="1982" ht="22.5" customHeight="1">
      <c r="C1982" s="19"/>
      <c r="E1982" s="43"/>
      <c r="F1982" s="43"/>
      <c r="G1982" s="43"/>
      <c r="H1982" s="44"/>
      <c r="I1982" s="12"/>
      <c r="J1982" s="19"/>
      <c r="K1982" s="19"/>
      <c r="L1982" s="40"/>
    </row>
    <row r="1983" ht="22.5" customHeight="1">
      <c r="C1983" s="19"/>
      <c r="E1983" s="43"/>
      <c r="F1983" s="43"/>
      <c r="G1983" s="43"/>
      <c r="H1983" s="44"/>
      <c r="I1983" s="12"/>
      <c r="J1983" s="19"/>
      <c r="K1983" s="19"/>
      <c r="L1983" s="40"/>
    </row>
    <row r="1984" ht="22.5" customHeight="1">
      <c r="C1984" s="19"/>
      <c r="E1984" s="43"/>
      <c r="F1984" s="43"/>
      <c r="G1984" s="43"/>
      <c r="H1984" s="44"/>
      <c r="I1984" s="12"/>
      <c r="J1984" s="19"/>
      <c r="K1984" s="19"/>
      <c r="L1984" s="40"/>
    </row>
    <row r="1985" ht="22.5" customHeight="1">
      <c r="C1985" s="19"/>
      <c r="E1985" s="43"/>
      <c r="F1985" s="43"/>
      <c r="G1985" s="43"/>
      <c r="H1985" s="44"/>
      <c r="I1985" s="12"/>
      <c r="J1985" s="19"/>
      <c r="K1985" s="19"/>
      <c r="L1985" s="4"/>
    </row>
    <row r="1986" ht="22.5" customHeight="1">
      <c r="C1986" s="19"/>
      <c r="E1986" s="43"/>
      <c r="F1986" s="43"/>
      <c r="G1986" s="43"/>
      <c r="H1986" s="44"/>
      <c r="I1986" s="12"/>
      <c r="J1986" s="19"/>
      <c r="K1986" s="19"/>
      <c r="L1986" s="40"/>
    </row>
    <row r="1987" ht="22.5" customHeight="1">
      <c r="C1987" s="19"/>
      <c r="E1987" s="43"/>
      <c r="F1987" s="43"/>
      <c r="G1987" s="43"/>
      <c r="H1987" s="44"/>
      <c r="I1987" s="12"/>
      <c r="J1987" s="19"/>
      <c r="K1987" s="19"/>
      <c r="L1987" s="40"/>
    </row>
    <row r="1988" ht="22.5" customHeight="1">
      <c r="C1988" s="19"/>
      <c r="E1988" s="43"/>
      <c r="F1988" s="43"/>
      <c r="G1988" s="43"/>
      <c r="H1988" s="42"/>
      <c r="I1988" s="12"/>
      <c r="J1988" s="19"/>
      <c r="K1988" s="19"/>
      <c r="L1988" s="40"/>
    </row>
    <row r="1989" ht="22.5" customHeight="1">
      <c r="C1989" s="19"/>
      <c r="E1989" s="43"/>
      <c r="F1989" s="43"/>
      <c r="G1989" s="43"/>
      <c r="H1989" s="44"/>
      <c r="I1989" s="12"/>
      <c r="J1989" s="19"/>
      <c r="K1989" s="19"/>
      <c r="L1989" s="40"/>
    </row>
    <row r="1990" ht="22.5" customHeight="1">
      <c r="C1990" s="19"/>
      <c r="E1990" s="43"/>
      <c r="F1990" s="43"/>
      <c r="G1990" s="43"/>
      <c r="H1990" s="42"/>
      <c r="I1990" s="12"/>
      <c r="J1990" s="19"/>
      <c r="K1990" s="19"/>
      <c r="L1990" s="40"/>
    </row>
    <row r="1991" ht="22.5" customHeight="1">
      <c r="C1991" s="19"/>
      <c r="E1991" s="43"/>
      <c r="F1991" s="43"/>
      <c r="G1991" s="43"/>
      <c r="H1991" s="44"/>
      <c r="I1991" s="12"/>
      <c r="J1991" s="19"/>
      <c r="K1991" s="19"/>
      <c r="L1991" s="40"/>
    </row>
    <row r="1992" ht="22.5" customHeight="1">
      <c r="C1992" s="19"/>
      <c r="E1992" s="43"/>
      <c r="F1992" s="43"/>
      <c r="G1992" s="43"/>
      <c r="H1992" s="42"/>
      <c r="I1992" s="12"/>
      <c r="J1992" s="19"/>
      <c r="K1992" s="19"/>
      <c r="L1992" s="40"/>
    </row>
    <row r="1993" ht="22.5" customHeight="1">
      <c r="C1993" s="19"/>
      <c r="E1993" s="43"/>
      <c r="F1993" s="43"/>
      <c r="G1993" s="43"/>
      <c r="H1993" s="44"/>
      <c r="I1993" s="12"/>
      <c r="J1993" s="19"/>
      <c r="K1993" s="19"/>
      <c r="L1993" s="40"/>
    </row>
    <row r="1994" ht="22.5" customHeight="1">
      <c r="C1994" s="19"/>
      <c r="E1994" s="43"/>
      <c r="F1994" s="43"/>
      <c r="G1994" s="43"/>
      <c r="H1994" s="42"/>
      <c r="I1994" s="12"/>
      <c r="J1994" s="19"/>
      <c r="K1994" s="19"/>
      <c r="L1994" s="40"/>
    </row>
    <row r="1995" ht="22.5" customHeight="1">
      <c r="C1995" s="19"/>
      <c r="E1995" s="43"/>
      <c r="F1995" s="43"/>
      <c r="G1995" s="43"/>
      <c r="H1995" s="42"/>
      <c r="I1995" s="12"/>
      <c r="J1995" s="19"/>
      <c r="K1995" s="19"/>
      <c r="L1995" s="40"/>
    </row>
    <row r="1996" ht="22.5" customHeight="1">
      <c r="C1996" s="19"/>
      <c r="E1996" s="43"/>
      <c r="F1996" s="43"/>
      <c r="G1996" s="43"/>
      <c r="H1996" s="42"/>
      <c r="I1996" s="12"/>
      <c r="J1996" s="19"/>
      <c r="K1996" s="19"/>
      <c r="L1996" s="40"/>
    </row>
    <row r="1997" ht="22.5" customHeight="1">
      <c r="C1997" s="19"/>
      <c r="E1997" s="43"/>
      <c r="F1997" s="43"/>
      <c r="G1997" s="43"/>
      <c r="H1997" s="42"/>
      <c r="I1997" s="12"/>
      <c r="J1997" s="19"/>
      <c r="K1997" s="19"/>
      <c r="L1997" s="40"/>
    </row>
    <row r="1998" ht="22.5" customHeight="1">
      <c r="C1998" s="19"/>
      <c r="E1998" s="43"/>
      <c r="F1998" s="43"/>
      <c r="G1998" s="43"/>
      <c r="H1998" s="42"/>
      <c r="I1998" s="12"/>
      <c r="J1998" s="19"/>
      <c r="K1998" s="19"/>
      <c r="L1998" s="40"/>
    </row>
    <row r="1999" ht="22.5" customHeight="1">
      <c r="C1999" s="19"/>
      <c r="E1999" s="43"/>
      <c r="F1999" s="43"/>
      <c r="G1999" s="43"/>
      <c r="H1999" s="44"/>
      <c r="I1999" s="12"/>
      <c r="J1999" s="19"/>
      <c r="K1999" s="19"/>
      <c r="L1999" s="40"/>
    </row>
    <row r="2000" ht="22.5" customHeight="1">
      <c r="C2000" s="19"/>
      <c r="E2000" s="43"/>
      <c r="F2000" s="43"/>
      <c r="G2000" s="43"/>
      <c r="H2000" s="42"/>
      <c r="I2000" s="12"/>
      <c r="J2000" s="19"/>
      <c r="K2000" s="19"/>
      <c r="L2000" s="40"/>
    </row>
    <row r="2001" ht="22.5" customHeight="1">
      <c r="C2001" s="19"/>
      <c r="E2001" s="43"/>
      <c r="F2001" s="43"/>
      <c r="G2001" s="43"/>
      <c r="H2001" s="42"/>
      <c r="I2001" s="12"/>
      <c r="J2001" s="19"/>
      <c r="K2001" s="19"/>
      <c r="L2001" s="40"/>
    </row>
    <row r="2002" ht="22.5" customHeight="1">
      <c r="C2002" s="19"/>
      <c r="E2002" s="43"/>
      <c r="F2002" s="43"/>
      <c r="G2002" s="43"/>
      <c r="H2002" s="44"/>
      <c r="I2002" s="12"/>
      <c r="J2002" s="19"/>
      <c r="K2002" s="19"/>
      <c r="L2002" s="40"/>
    </row>
    <row r="2003" ht="22.5" customHeight="1">
      <c r="C2003" s="19"/>
      <c r="E2003" s="43"/>
      <c r="F2003" s="43"/>
      <c r="G2003" s="43"/>
      <c r="H2003" s="42"/>
      <c r="I2003" s="12"/>
      <c r="J2003" s="19"/>
      <c r="K2003" s="19"/>
      <c r="L2003" s="40"/>
    </row>
    <row r="2004" ht="22.5" customHeight="1">
      <c r="C2004" s="19"/>
      <c r="E2004" s="43"/>
      <c r="F2004" s="43"/>
      <c r="G2004" s="43"/>
      <c r="H2004" s="42"/>
      <c r="I2004" s="12"/>
      <c r="J2004" s="19"/>
      <c r="K2004" s="19"/>
      <c r="L2004" s="40"/>
    </row>
    <row r="2005" ht="22.5" customHeight="1">
      <c r="C2005" s="19"/>
      <c r="E2005" s="43"/>
      <c r="F2005" s="43"/>
      <c r="G2005" s="43"/>
      <c r="H2005" s="44"/>
      <c r="I2005" s="12"/>
      <c r="J2005" s="19"/>
      <c r="K2005" s="19"/>
      <c r="L2005" s="40"/>
    </row>
    <row r="2006" ht="22.5" customHeight="1">
      <c r="C2006" s="19"/>
      <c r="E2006" s="43"/>
      <c r="F2006" s="43"/>
      <c r="G2006" s="43"/>
      <c r="H2006" s="44"/>
      <c r="I2006" s="12"/>
      <c r="J2006" s="19"/>
      <c r="K2006" s="19"/>
      <c r="L2006" s="40"/>
    </row>
    <row r="2007" ht="22.5" customHeight="1">
      <c r="C2007" s="19"/>
      <c r="E2007" s="43"/>
      <c r="F2007" s="43"/>
      <c r="G2007" s="43"/>
      <c r="H2007" s="42"/>
      <c r="I2007" s="12"/>
      <c r="J2007" s="19"/>
      <c r="K2007" s="19"/>
      <c r="L2007" s="40"/>
    </row>
    <row r="2008" ht="22.5" customHeight="1">
      <c r="C2008" s="19"/>
      <c r="E2008" s="43"/>
      <c r="F2008" s="43"/>
      <c r="G2008" s="43"/>
      <c r="H2008" s="44"/>
      <c r="I2008" s="12"/>
      <c r="J2008" s="19"/>
      <c r="K2008" s="19"/>
      <c r="L2008" s="40"/>
    </row>
    <row r="2009" ht="22.5" customHeight="1">
      <c r="C2009" s="19"/>
      <c r="E2009" s="43"/>
      <c r="F2009" s="43"/>
      <c r="G2009" s="43"/>
      <c r="H2009" s="42"/>
      <c r="I2009" s="12"/>
      <c r="J2009" s="19"/>
      <c r="K2009" s="19"/>
      <c r="L2009" s="40"/>
    </row>
    <row r="2010" ht="22.5" customHeight="1">
      <c r="C2010" s="19"/>
      <c r="E2010" s="43"/>
      <c r="F2010" s="43"/>
      <c r="G2010" s="43"/>
      <c r="H2010" s="42"/>
      <c r="I2010" s="12"/>
      <c r="J2010" s="19"/>
      <c r="K2010" s="19"/>
      <c r="L2010" s="40"/>
    </row>
    <row r="2011" ht="22.5" customHeight="1">
      <c r="C2011" s="19"/>
      <c r="E2011" s="43"/>
      <c r="F2011" s="43"/>
      <c r="G2011" s="43"/>
      <c r="H2011" s="44"/>
      <c r="I2011" s="12"/>
      <c r="J2011" s="19"/>
      <c r="K2011" s="19"/>
      <c r="L2011" s="40"/>
    </row>
    <row r="2012" ht="22.5" customHeight="1">
      <c r="C2012" s="19"/>
      <c r="E2012" s="43"/>
      <c r="F2012" s="43"/>
      <c r="G2012" s="43"/>
      <c r="H2012" s="42"/>
      <c r="I2012" s="12"/>
      <c r="J2012" s="19"/>
      <c r="K2012" s="19"/>
      <c r="L2012" s="40"/>
    </row>
    <row r="2013" ht="22.5" customHeight="1">
      <c r="C2013" s="19"/>
      <c r="E2013" s="43"/>
      <c r="F2013" s="43"/>
      <c r="G2013" s="43"/>
      <c r="H2013" s="42"/>
      <c r="I2013" s="12"/>
      <c r="J2013" s="19"/>
      <c r="K2013" s="19"/>
      <c r="L2013" s="40"/>
    </row>
    <row r="2014" ht="22.5" customHeight="1">
      <c r="C2014" s="19"/>
      <c r="E2014" s="43"/>
      <c r="F2014" s="43"/>
      <c r="G2014" s="43"/>
      <c r="H2014" s="44"/>
      <c r="I2014" s="12"/>
      <c r="J2014" s="19"/>
      <c r="K2014" s="19"/>
      <c r="L2014" s="40"/>
    </row>
    <row r="2015" ht="22.5" customHeight="1">
      <c r="C2015" s="19"/>
      <c r="E2015" s="43"/>
      <c r="F2015" s="43"/>
      <c r="G2015" s="43"/>
      <c r="H2015" s="42"/>
      <c r="I2015" s="12"/>
      <c r="J2015" s="19"/>
      <c r="K2015" s="19"/>
      <c r="L2015" s="40"/>
    </row>
    <row r="2016" ht="22.5" customHeight="1">
      <c r="C2016" s="19"/>
      <c r="E2016" s="43"/>
      <c r="F2016" s="43"/>
      <c r="G2016" s="43"/>
      <c r="H2016" s="42"/>
      <c r="I2016" s="12"/>
      <c r="J2016" s="19"/>
      <c r="K2016" s="19"/>
      <c r="L2016" s="40"/>
    </row>
    <row r="2017" ht="22.5" customHeight="1">
      <c r="C2017" s="19"/>
      <c r="E2017" s="43"/>
      <c r="F2017" s="43"/>
      <c r="G2017" s="43"/>
      <c r="H2017" s="42"/>
      <c r="I2017" s="12"/>
      <c r="J2017" s="19"/>
      <c r="K2017" s="19"/>
      <c r="L2017" s="40"/>
    </row>
    <row r="2018" ht="22.5" customHeight="1">
      <c r="C2018" s="19"/>
      <c r="E2018" s="43"/>
      <c r="F2018" s="43"/>
      <c r="G2018" s="43"/>
      <c r="H2018" s="42"/>
      <c r="I2018" s="12"/>
      <c r="J2018" s="19"/>
      <c r="K2018" s="19"/>
      <c r="L2018" s="40"/>
    </row>
    <row r="2019" ht="22.5" customHeight="1">
      <c r="C2019" s="19"/>
      <c r="E2019" s="43"/>
      <c r="F2019" s="43"/>
      <c r="G2019" s="43"/>
      <c r="H2019" s="44"/>
      <c r="I2019" s="12"/>
      <c r="J2019" s="19"/>
      <c r="K2019" s="19"/>
      <c r="L2019" s="40"/>
    </row>
    <row r="2020" ht="22.5" customHeight="1">
      <c r="C2020" s="19"/>
      <c r="E2020" s="43"/>
      <c r="F2020" s="43"/>
      <c r="G2020" s="43"/>
      <c r="H2020" s="42"/>
      <c r="I2020" s="12"/>
      <c r="J2020" s="19"/>
      <c r="K2020" s="19"/>
      <c r="L2020" s="40"/>
    </row>
    <row r="2021" ht="22.5" customHeight="1">
      <c r="C2021" s="19"/>
      <c r="E2021" s="43"/>
      <c r="F2021" s="43"/>
      <c r="G2021" s="43"/>
      <c r="H2021" s="44"/>
      <c r="I2021" s="12"/>
      <c r="J2021" s="19"/>
      <c r="K2021" s="19"/>
      <c r="L2021" s="40"/>
    </row>
    <row r="2022" ht="22.5" customHeight="1">
      <c r="C2022" s="19"/>
      <c r="E2022" s="43"/>
      <c r="F2022" s="43"/>
      <c r="G2022" s="43"/>
      <c r="H2022" s="44"/>
      <c r="I2022" s="12"/>
      <c r="J2022" s="19"/>
      <c r="K2022" s="19"/>
      <c r="L2022" s="40"/>
    </row>
    <row r="2023" ht="22.5" customHeight="1">
      <c r="C2023" s="19"/>
      <c r="E2023" s="43"/>
      <c r="F2023" s="43"/>
      <c r="G2023" s="43"/>
      <c r="H2023" s="42"/>
      <c r="I2023" s="12"/>
      <c r="J2023" s="19"/>
      <c r="K2023" s="19"/>
      <c r="L2023" s="40"/>
    </row>
    <row r="2024" ht="22.5" customHeight="1">
      <c r="C2024" s="19"/>
      <c r="E2024" s="43"/>
      <c r="F2024" s="43"/>
      <c r="G2024" s="43"/>
      <c r="H2024" s="42"/>
      <c r="I2024" s="12"/>
      <c r="J2024" s="19"/>
      <c r="K2024" s="19"/>
      <c r="L2024" s="40"/>
    </row>
    <row r="2025" ht="22.5" customHeight="1">
      <c r="C2025" s="19"/>
      <c r="E2025" s="43"/>
      <c r="F2025" s="43"/>
      <c r="G2025" s="43"/>
      <c r="H2025" s="44"/>
      <c r="I2025" s="12"/>
      <c r="J2025" s="19"/>
      <c r="K2025" s="19"/>
      <c r="L2025" s="40"/>
    </row>
    <row r="2026" ht="22.5" customHeight="1"/>
    <row r="2027" ht="22.5" customHeight="1"/>
    <row r="2028" ht="22.5" customHeight="1"/>
    <row r="2029" ht="22.5" customHeight="1"/>
    <row r="2030" ht="22.5" customHeight="1"/>
    <row r="2031" ht="22.5" customHeight="1"/>
    <row r="2032" ht="22.5" customHeight="1"/>
    <row r="2033" ht="22.5" customHeight="1"/>
    <row r="2034" ht="22.5" customHeight="1"/>
    <row r="2035" ht="22.5" customHeight="1"/>
    <row r="2036" ht="22.5" customHeight="1"/>
    <row r="2037" ht="22.5" customHeight="1"/>
    <row r="2038" ht="22.5" customHeight="1"/>
    <row r="2039" ht="22.5" customHeight="1"/>
    <row r="2040" ht="22.5" customHeight="1"/>
    <row r="2041" ht="22.5" customHeight="1"/>
    <row r="2042" ht="22.5" customHeight="1"/>
    <row r="2043" ht="22.5" customHeight="1"/>
    <row r="2044" ht="22.5" customHeight="1"/>
    <row r="2045" ht="22.5" customHeight="1"/>
    <row r="2046" ht="22.5" customHeight="1"/>
    <row r="2047" ht="22.5" customHeight="1"/>
    <row r="2048" ht="22.5" customHeight="1"/>
    <row r="2049" ht="22.5" customHeight="1"/>
    <row r="2050" ht="22.5" customHeight="1"/>
    <row r="2051" ht="22.5" customHeight="1"/>
    <row r="2052" ht="22.5" customHeight="1"/>
    <row r="2053" ht="22.5" customHeight="1"/>
    <row r="2054" ht="22.5" customHeight="1"/>
    <row r="2055" ht="22.5" customHeight="1">
      <c r="C2055" s="19"/>
      <c r="D2055" s="39"/>
      <c r="E2055" s="43"/>
      <c r="F2055" s="43"/>
      <c r="G2055" s="43"/>
      <c r="H2055" s="42"/>
      <c r="I2055" s="12"/>
      <c r="J2055" s="19"/>
      <c r="K2055" s="19"/>
      <c r="L2055" s="40"/>
    </row>
    <row r="2056" ht="22.5" customHeight="1">
      <c r="C2056" s="19"/>
      <c r="D2056" s="39"/>
      <c r="E2056" s="43"/>
      <c r="F2056" s="43"/>
      <c r="G2056" s="43"/>
      <c r="H2056" s="42"/>
      <c r="I2056" s="12"/>
      <c r="J2056" s="19"/>
      <c r="K2056" s="19"/>
      <c r="L2056" s="40"/>
    </row>
    <row r="2057" ht="22.5" customHeight="1">
      <c r="C2057" s="19"/>
      <c r="D2057" s="39"/>
      <c r="E2057" s="43"/>
      <c r="F2057" s="43"/>
      <c r="G2057" s="43"/>
      <c r="H2057" s="42"/>
      <c r="I2057" s="12"/>
      <c r="J2057" s="19"/>
      <c r="K2057" s="19"/>
      <c r="L2057" s="40"/>
    </row>
    <row r="2058" ht="22.5" customHeight="1">
      <c r="C2058" s="19"/>
      <c r="D2058" s="39"/>
      <c r="E2058" s="43"/>
      <c r="F2058" s="43"/>
      <c r="G2058" s="43"/>
      <c r="H2058" s="42"/>
      <c r="I2058" s="12"/>
      <c r="J2058" s="19"/>
      <c r="K2058" s="19"/>
      <c r="L2058" s="40"/>
    </row>
    <row r="2059" ht="22.5" customHeight="1">
      <c r="C2059" s="19"/>
      <c r="D2059" s="39"/>
      <c r="E2059" s="43"/>
      <c r="F2059" s="43"/>
      <c r="G2059" s="43"/>
      <c r="H2059" s="42"/>
      <c r="I2059" s="12"/>
      <c r="J2059" s="19"/>
      <c r="K2059" s="19"/>
      <c r="L2059" s="40"/>
    </row>
    <row r="2060" ht="22.5" customHeight="1">
      <c r="C2060" s="19"/>
      <c r="D2060" s="39"/>
      <c r="E2060" s="43"/>
      <c r="F2060" s="43"/>
      <c r="G2060" s="43"/>
      <c r="H2060" s="42"/>
      <c r="I2060" s="12"/>
      <c r="J2060" s="19"/>
      <c r="K2060" s="19"/>
      <c r="L2060" s="40"/>
    </row>
    <row r="2061" ht="22.5" customHeight="1">
      <c r="C2061" s="19"/>
      <c r="D2061" s="39"/>
      <c r="E2061" s="43"/>
      <c r="F2061" s="43"/>
      <c r="G2061" s="43"/>
      <c r="H2061" s="42"/>
      <c r="I2061" s="12"/>
      <c r="J2061" s="19"/>
      <c r="K2061" s="19"/>
      <c r="L2061" s="40"/>
    </row>
    <row r="2062" ht="22.5" customHeight="1">
      <c r="C2062" s="19"/>
      <c r="D2062" s="39"/>
      <c r="E2062" s="43"/>
      <c r="F2062" s="43"/>
      <c r="G2062" s="43"/>
      <c r="H2062" s="42"/>
      <c r="I2062" s="12"/>
      <c r="J2062" s="19"/>
      <c r="K2062" s="19"/>
      <c r="L2062" s="40"/>
    </row>
    <row r="2063" ht="22.5" customHeight="1">
      <c r="C2063" s="19"/>
      <c r="D2063" s="39"/>
      <c r="E2063" s="43"/>
      <c r="F2063" s="43"/>
      <c r="G2063" s="43"/>
      <c r="H2063" s="42"/>
      <c r="I2063" s="12"/>
      <c r="J2063" s="19"/>
      <c r="K2063" s="19"/>
      <c r="L2063" s="40"/>
    </row>
    <row r="2064" ht="22.5" customHeight="1">
      <c r="C2064" s="19"/>
      <c r="D2064" s="39"/>
      <c r="E2064" s="43"/>
      <c r="F2064" s="43"/>
      <c r="G2064" s="43"/>
      <c r="H2064" s="42"/>
      <c r="I2064" s="12"/>
      <c r="J2064" s="19"/>
      <c r="K2064" s="19"/>
      <c r="L2064" s="40"/>
    </row>
    <row r="2065" ht="22.5" customHeight="1">
      <c r="C2065" s="19"/>
      <c r="D2065" s="39"/>
      <c r="E2065" s="43"/>
      <c r="F2065" s="43"/>
      <c r="G2065" s="43"/>
      <c r="H2065" s="42"/>
      <c r="I2065" s="12"/>
      <c r="J2065" s="19"/>
      <c r="K2065" s="19"/>
      <c r="L2065" s="40"/>
    </row>
    <row r="2066" ht="22.5" customHeight="1">
      <c r="C2066" s="19"/>
      <c r="D2066" s="39"/>
      <c r="E2066" s="43"/>
      <c r="F2066" s="43"/>
      <c r="G2066" s="43"/>
      <c r="H2066" s="42"/>
      <c r="I2066" s="12"/>
      <c r="J2066" s="19"/>
      <c r="K2066" s="19"/>
      <c r="L2066" s="40"/>
    </row>
    <row r="2067" ht="22.5" customHeight="1">
      <c r="C2067" s="19"/>
      <c r="D2067" s="39"/>
      <c r="E2067" s="43"/>
      <c r="F2067" s="43"/>
      <c r="G2067" s="43"/>
      <c r="H2067" s="42"/>
      <c r="I2067" s="12"/>
      <c r="J2067" s="19"/>
      <c r="K2067" s="19"/>
      <c r="L2067" s="40"/>
    </row>
    <row r="2068" ht="22.5" customHeight="1">
      <c r="C2068" s="19"/>
      <c r="D2068" s="39"/>
      <c r="E2068" s="43"/>
      <c r="F2068" s="43"/>
      <c r="G2068" s="43"/>
      <c r="H2068" s="42"/>
      <c r="I2068" s="12"/>
      <c r="J2068" s="19"/>
      <c r="K2068" s="19"/>
      <c r="L2068" s="40"/>
    </row>
    <row r="2069" ht="22.5" customHeight="1">
      <c r="C2069" s="19"/>
      <c r="D2069" s="39"/>
      <c r="E2069" s="43"/>
      <c r="F2069" s="43"/>
      <c r="G2069" s="43"/>
      <c r="H2069" s="42"/>
      <c r="I2069" s="12"/>
      <c r="J2069" s="19"/>
      <c r="K2069" s="19"/>
      <c r="L2069" s="40"/>
    </row>
    <row r="2070" ht="22.5" customHeight="1">
      <c r="C2070" s="19"/>
      <c r="D2070" s="39"/>
      <c r="E2070" s="43"/>
      <c r="F2070" s="43"/>
      <c r="G2070" s="43"/>
      <c r="H2070" s="42"/>
      <c r="I2070" s="12"/>
      <c r="J2070" s="19"/>
      <c r="K2070" s="19"/>
      <c r="L2070" s="40"/>
    </row>
    <row r="2071" ht="22.5" customHeight="1">
      <c r="C2071" s="19"/>
      <c r="D2071" s="39"/>
      <c r="E2071" s="43"/>
      <c r="F2071" s="43"/>
      <c r="G2071" s="43"/>
      <c r="H2071" s="42"/>
      <c r="I2071" s="12"/>
      <c r="J2071" s="19"/>
      <c r="K2071" s="19"/>
      <c r="L2071" s="40"/>
    </row>
    <row r="2072" ht="22.5" customHeight="1">
      <c r="C2072" s="19"/>
      <c r="D2072" s="39"/>
      <c r="E2072" s="43"/>
      <c r="F2072" s="43"/>
      <c r="G2072" s="43"/>
      <c r="H2072" s="42"/>
      <c r="I2072" s="12"/>
      <c r="J2072" s="19"/>
      <c r="K2072" s="19"/>
      <c r="L2072" s="40"/>
    </row>
    <row r="2073" ht="22.5" customHeight="1">
      <c r="C2073" s="19"/>
      <c r="D2073" s="39"/>
      <c r="E2073" s="43"/>
      <c r="F2073" s="43"/>
      <c r="G2073" s="43"/>
      <c r="H2073" s="42"/>
      <c r="I2073" s="12"/>
      <c r="J2073" s="19"/>
      <c r="K2073" s="19"/>
      <c r="L2073" s="40"/>
    </row>
    <row r="2074" ht="22.5" customHeight="1">
      <c r="C2074" s="19"/>
      <c r="D2074" s="39"/>
      <c r="E2074" s="43"/>
      <c r="F2074" s="43"/>
      <c r="G2074" s="43"/>
      <c r="H2074" s="42"/>
      <c r="I2074" s="12"/>
      <c r="J2074" s="19"/>
      <c r="K2074" s="19"/>
      <c r="L2074" s="40"/>
    </row>
    <row r="2075" ht="22.5" customHeight="1">
      <c r="C2075" s="19"/>
      <c r="D2075" s="39"/>
      <c r="E2075" s="43"/>
      <c r="F2075" s="43"/>
      <c r="G2075" s="43"/>
      <c r="H2075" s="42"/>
      <c r="I2075" s="12"/>
      <c r="J2075" s="19"/>
      <c r="K2075" s="19"/>
      <c r="L2075" s="40"/>
    </row>
    <row r="2076" ht="22.5" customHeight="1">
      <c r="C2076" s="19"/>
      <c r="D2076" s="39"/>
      <c r="E2076" s="43"/>
      <c r="F2076" s="43"/>
      <c r="G2076" s="43"/>
      <c r="H2076" s="42"/>
      <c r="I2076" s="12"/>
      <c r="J2076" s="19"/>
      <c r="K2076" s="19"/>
      <c r="L2076" s="40"/>
    </row>
    <row r="2077" ht="22.5" customHeight="1">
      <c r="C2077" s="19"/>
      <c r="D2077" s="39"/>
      <c r="E2077" s="43"/>
      <c r="F2077" s="43"/>
      <c r="G2077" s="43"/>
      <c r="H2077" s="42"/>
      <c r="I2077" s="12"/>
      <c r="J2077" s="19"/>
      <c r="K2077" s="19"/>
      <c r="L2077" s="40"/>
    </row>
    <row r="2078" ht="22.5" customHeight="1">
      <c r="C2078" s="19"/>
      <c r="D2078" s="39"/>
      <c r="E2078" s="43"/>
      <c r="F2078" s="43"/>
      <c r="G2078" s="43"/>
      <c r="H2078" s="42"/>
      <c r="I2078" s="12"/>
      <c r="J2078" s="19"/>
      <c r="K2078" s="19"/>
      <c r="L2078" s="40"/>
    </row>
    <row r="2079" ht="22.5" customHeight="1">
      <c r="C2079" s="19"/>
      <c r="D2079" s="39"/>
      <c r="E2079" s="43"/>
      <c r="F2079" s="43"/>
      <c r="G2079" s="43"/>
      <c r="H2079" s="42"/>
      <c r="I2079" s="12"/>
      <c r="J2079" s="19"/>
      <c r="K2079" s="19"/>
      <c r="L2079" s="40"/>
    </row>
    <row r="2080" ht="22.5" customHeight="1">
      <c r="C2080" s="19"/>
      <c r="D2080" s="39"/>
      <c r="E2080" s="43"/>
      <c r="F2080" s="43"/>
      <c r="G2080" s="43"/>
      <c r="H2080" s="42"/>
      <c r="I2080" s="12"/>
      <c r="J2080" s="19"/>
      <c r="K2080" s="19"/>
      <c r="L2080" s="40"/>
    </row>
    <row r="2081" ht="22.5" customHeight="1">
      <c r="C2081" s="19"/>
      <c r="D2081" s="39"/>
      <c r="E2081" s="43"/>
      <c r="F2081" s="43"/>
      <c r="G2081" s="43"/>
      <c r="H2081" s="42"/>
      <c r="I2081" s="12"/>
      <c r="J2081" s="19"/>
      <c r="K2081" s="19"/>
      <c r="L2081" s="40"/>
    </row>
    <row r="2082" ht="22.5" customHeight="1">
      <c r="C2082" s="19"/>
      <c r="D2082" s="39"/>
      <c r="E2082" s="43"/>
      <c r="F2082" s="43"/>
      <c r="G2082" s="43"/>
      <c r="H2082" s="42"/>
      <c r="I2082" s="12"/>
      <c r="J2082" s="19"/>
      <c r="K2082" s="19"/>
      <c r="L2082" s="40"/>
    </row>
    <row r="2083" ht="22.5" customHeight="1">
      <c r="C2083" s="19"/>
      <c r="D2083" s="39"/>
      <c r="E2083" s="43"/>
      <c r="F2083" s="43"/>
      <c r="G2083" s="43"/>
      <c r="H2083" s="42"/>
      <c r="I2083" s="12"/>
      <c r="J2083" s="19"/>
      <c r="K2083" s="19"/>
      <c r="L2083" s="40"/>
    </row>
    <row r="2084" ht="22.5" customHeight="1">
      <c r="C2084" s="19"/>
      <c r="D2084" s="39"/>
      <c r="E2084" s="43"/>
      <c r="F2084" s="43"/>
      <c r="G2084" s="43"/>
      <c r="H2084" s="42"/>
      <c r="I2084" s="12"/>
      <c r="J2084" s="19"/>
      <c r="K2084" s="19"/>
      <c r="L2084" s="40"/>
    </row>
    <row r="2085" ht="22.5" customHeight="1">
      <c r="C2085" s="19"/>
      <c r="D2085" s="39"/>
      <c r="E2085" s="43"/>
      <c r="F2085" s="43"/>
      <c r="G2085" s="43"/>
      <c r="H2085" s="42"/>
      <c r="I2085" s="12"/>
      <c r="J2085" s="19"/>
      <c r="K2085" s="19"/>
      <c r="L2085" s="40"/>
    </row>
    <row r="2086" ht="22.5" customHeight="1">
      <c r="C2086" s="19"/>
      <c r="D2086" s="39"/>
      <c r="E2086" s="43"/>
      <c r="F2086" s="43"/>
      <c r="G2086" s="43"/>
      <c r="H2086" s="42"/>
      <c r="I2086" s="12"/>
      <c r="J2086" s="19"/>
      <c r="K2086" s="19"/>
      <c r="L2086" s="40"/>
    </row>
    <row r="2087" ht="22.5" customHeight="1">
      <c r="C2087" s="19"/>
      <c r="D2087" s="39"/>
      <c r="E2087" s="43"/>
      <c r="F2087" s="43"/>
      <c r="G2087" s="43"/>
      <c r="H2087" s="42"/>
      <c r="I2087" s="12"/>
      <c r="J2087" s="19"/>
      <c r="K2087" s="19"/>
      <c r="L2087" s="40"/>
    </row>
    <row r="2088" ht="22.5" customHeight="1">
      <c r="C2088" s="19"/>
      <c r="D2088" s="39"/>
      <c r="E2088" s="43"/>
      <c r="F2088" s="43"/>
      <c r="G2088" s="43"/>
      <c r="H2088" s="42"/>
      <c r="I2088" s="12"/>
      <c r="J2088" s="19"/>
      <c r="K2088" s="19"/>
      <c r="L2088" s="40"/>
    </row>
    <row r="2089" ht="22.5" customHeight="1">
      <c r="C2089" s="19"/>
      <c r="D2089" s="39"/>
      <c r="E2089" s="43"/>
      <c r="F2089" s="43"/>
      <c r="G2089" s="43"/>
      <c r="H2089" s="42"/>
      <c r="I2089" s="12"/>
      <c r="J2089" s="19"/>
      <c r="K2089" s="19"/>
      <c r="L2089" s="40"/>
    </row>
    <row r="2090" ht="22.5" customHeight="1">
      <c r="C2090" s="19"/>
      <c r="D2090" s="39"/>
      <c r="E2090" s="43"/>
      <c r="F2090" s="43"/>
      <c r="G2090" s="43"/>
      <c r="H2090" s="42"/>
      <c r="I2090" s="12"/>
      <c r="J2090" s="19"/>
      <c r="K2090" s="19"/>
      <c r="L2090" s="40"/>
    </row>
    <row r="2091" ht="22.5" customHeight="1">
      <c r="C2091" s="19"/>
      <c r="D2091" s="39"/>
      <c r="E2091" s="43"/>
      <c r="F2091" s="43"/>
      <c r="G2091" s="43"/>
      <c r="H2091" s="42"/>
      <c r="I2091" s="12"/>
      <c r="J2091" s="19"/>
      <c r="K2091" s="19"/>
      <c r="L2091" s="40"/>
    </row>
    <row r="2092" ht="22.5" customHeight="1">
      <c r="C2092" s="19"/>
      <c r="D2092" s="39"/>
      <c r="E2092" s="43"/>
      <c r="F2092" s="43"/>
      <c r="G2092" s="43"/>
      <c r="H2092" s="42"/>
      <c r="I2092" s="12"/>
      <c r="J2092" s="19"/>
      <c r="K2092" s="19"/>
      <c r="L2092" s="40"/>
    </row>
    <row r="2093" ht="22.5" customHeight="1">
      <c r="C2093" s="19"/>
      <c r="D2093" s="39"/>
      <c r="E2093" s="43"/>
      <c r="F2093" s="43"/>
      <c r="G2093" s="43"/>
      <c r="H2093" s="42"/>
      <c r="I2093" s="12"/>
      <c r="J2093" s="19"/>
      <c r="K2093" s="19"/>
      <c r="L2093" s="40"/>
    </row>
    <row r="2094" ht="22.5" customHeight="1">
      <c r="C2094" s="19"/>
      <c r="D2094" s="39"/>
      <c r="E2094" s="43"/>
      <c r="F2094" s="43"/>
      <c r="G2094" s="43"/>
      <c r="H2094" s="42"/>
      <c r="I2094" s="12"/>
      <c r="J2094" s="19"/>
      <c r="K2094" s="19"/>
      <c r="L2094" s="40"/>
    </row>
    <row r="2095" ht="22.5" customHeight="1">
      <c r="C2095" s="19"/>
      <c r="D2095" s="39"/>
      <c r="E2095" s="43"/>
      <c r="F2095" s="43"/>
      <c r="G2095" s="43"/>
      <c r="H2095" s="42"/>
      <c r="I2095" s="12"/>
      <c r="J2095" s="19"/>
      <c r="K2095" s="19"/>
      <c r="L2095" s="40"/>
    </row>
    <row r="2096" ht="22.5" customHeight="1">
      <c r="C2096" s="19"/>
      <c r="D2096" s="39"/>
      <c r="E2096" s="43"/>
      <c r="F2096" s="43"/>
      <c r="G2096" s="43"/>
      <c r="H2096" s="42"/>
      <c r="I2096" s="12"/>
      <c r="J2096" s="19"/>
      <c r="K2096" s="19"/>
      <c r="L2096" s="40"/>
    </row>
    <row r="2097" ht="22.5" customHeight="1">
      <c r="C2097" s="19"/>
      <c r="D2097" s="39"/>
      <c r="E2097" s="43"/>
      <c r="F2097" s="43"/>
      <c r="G2097" s="43"/>
      <c r="H2097" s="42"/>
      <c r="I2097" s="12"/>
      <c r="J2097" s="19"/>
      <c r="K2097" s="19"/>
      <c r="L2097" s="40"/>
    </row>
    <row r="2098" ht="22.5" customHeight="1">
      <c r="C2098" s="19"/>
      <c r="D2098" s="39"/>
      <c r="E2098" s="43"/>
      <c r="F2098" s="43"/>
      <c r="G2098" s="43"/>
      <c r="H2098" s="42"/>
      <c r="I2098" s="12"/>
      <c r="J2098" s="19"/>
      <c r="K2098" s="19"/>
      <c r="L2098" s="40"/>
    </row>
    <row r="2099" ht="22.5" customHeight="1">
      <c r="C2099" s="19"/>
      <c r="D2099" s="39"/>
      <c r="E2099" s="43"/>
      <c r="F2099" s="43"/>
      <c r="G2099" s="43"/>
      <c r="H2099" s="42"/>
      <c r="I2099" s="12"/>
      <c r="J2099" s="19"/>
      <c r="K2099" s="19"/>
      <c r="L2099" s="40"/>
    </row>
    <row r="2100" ht="22.5" customHeight="1">
      <c r="C2100" s="19"/>
      <c r="D2100" s="39"/>
      <c r="E2100" s="43"/>
      <c r="F2100" s="43"/>
      <c r="G2100" s="43"/>
      <c r="H2100" s="42"/>
      <c r="I2100" s="12"/>
      <c r="J2100" s="19"/>
      <c r="K2100" s="19"/>
      <c r="L2100" s="40"/>
    </row>
    <row r="2101" ht="22.5" customHeight="1">
      <c r="C2101" s="19"/>
      <c r="D2101" s="39"/>
      <c r="E2101" s="43"/>
      <c r="F2101" s="43"/>
      <c r="G2101" s="43"/>
      <c r="H2101" s="42"/>
      <c r="I2101" s="12"/>
      <c r="J2101" s="19"/>
      <c r="K2101" s="19"/>
      <c r="L2101" s="40"/>
    </row>
    <row r="2102" ht="22.5" customHeight="1">
      <c r="C2102" s="19"/>
      <c r="D2102" s="39"/>
      <c r="E2102" s="43"/>
      <c r="F2102" s="43"/>
      <c r="G2102" s="43"/>
      <c r="H2102" s="42"/>
      <c r="I2102" s="12"/>
      <c r="J2102" s="19"/>
      <c r="K2102" s="19"/>
      <c r="L2102" s="40"/>
    </row>
    <row r="2103" ht="22.5" customHeight="1">
      <c r="C2103" s="19"/>
      <c r="D2103" s="39"/>
      <c r="E2103" s="43"/>
      <c r="F2103" s="43"/>
      <c r="G2103" s="43"/>
      <c r="H2103" s="42"/>
      <c r="I2103" s="12"/>
      <c r="J2103" s="19"/>
      <c r="K2103" s="19"/>
      <c r="L2103" s="40"/>
    </row>
    <row r="2104" ht="22.5" customHeight="1">
      <c r="C2104" s="19"/>
      <c r="D2104" s="39"/>
      <c r="E2104" s="43"/>
      <c r="F2104" s="43"/>
      <c r="G2104" s="43"/>
      <c r="H2104" s="42"/>
      <c r="I2104" s="12"/>
      <c r="J2104" s="19"/>
      <c r="K2104" s="19"/>
      <c r="L2104" s="40"/>
    </row>
    <row r="2105" ht="22.5" customHeight="1">
      <c r="C2105" s="19"/>
      <c r="D2105" s="39"/>
      <c r="E2105" s="43"/>
      <c r="F2105" s="43"/>
      <c r="G2105" s="43"/>
      <c r="H2105" s="42"/>
      <c r="I2105" s="12"/>
      <c r="J2105" s="19"/>
      <c r="K2105" s="19"/>
      <c r="L2105" s="40"/>
    </row>
    <row r="2106" ht="22.5" customHeight="1">
      <c r="C2106" s="19"/>
      <c r="D2106" s="39"/>
      <c r="E2106" s="43"/>
      <c r="F2106" s="43"/>
      <c r="G2106" s="43"/>
      <c r="H2106" s="42"/>
      <c r="I2106" s="12"/>
      <c r="J2106" s="19"/>
      <c r="K2106" s="19"/>
      <c r="L2106" s="40"/>
    </row>
    <row r="2107" ht="22.5" customHeight="1">
      <c r="C2107" s="19"/>
      <c r="D2107" s="39"/>
      <c r="E2107" s="43"/>
      <c r="F2107" s="43"/>
      <c r="G2107" s="43"/>
      <c r="H2107" s="42"/>
      <c r="I2107" s="12"/>
      <c r="J2107" s="19"/>
      <c r="K2107" s="19"/>
      <c r="L2107" s="40"/>
    </row>
    <row r="2108" ht="22.5" customHeight="1">
      <c r="C2108" s="19"/>
      <c r="D2108" s="39"/>
      <c r="E2108" s="43"/>
      <c r="F2108" s="43"/>
      <c r="G2108" s="43"/>
      <c r="H2108" s="42"/>
      <c r="I2108" s="12"/>
      <c r="J2108" s="19"/>
      <c r="K2108" s="19"/>
      <c r="L2108" s="40"/>
    </row>
    <row r="2109" ht="22.5" customHeight="1">
      <c r="C2109" s="19"/>
      <c r="D2109" s="39"/>
      <c r="E2109" s="43"/>
      <c r="F2109" s="43"/>
      <c r="G2109" s="43"/>
      <c r="H2109" s="42"/>
      <c r="I2109" s="12"/>
      <c r="J2109" s="19"/>
      <c r="K2109" s="19"/>
      <c r="L2109" s="40"/>
    </row>
    <row r="2110" ht="22.5" customHeight="1">
      <c r="C2110" s="19"/>
      <c r="D2110" s="39"/>
      <c r="E2110" s="43"/>
      <c r="F2110" s="43"/>
      <c r="G2110" s="43"/>
      <c r="H2110" s="42"/>
      <c r="I2110" s="12"/>
      <c r="J2110" s="19"/>
      <c r="K2110" s="19"/>
      <c r="L2110" s="40"/>
    </row>
    <row r="2111" ht="22.5" customHeight="1">
      <c r="C2111" s="19"/>
      <c r="D2111" s="39"/>
      <c r="E2111" s="43"/>
      <c r="F2111" s="43"/>
      <c r="G2111" s="43"/>
      <c r="H2111" s="42"/>
      <c r="I2111" s="12"/>
      <c r="J2111" s="19"/>
      <c r="K2111" s="19"/>
      <c r="L2111" s="40"/>
    </row>
    <row r="2112" ht="22.5" customHeight="1">
      <c r="C2112" s="19"/>
      <c r="D2112" s="39"/>
      <c r="E2112" s="43"/>
      <c r="F2112" s="43"/>
      <c r="G2112" s="43"/>
      <c r="H2112" s="42"/>
      <c r="I2112" s="12"/>
      <c r="J2112" s="19"/>
      <c r="K2112" s="19"/>
      <c r="L2112" s="40"/>
    </row>
    <row r="2113" ht="22.5" customHeight="1">
      <c r="C2113" s="19"/>
      <c r="D2113" s="39"/>
      <c r="E2113" s="43"/>
      <c r="F2113" s="43"/>
      <c r="G2113" s="43"/>
      <c r="H2113" s="42"/>
      <c r="I2113" s="12"/>
      <c r="J2113" s="19"/>
      <c r="K2113" s="19"/>
      <c r="L2113" s="40"/>
    </row>
    <row r="2114" ht="22.5" customHeight="1">
      <c r="C2114" s="19"/>
      <c r="D2114" s="39"/>
      <c r="E2114" s="43"/>
      <c r="F2114" s="43"/>
      <c r="G2114" s="43"/>
      <c r="H2114" s="42"/>
      <c r="I2114" s="12"/>
      <c r="J2114" s="19"/>
      <c r="K2114" s="19"/>
      <c r="L2114" s="40"/>
    </row>
    <row r="2115" ht="22.5" customHeight="1">
      <c r="C2115" s="19"/>
      <c r="D2115" s="39"/>
      <c r="E2115" s="43"/>
      <c r="F2115" s="43"/>
      <c r="G2115" s="43"/>
      <c r="H2115" s="42"/>
      <c r="I2115" s="12"/>
      <c r="J2115" s="19"/>
      <c r="K2115" s="19"/>
      <c r="L2115" s="40"/>
    </row>
    <row r="2116" ht="22.5" customHeight="1">
      <c r="C2116" s="19"/>
      <c r="D2116" s="39"/>
      <c r="E2116" s="43"/>
      <c r="F2116" s="43"/>
      <c r="G2116" s="43"/>
      <c r="H2116" s="42"/>
      <c r="I2116" s="12"/>
      <c r="J2116" s="19"/>
      <c r="K2116" s="19"/>
      <c r="L2116" s="40"/>
    </row>
    <row r="2117" ht="22.5" customHeight="1">
      <c r="C2117" s="19"/>
      <c r="D2117" s="39"/>
      <c r="E2117" s="43"/>
      <c r="F2117" s="43"/>
      <c r="G2117" s="43"/>
      <c r="H2117" s="42"/>
      <c r="I2117" s="12"/>
      <c r="J2117" s="19"/>
      <c r="K2117" s="19"/>
      <c r="L2117" s="40"/>
    </row>
    <row r="2118" ht="22.5" customHeight="1">
      <c r="C2118" s="19"/>
      <c r="D2118" s="39"/>
      <c r="E2118" s="43"/>
      <c r="F2118" s="43"/>
      <c r="G2118" s="43"/>
      <c r="H2118" s="42"/>
      <c r="I2118" s="12"/>
      <c r="J2118" s="19"/>
      <c r="K2118" s="19"/>
      <c r="L2118" s="40"/>
    </row>
    <row r="2119" ht="22.5" customHeight="1">
      <c r="C2119" s="19"/>
      <c r="D2119" s="39"/>
      <c r="E2119" s="43"/>
      <c r="F2119" s="43"/>
      <c r="G2119" s="43"/>
      <c r="H2119" s="42"/>
      <c r="I2119" s="12"/>
      <c r="J2119" s="19"/>
      <c r="K2119" s="19"/>
      <c r="L2119" s="40"/>
    </row>
    <row r="2120" ht="22.5" customHeight="1">
      <c r="C2120" s="19"/>
      <c r="D2120" s="39"/>
      <c r="E2120" s="43"/>
      <c r="F2120" s="43"/>
      <c r="G2120" s="43"/>
      <c r="H2120" s="42"/>
      <c r="I2120" s="12"/>
      <c r="J2120" s="19"/>
      <c r="K2120" s="19"/>
      <c r="L2120" s="40"/>
    </row>
    <row r="2121" ht="22.5" customHeight="1">
      <c r="C2121" s="19"/>
      <c r="D2121" s="39"/>
      <c r="E2121" s="43"/>
      <c r="F2121" s="43"/>
      <c r="G2121" s="43"/>
      <c r="H2121" s="42"/>
      <c r="I2121" s="12"/>
      <c r="J2121" s="19"/>
      <c r="K2121" s="19"/>
      <c r="L2121" s="40"/>
    </row>
    <row r="2122" ht="22.5" customHeight="1">
      <c r="C2122" s="19"/>
      <c r="D2122" s="39"/>
      <c r="E2122" s="43"/>
      <c r="F2122" s="43"/>
      <c r="G2122" s="43"/>
      <c r="H2122" s="42"/>
      <c r="I2122" s="12"/>
      <c r="J2122" s="19"/>
      <c r="K2122" s="19"/>
      <c r="L2122" s="40"/>
    </row>
    <row r="2123" ht="22.5" customHeight="1">
      <c r="C2123" s="19"/>
      <c r="D2123" s="39"/>
      <c r="E2123" s="43"/>
      <c r="F2123" s="43"/>
      <c r="G2123" s="43"/>
      <c r="H2123" s="42"/>
      <c r="I2123" s="12"/>
      <c r="J2123" s="19"/>
      <c r="K2123" s="19"/>
      <c r="L2123" s="40"/>
    </row>
    <row r="2124" ht="22.5" customHeight="1">
      <c r="C2124" s="19"/>
      <c r="D2124" s="39"/>
      <c r="E2124" s="43"/>
      <c r="F2124" s="43"/>
      <c r="G2124" s="43"/>
      <c r="H2124" s="42"/>
      <c r="I2124" s="12"/>
      <c r="J2124" s="19"/>
      <c r="K2124" s="19"/>
      <c r="L2124" s="40"/>
    </row>
    <row r="2125" ht="22.5" customHeight="1">
      <c r="C2125" s="19"/>
      <c r="D2125" s="39"/>
      <c r="E2125" s="43"/>
      <c r="F2125" s="43"/>
      <c r="G2125" s="43"/>
      <c r="H2125" s="42"/>
      <c r="I2125" s="12"/>
      <c r="J2125" s="19"/>
      <c r="K2125" s="19"/>
      <c r="L2125" s="40"/>
    </row>
    <row r="2126" ht="22.5" customHeight="1">
      <c r="C2126" s="19"/>
      <c r="D2126" s="39"/>
      <c r="E2126" s="43"/>
      <c r="F2126" s="43"/>
      <c r="G2126" s="43"/>
      <c r="H2126" s="42"/>
      <c r="I2126" s="12"/>
      <c r="J2126" s="19"/>
      <c r="K2126" s="19"/>
      <c r="L2126" s="40"/>
    </row>
    <row r="2127" ht="22.5" customHeight="1">
      <c r="C2127" s="19"/>
      <c r="D2127" s="39"/>
      <c r="E2127" s="43"/>
      <c r="F2127" s="43"/>
      <c r="G2127" s="43"/>
      <c r="H2127" s="42"/>
      <c r="I2127" s="12"/>
      <c r="J2127" s="19"/>
      <c r="K2127" s="19"/>
      <c r="L2127" s="40"/>
    </row>
    <row r="2128" ht="22.5" customHeight="1">
      <c r="C2128" s="19"/>
      <c r="D2128" s="39"/>
      <c r="E2128" s="43"/>
      <c r="F2128" s="43"/>
      <c r="G2128" s="43"/>
      <c r="H2128" s="42"/>
      <c r="I2128" s="12"/>
      <c r="J2128" s="19"/>
      <c r="K2128" s="19"/>
      <c r="L2128" s="40"/>
    </row>
    <row r="2129" ht="22.5" customHeight="1">
      <c r="C2129" s="19"/>
      <c r="D2129" s="39"/>
      <c r="E2129" s="43"/>
      <c r="F2129" s="43"/>
      <c r="G2129" s="43"/>
      <c r="H2129" s="42"/>
      <c r="I2129" s="12"/>
      <c r="J2129" s="19"/>
      <c r="K2129" s="19"/>
      <c r="L2129" s="40"/>
    </row>
    <row r="2130" ht="22.5" customHeight="1">
      <c r="C2130" s="19"/>
      <c r="D2130" s="39"/>
      <c r="E2130" s="43"/>
      <c r="F2130" s="43"/>
      <c r="G2130" s="43"/>
      <c r="H2130" s="42"/>
      <c r="I2130" s="12"/>
      <c r="J2130" s="19"/>
      <c r="K2130" s="19"/>
      <c r="L2130" s="40"/>
    </row>
    <row r="2131" ht="22.5" customHeight="1">
      <c r="C2131" s="19"/>
      <c r="D2131" s="39"/>
      <c r="E2131" s="43"/>
      <c r="F2131" s="43"/>
      <c r="G2131" s="43"/>
      <c r="H2131" s="42"/>
      <c r="I2131" s="12"/>
      <c r="J2131" s="19"/>
      <c r="K2131" s="19"/>
      <c r="L2131" s="40"/>
    </row>
    <row r="2132" ht="22.5" customHeight="1">
      <c r="C2132" s="19"/>
      <c r="D2132" s="39"/>
      <c r="E2132" s="43"/>
      <c r="F2132" s="43"/>
      <c r="G2132" s="43"/>
      <c r="H2132" s="42"/>
      <c r="I2132" s="12"/>
      <c r="J2132" s="19"/>
      <c r="K2132" s="19"/>
      <c r="L2132" s="40"/>
    </row>
    <row r="2133" ht="22.5" customHeight="1">
      <c r="C2133" s="19"/>
      <c r="D2133" s="39"/>
      <c r="E2133" s="43"/>
      <c r="F2133" s="43"/>
      <c r="G2133" s="43"/>
      <c r="H2133" s="42"/>
      <c r="I2133" s="12"/>
      <c r="J2133" s="19"/>
      <c r="K2133" s="19"/>
      <c r="L2133" s="40"/>
    </row>
    <row r="2134" ht="22.5" customHeight="1">
      <c r="C2134" s="19"/>
      <c r="D2134" s="39"/>
      <c r="E2134" s="43"/>
      <c r="F2134" s="43"/>
      <c r="G2134" s="43"/>
      <c r="H2134" s="42"/>
      <c r="I2134" s="12"/>
      <c r="J2134" s="19"/>
      <c r="K2134" s="19"/>
      <c r="L2134" s="40"/>
    </row>
    <row r="2135" ht="22.5" customHeight="1">
      <c r="C2135" s="19"/>
      <c r="D2135" s="39"/>
      <c r="E2135" s="43"/>
      <c r="F2135" s="43"/>
      <c r="G2135" s="43"/>
      <c r="H2135" s="42"/>
      <c r="I2135" s="12"/>
      <c r="J2135" s="19"/>
      <c r="K2135" s="19"/>
      <c r="L2135" s="40"/>
    </row>
    <row r="2136" ht="22.5" customHeight="1">
      <c r="C2136" s="19"/>
      <c r="D2136" s="39"/>
      <c r="E2136" s="43"/>
      <c r="F2136" s="43"/>
      <c r="G2136" s="43"/>
      <c r="H2136" s="42"/>
      <c r="I2136" s="12"/>
      <c r="J2136" s="19"/>
      <c r="K2136" s="19"/>
      <c r="L2136" s="40"/>
    </row>
    <row r="2137" ht="22.5" customHeight="1">
      <c r="C2137" s="19"/>
      <c r="D2137" s="39"/>
      <c r="E2137" s="43"/>
      <c r="F2137" s="43"/>
      <c r="G2137" s="43"/>
      <c r="H2137" s="42"/>
      <c r="I2137" s="12"/>
      <c r="J2137" s="19"/>
      <c r="K2137" s="19"/>
      <c r="L2137" s="40"/>
    </row>
  </sheetData>
  <drawing r:id="rId1"/>
  <tableParts count="1">
    <tablePart r:id="rId3"/>
  </tableParts>
</worksheet>
</file>